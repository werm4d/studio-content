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erge4designllc-my.sharepoint.com/personal/david4d_merge4design_com/Documents/00_M2-README_START-HERE/90_TEMPLATES/90.1_DOCUMENTS/"/>
    </mc:Choice>
  </mc:AlternateContent>
  <xr:revisionPtr revIDLastSave="0" documentId="8_{24C2A63A-AD10-4ECA-84B6-7BF80C4A7C6F}" xr6:coauthVersionLast="47" xr6:coauthVersionMax="47" xr10:uidLastSave="{00000000-0000-0000-0000-000000000000}"/>
  <bookViews>
    <workbookView xWindow="-28230" yWindow="585" windowWidth="27480" windowHeight="13680" tabRatio="895" xr2:uid="{00000000-000D-0000-FFFF-FFFF00000000}"/>
  </bookViews>
  <sheets>
    <sheet name="00_INSTRUCTIONS" sheetId="1" r:id="rId1"/>
    <sheet name="01_PROJECT_ID" sheetId="2" r:id="rId2"/>
    <sheet name="02_ZONING" sheetId="3" r:id="rId3"/>
    <sheet name="03_IBC_AREA_HEIGHT" sheetId="4" r:id="rId4"/>
    <sheet name="04_FIRE_PROTECTION" sheetId="5" r:id="rId5"/>
    <sheet name="05_LIFE_SAFETY_IBC" sheetId="6" r:id="rId6"/>
    <sheet name="06_LIFE_SAFETY_IRC" sheetId="7" r:id="rId7"/>
    <sheet name="07_ACCESSIBILITY" sheetId="8" r:id="rId8"/>
    <sheet name="08_PLUMBING_CALC" sheetId="9" r:id="rId9"/>
    <sheet name="09_ENERGY_CODE" sheetId="10" r:id="rId10"/>
    <sheet name="10_STRUCTURAL" sheetId="11" r:id="rId11"/>
    <sheet name="11_CODE_BLOCK" sheetId="12" r:id="rId12"/>
    <sheet name="12_REVIEW_PROTOCOL" sheetId="13" r:id="rId13"/>
    <sheet name="13_FLAGS" sheetId="14" r:id="rId14"/>
    <sheet name="14_AMENDMENTS" sheetId="15" r:id="rId15"/>
    <sheet name="15_DRAWING_CHECKLIST" sheetId="16" r:id="rId16"/>
    <sheet name="16_MULTI_OCCUPANCY" sheetId="17" r:id="rId17"/>
    <sheet name="17_MECHANICAL" sheetId="18" r:id="rId18"/>
    <sheet name="DATA_LISTS" sheetId="19" state="hidden"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2" i="18" l="1"/>
  <c r="C119" i="18"/>
  <c r="C118" i="18"/>
  <c r="C117" i="18"/>
  <c r="C120" i="18" s="1"/>
  <c r="C121" i="18" s="1"/>
  <c r="G55" i="18"/>
  <c r="G54" i="18"/>
  <c r="G53" i="18"/>
  <c r="G52" i="18"/>
  <c r="G51" i="18"/>
  <c r="G50" i="18"/>
  <c r="G49" i="18"/>
  <c r="G48" i="18"/>
  <c r="G47" i="18"/>
  <c r="G46" i="18"/>
  <c r="G45" i="18"/>
  <c r="D41" i="18"/>
  <c r="C41" i="18"/>
  <c r="C38" i="18"/>
  <c r="C37" i="18"/>
  <c r="C39" i="18" s="1"/>
  <c r="H33" i="18"/>
  <c r="G33" i="18"/>
  <c r="H32" i="18"/>
  <c r="G32" i="18"/>
  <c r="H31" i="18"/>
  <c r="G31" i="18"/>
  <c r="H30" i="18"/>
  <c r="G30" i="18"/>
  <c r="H29" i="18"/>
  <c r="G29" i="18"/>
  <c r="H28" i="18"/>
  <c r="G28" i="18"/>
  <c r="H27" i="18"/>
  <c r="G27" i="18"/>
  <c r="G34" i="18" s="1"/>
  <c r="H26" i="18"/>
  <c r="H34" i="18" s="1"/>
  <c r="G26" i="18"/>
  <c r="F21" i="18"/>
  <c r="F20" i="18"/>
  <c r="E18" i="17"/>
  <c r="I18" i="17" s="1"/>
  <c r="J18" i="17" s="1"/>
  <c r="D18" i="17"/>
  <c r="E16" i="17"/>
  <c r="I16" i="17" s="1"/>
  <c r="J16" i="17" s="1"/>
  <c r="D16" i="17"/>
  <c r="I11" i="17"/>
  <c r="F11" i="17"/>
  <c r="I10" i="17"/>
  <c r="F10" i="17"/>
  <c r="I9" i="17"/>
  <c r="F9" i="17"/>
  <c r="G17" i="17" s="1"/>
  <c r="H17" i="17" s="1"/>
  <c r="I8" i="17"/>
  <c r="F8" i="17"/>
  <c r="D17" i="17" s="1"/>
  <c r="E17" i="17" s="1"/>
  <c r="I17" i="17" s="1"/>
  <c r="J17" i="17" s="1"/>
  <c r="C25" i="15"/>
  <c r="C26" i="15" s="1"/>
  <c r="C38" i="12"/>
  <c r="C37" i="12"/>
  <c r="C36" i="12"/>
  <c r="C35" i="12"/>
  <c r="C34" i="12"/>
  <c r="C33" i="12"/>
  <c r="C31" i="12"/>
  <c r="C30" i="12"/>
  <c r="C29" i="12"/>
  <c r="C25" i="12"/>
  <c r="C24" i="12"/>
  <c r="C23" i="12"/>
  <c r="C22" i="12"/>
  <c r="C21" i="12"/>
  <c r="C20" i="12"/>
  <c r="C19" i="12"/>
  <c r="C18" i="12"/>
  <c r="C17" i="12"/>
  <c r="C16" i="12"/>
  <c r="C13" i="12"/>
  <c r="C12" i="12"/>
  <c r="C11" i="12"/>
  <c r="C10" i="12"/>
  <c r="C9" i="12"/>
  <c r="C8" i="12"/>
  <c r="C7" i="12"/>
  <c r="C6" i="12"/>
  <c r="C5" i="12"/>
  <c r="C26" i="9"/>
  <c r="C25" i="9"/>
  <c r="C24" i="9"/>
  <c r="C23" i="9"/>
  <c r="C22" i="9"/>
  <c r="D5" i="9"/>
  <c r="E24" i="6"/>
  <c r="E23" i="6"/>
  <c r="E22" i="6"/>
  <c r="E21" i="6"/>
  <c r="E20" i="6"/>
  <c r="E19" i="6"/>
  <c r="E18" i="6"/>
  <c r="E17" i="6"/>
  <c r="F11" i="6"/>
  <c r="F10" i="6"/>
  <c r="F9" i="6"/>
  <c r="F8" i="6"/>
  <c r="F7" i="6"/>
  <c r="F6" i="6"/>
  <c r="F5" i="6"/>
  <c r="F4" i="6"/>
  <c r="F12" i="6" s="1"/>
  <c r="F41" i="5"/>
  <c r="F40" i="5"/>
  <c r="F39" i="5"/>
  <c r="F38" i="5"/>
  <c r="F37" i="5"/>
  <c r="F36" i="5"/>
  <c r="F35" i="5"/>
  <c r="F32" i="5"/>
  <c r="F31" i="5"/>
  <c r="F30" i="5"/>
  <c r="F29" i="5"/>
  <c r="E32" i="4"/>
  <c r="E28" i="4"/>
  <c r="D28" i="4"/>
  <c r="C28" i="4"/>
  <c r="E25" i="4" s="1"/>
  <c r="E27" i="4"/>
  <c r="D27" i="4"/>
  <c r="C27" i="4"/>
  <c r="E26" i="4"/>
  <c r="D26" i="4"/>
  <c r="D25" i="4" s="1"/>
  <c r="C26" i="4"/>
  <c r="C25" i="4"/>
  <c r="C20" i="4"/>
  <c r="C18" i="4"/>
  <c r="E12" i="4"/>
  <c r="E11" i="4"/>
  <c r="D28" i="3"/>
  <c r="C24" i="3"/>
  <c r="C19" i="3"/>
  <c r="C18" i="3"/>
  <c r="C33" i="2"/>
  <c r="C4" i="9" l="1"/>
  <c r="F4" i="9" s="1"/>
  <c r="C28" i="12"/>
  <c r="D15" i="17"/>
  <c r="E15" i="17" s="1"/>
  <c r="I15" i="17" s="1"/>
  <c r="G18" i="17"/>
  <c r="H18" i="17" s="1"/>
  <c r="G15" i="17"/>
  <c r="H15" i="17" s="1"/>
  <c r="D19" i="17"/>
  <c r="E19" i="17" s="1"/>
  <c r="I19" i="17" s="1"/>
  <c r="J19" i="17" s="1"/>
  <c r="G19" i="17"/>
  <c r="H19" i="17" s="1"/>
  <c r="G16" i="17"/>
  <c r="H16" i="17" s="1"/>
  <c r="D20" i="17"/>
  <c r="E20" i="17" s="1"/>
  <c r="I20" i="17" s="1"/>
  <c r="J20" i="17" s="1"/>
  <c r="G20" i="17"/>
  <c r="H20" i="17" s="1"/>
  <c r="I21" i="17" l="1"/>
  <c r="J21" i="17" s="1"/>
  <c r="J15" i="17"/>
  <c r="D26" i="9"/>
  <c r="F26" i="9" s="1"/>
  <c r="C45" i="12" s="1"/>
  <c r="C6" i="9"/>
  <c r="D6" i="9"/>
  <c r="E25" i="9" l="1"/>
  <c r="F25" i="9" s="1"/>
  <c r="C44" i="12" s="1"/>
  <c r="E23" i="9"/>
  <c r="F23" i="9" s="1"/>
  <c r="C42" i="12" s="1"/>
  <c r="D24" i="9"/>
  <c r="F24" i="9" s="1"/>
  <c r="C43" i="12" s="1"/>
  <c r="D22" i="9"/>
  <c r="F22" i="9" s="1"/>
  <c r="C41" i="12" s="1"/>
  <c r="C17" i="3"/>
  <c r="C16" i="3"/>
  <c r="E16" i="3"/>
  <c r="C21" i="4"/>
</calcChain>
</file>

<file path=xl/sharedStrings.xml><?xml version="1.0" encoding="utf-8"?>
<sst xmlns="http://schemas.openxmlformats.org/spreadsheetml/2006/main" count="1613" uniqueCount="1414">
  <si>
    <t>M4Di™ MASTER CODE &amp; LIFE SAFETY WORKBOOK — INSTRUCTIONS</t>
  </si>
  <si>
    <t>Merge 4 Design LLC  |  Aubyn Architecture LLC  |  215 N Market St Ste 317, Wilmington DE 19801</t>
  </si>
  <si>
    <t>COLOR KEY</t>
  </si>
  <si>
    <t>🟡 YELLOW cells</t>
  </si>
  <si>
    <t>INPUT — enter data here. Blue text = hardcoded input. Adjust for each project.</t>
  </si>
  <si>
    <t>🔵 BLUE cells</t>
  </si>
  <si>
    <t>FORMULA OUTPUT — do not edit. Recalculates automatically.</t>
  </si>
  <si>
    <t>⬜ GREY cells</t>
  </si>
  <si>
    <t>LABEL — section headers, field names. Do not edit.</t>
  </si>
  <si>
    <t>🟢 GREEN cells</t>
  </si>
  <si>
    <t>PASS / within limits</t>
  </si>
  <si>
    <t>🔴 RED cells</t>
  </si>
  <si>
    <t>FAIL / exceeds limits — requires resolution before permit submittal</t>
  </si>
  <si>
    <t>TAB GUIDE</t>
  </si>
  <si>
    <t>00_INSTRUCTIONS</t>
  </si>
  <si>
    <t>This sheet. Read before using.</t>
  </si>
  <si>
    <t>01_PROJECT_ID</t>
  </si>
  <si>
    <t>Project name, address, jurisdiction, code edition, ALDi gate. Start here every project.</t>
  </si>
  <si>
    <t>02_ZONING</t>
  </si>
  <si>
    <t>Zoning district inputs: FAR, coverage, setbacks, height. Frontage increase calculator built in.</t>
  </si>
  <si>
    <t>03_IBC_AREA_HEIGHT</t>
  </si>
  <si>
    <t>IBC §504/506/508 — occupancy, construction type, height/area compliance with formula checks.</t>
  </si>
  <si>
    <t>04_FIRE_PROTECTION</t>
  </si>
  <si>
    <t>Fire resistance rating matrix by building element (Table 601/602). Separation distance checks.</t>
  </si>
  <si>
    <t>05_LIFE_SAFETY_IBC</t>
  </si>
  <si>
    <t>Commercial/institutional egress analysis — occupant load, exit count, travel distance.</t>
  </si>
  <si>
    <t>06_LIFE_SAFETY_IRC</t>
  </si>
  <si>
    <t>Residential (IRC) — smoke alarms, egress windows, stair geometry, garage separation.</t>
  </si>
  <si>
    <t>07_ACCESSIBILITY</t>
  </si>
  <si>
    <t>ADA / ICC A117.1 — accessible route, parking, fixtures, Type A/B dwelling unit counts.</t>
  </si>
  <si>
    <t>08_PLUMBING_CALC</t>
  </si>
  <si>
    <t>IPC Table 403.1 fixture calculator — auto-calculates from occupant load. Editable ratios.</t>
  </si>
  <si>
    <t>09_ENERGY_CODE</t>
  </si>
  <si>
    <t>IECC climate zone, compliance path, envelope values (prescriptive / REScheck / COMcheck).</t>
  </si>
  <si>
    <t>10_STRUCTURAL</t>
  </si>
  <si>
    <t>Design load parameters, seismic/wind, risk category, special inspections list.</t>
  </si>
  <si>
    <t>11_CODE_BLOCK</t>
  </si>
  <si>
    <t>Auto-generated uppercase code summary text block — copy/paste to Sheet A-001.</t>
  </si>
  <si>
    <t>12_REVIEW_PROTOCOL</t>
  </si>
  <si>
    <t>Internal gate-based review sign-off log keyed to ALDi G0–G3.</t>
  </si>
  <si>
    <t>13_FLAGS</t>
  </si>
  <si>
    <t>Open items, exceptions, AHJ coordination log.</t>
  </si>
  <si>
    <t>14_AMENDMENTS</t>
  </si>
  <si>
    <t>Local amendment registry — jurisdiction-specific overrides by code section.</t>
  </si>
  <si>
    <t>WORKFLOW</t>
  </si>
  <si>
    <t>Step 1</t>
  </si>
  <si>
    <t>Open 01_PROJECT_ID. Fill all yellow cells. Select jurisdiction from dropdown.</t>
  </si>
  <si>
    <t>Step 2</t>
  </si>
  <si>
    <t>Open 14_AMENDMENTS. Verify any local overrides for this jurisdiction are logged.</t>
  </si>
  <si>
    <t>Step 3</t>
  </si>
  <si>
    <t>Open 02_ZONING. Enter lot/zoning data. Confirm derived GFA values.</t>
  </si>
  <si>
    <t>Step 4</t>
  </si>
  <si>
    <t>Open 03_IBC_AREA_HEIGHT. Select occupancy + construction type. Review pass/fail flags.</t>
  </si>
  <si>
    <t>Step 5</t>
  </si>
  <si>
    <t>Complete 04 through 10 in order. Flag any fails and log in 13_FLAGS.</t>
  </si>
  <si>
    <t>Step 6</t>
  </si>
  <si>
    <t>Open 11_CODE_BLOCK. Copy the auto-generated text block to your drawing set.</t>
  </si>
  <si>
    <t>Step 7</t>
  </si>
  <si>
    <t>Complete 12_REVIEW_PROTOCOL sign-off at the appropriate ALDi gate.</t>
  </si>
  <si>
    <t>ICC UPDATE PROTOCOL</t>
  </si>
  <si>
    <t>When IBC/IRC/IPC edition changes:</t>
  </si>
  <si>
    <t>Update 14_AMENDMENTS with new edition. Update OLF_Library on 05/06 if factors change. Revise plumbing ratios on 08 per new IPC Table 403.1. All formulas reference named ranges — no sheet restructuring needed for minor updates.</t>
  </si>
  <si>
    <t>FOR NON-PROFESSIONALS</t>
  </si>
  <si>
    <t>Rule 1</t>
  </si>
  <si>
    <t>Only fill YELLOW cells. Never edit blue or grey cells.</t>
  </si>
  <si>
    <t>Rule 2</t>
  </si>
  <si>
    <t>If a cell turns RED, stop and flag for licensed professional review before proceeding.</t>
  </si>
  <si>
    <t>Rule 3</t>
  </si>
  <si>
    <t>Document every source URL in the 14_AMENDMENTS tab when you look up a code value.</t>
  </si>
  <si>
    <t>Rule 4</t>
  </si>
  <si>
    <t>Never override a formula output — create a new input cell if a value needs to change.</t>
  </si>
  <si>
    <t>16_MULTI_OCCUPANCY</t>
  </si>
  <si>
    <t>§508.4.2 story-by-story ratio calculator with IBC Table 506.2 reference values. Aggregate sum check for NS (≤3) and S (≤4).</t>
  </si>
  <si>
    <t>17_MECHANICAL</t>
  </si>
  <si>
    <t>IMC requirements + ASHRAE 62.1 ventilation calc + exhaust sizing table + combustion air + mechanical plan review checklist + load quick-calc.</t>
  </si>
  <si>
    <t>01 — PROJECT IDENTIFICATION</t>
  </si>
  <si>
    <t>Complete this tab first. All other tabs reference these values.</t>
  </si>
  <si>
    <t xml:space="preserve">  Project Name</t>
  </si>
  <si>
    <t>Project Number</t>
  </si>
  <si>
    <t>e.g., M2_2026_010</t>
  </si>
  <si>
    <t>Project Address</t>
  </si>
  <si>
    <t>Street, City, State, ZIP</t>
  </si>
  <si>
    <t xml:space="preserve">  Client / Owner</t>
  </si>
  <si>
    <t>Date of Analysis</t>
  </si>
  <si>
    <t>MM/DD/YYYY</t>
  </si>
  <si>
    <t>Prepared By</t>
  </si>
  <si>
    <t>Name + Firm</t>
  </si>
  <si>
    <t xml:space="preserve">  AOR — Architect of Record</t>
  </si>
  <si>
    <t xml:space="preserve">  JURISDICTION &amp; CODE</t>
  </si>
  <si>
    <t>Jurisdiction (City/County)</t>
  </si>
  <si>
    <t>e.g., City of Wilmington, DE</t>
  </si>
  <si>
    <t xml:space="preserve">  AHJ — Authority Having Jurisdiction</t>
  </si>
  <si>
    <t>Zoning Ordinance URL</t>
  </si>
  <si>
    <t>Paste link — verify annually</t>
  </si>
  <si>
    <t>IBC Edition in Use</t>
  </si>
  <si>
    <t>2021</t>
  </si>
  <si>
    <t>2021 / 2018 / 2015 / Local</t>
  </si>
  <si>
    <t>IRC Edition (Residential)</t>
  </si>
  <si>
    <t>2021 / 2018 / 2015</t>
  </si>
  <si>
    <t>IPC Edition (Plumbing)</t>
  </si>
  <si>
    <t>2021 / 2018</t>
  </si>
  <si>
    <t>IECC Edition (Energy)</t>
  </si>
  <si>
    <t>NEC Edition (Electrical)</t>
  </si>
  <si>
    <t>2020</t>
  </si>
  <si>
    <t>Local Amendments Active?</t>
  </si>
  <si>
    <t>Yes</t>
  </si>
  <si>
    <t>Yes / No — see 14_AMENDMENTS</t>
  </si>
  <si>
    <t xml:space="preserve">  PROJECT TYPE &amp; GATE</t>
  </si>
  <si>
    <t>Project Type</t>
  </si>
  <si>
    <t>Commercial</t>
  </si>
  <si>
    <t>Commercial / Residential / Mixed-Use / Institutional</t>
  </si>
  <si>
    <t>New / Addition / Alteration / Change of Use</t>
  </si>
  <si>
    <t>New Construction</t>
  </si>
  <si>
    <t>ALDi Gate at This Analysis</t>
  </si>
  <si>
    <t>G0 — ROM</t>
  </si>
  <si>
    <t>G0 ROM / G1 Feasibility / G2 75%DD / G3 GMP</t>
  </si>
  <si>
    <t xml:space="preserve">  FIRM ASSIGNMENT</t>
  </si>
  <si>
    <t>Lead Firm</t>
  </si>
  <si>
    <t>Merge 4 Design LLC</t>
  </si>
  <si>
    <t>M4D / Aubyn Architecture</t>
  </si>
  <si>
    <t>AOR License State(s)</t>
  </si>
  <si>
    <t>DE / PA / CT</t>
  </si>
  <si>
    <t>Subconsultants (generic)</t>
  </si>
  <si>
    <t>Civil Engineer; Structural Engineer; MEP Engineer</t>
  </si>
  <si>
    <t>Do not name unless confirmed</t>
  </si>
  <si>
    <t>AMENDMENT CHECK</t>
  </si>
  <si>
    <t>Amendments logged for selected jurisdiction:</t>
  </si>
  <si>
    <t>02 — ZONING &amp; SITE COMPLIANCE</t>
  </si>
  <si>
    <t>PARAMETER</t>
  </si>
  <si>
    <t>REQUIRED / ALLOWED</t>
  </si>
  <si>
    <t>PROVIDED / ACTUAL</t>
  </si>
  <si>
    <t>PASS/FAIL</t>
  </si>
  <si>
    <t>CODE REF / NOTES</t>
  </si>
  <si>
    <t xml:space="preserve">  ZONING INPUTS</t>
  </si>
  <si>
    <t>Zoning District / Zone Label</t>
  </si>
  <si>
    <t>UDC Source URL</t>
  </si>
  <si>
    <t>Paste link</t>
  </si>
  <si>
    <t>Lot Area (SF)</t>
  </si>
  <si>
    <t>43,560</t>
  </si>
  <si>
    <t>Maximum FAR</t>
  </si>
  <si>
    <t>2.0</t>
  </si>
  <si>
    <t>Max Lot Coverage (%)</t>
  </si>
  <si>
    <t>60%</t>
  </si>
  <si>
    <t>Front Setback (ft)</t>
  </si>
  <si>
    <t>10</t>
  </si>
  <si>
    <t>Side Setback (ft)</t>
  </si>
  <si>
    <t>5</t>
  </si>
  <si>
    <t>Rear Setback (ft)</t>
  </si>
  <si>
    <t>20</t>
  </si>
  <si>
    <t>Max Building Height (ft)</t>
  </si>
  <si>
    <t>60</t>
  </si>
  <si>
    <t>Max Stories (Zoning)</t>
  </si>
  <si>
    <t>Typical Floor-to-Floor (ft)</t>
  </si>
  <si>
    <t>12</t>
  </si>
  <si>
    <t xml:space="preserve">  DERIVED ZONING CAPACITY</t>
  </si>
  <si>
    <t>GFA by FAR (SF)</t>
  </si>
  <si>
    <t>FAR × Lot Area</t>
  </si>
  <si>
    <t>GFA by Coverage (SF)</t>
  </si>
  <si>
    <t>Coverage × Lot Area × Stories</t>
  </si>
  <si>
    <t>Max Stories by Height</t>
  </si>
  <si>
    <t>Height ÷ Floor-to-Floor</t>
  </si>
  <si>
    <t>ZONING-ALLOWED GFA (SF)</t>
  </si>
  <si>
    <t>Controlling (lower of FAR, Coverage)</t>
  </si>
  <si>
    <t xml:space="preserve">  FRONTAGE INCREASE (IBC §506.3)</t>
  </si>
  <si>
    <t>F — Qualifying Perimeter (ft)</t>
  </si>
  <si>
    <t>0</t>
  </si>
  <si>
    <t>P — Total Perimeter (ft)</t>
  </si>
  <si>
    <t>W — Avg Open Width (ft, max 30)</t>
  </si>
  <si>
    <t>30</t>
  </si>
  <si>
    <t>If = ((F/P)−0.25)×(W/30)</t>
  </si>
  <si>
    <t>Capped 0–0.75 per §506.3</t>
  </si>
  <si>
    <t>ADU PERMITTED?</t>
  </si>
  <si>
    <t>Yes / No / Conditional</t>
  </si>
  <si>
    <t>Off-Street Parking Required (spaces)</t>
  </si>
  <si>
    <t>Off-Street Parking Provided</t>
  </si>
  <si>
    <t>Parking Compliance</t>
  </si>
  <si>
    <t>03 — IBC AREA, HEIGHT &amp; OCCUPANCY COMPLIANCE (§504 / §506 / §508)</t>
  </si>
  <si>
    <t>TABULAR (CODE)</t>
  </si>
  <si>
    <t>ACTUAL (DESIGN)</t>
  </si>
  <si>
    <t>NOTES / CODE REF</t>
  </si>
  <si>
    <t xml:space="preserve">  OCCUPANCY &amp; CONSTRUCTION</t>
  </si>
  <si>
    <t>Primary Occupancy Group (Ch. 3)</t>
  </si>
  <si>
    <t>e.g., B, R-2, A-3, I-2</t>
  </si>
  <si>
    <t>Secondary Occupancy Group (if mixed)</t>
  </si>
  <si>
    <t>Mixed Occupancy Method (§508)</t>
  </si>
  <si>
    <t>Accessory / Non-Sep / Separated</t>
  </si>
  <si>
    <t>Construction Type (Ch. 6)</t>
  </si>
  <si>
    <t>I-A / II-B / III-A / V-B etc.</t>
  </si>
  <si>
    <t>Sprinkler System</t>
  </si>
  <si>
    <t>None / NFPA 13 / NFPA 13R / 13D</t>
  </si>
  <si>
    <t>Risk Category (Table 1604.5)</t>
  </si>
  <si>
    <t>I / II / III / IV</t>
  </si>
  <si>
    <t xml:space="preserve">  HEIGHT &amp; STORIES</t>
  </si>
  <si>
    <t>Allowable Height — Feet (Table 504.3)</t>
  </si>
  <si>
    <t>Enter from IBC Table 504.3 for occ/const type</t>
  </si>
  <si>
    <t>Allowable Height — Stories (Table 504.4)</t>
  </si>
  <si>
    <t>Enter from IBC Table 504.4</t>
  </si>
  <si>
    <t>Actual Building Height (ft)</t>
  </si>
  <si>
    <t>Actual Stories Above Grade</t>
  </si>
  <si>
    <t xml:space="preserve">  AREA CALCULATIONS (§506)</t>
  </si>
  <si>
    <t>At — Tabular Area, Non-Sprinklered (SF)</t>
  </si>
  <si>
    <t>From IBC 2021 Table 506.2</t>
  </si>
  <si>
    <t>NS — Tabular Sprinkler Increase (SF)</t>
  </si>
  <si>
    <t>If — Frontage Increase (from 02_ZONING)</t>
  </si>
  <si>
    <t>Linked from Zoning tab</t>
  </si>
  <si>
    <t>Number of Stories Above Grade (Sa, max 3 or 4)</t>
  </si>
  <si>
    <t>Aa per Story = (At + NS×If)</t>
  </si>
  <si>
    <t>Single-occ formula §506.2.1</t>
  </si>
  <si>
    <t>Total Allowable Area = Aa × Sa</t>
  </si>
  <si>
    <t>Multi-story §506.2.3</t>
  </si>
  <si>
    <t>Actual Total Building Area (SF)</t>
  </si>
  <si>
    <t>Actual Area per Story (SF, largest)</t>
  </si>
  <si>
    <t xml:space="preserve">  COMPLIANCE CHECK</t>
  </si>
  <si>
    <t>Area per Story vs. Allowable per Story</t>
  </si>
  <si>
    <t>Total Building Area vs. Total Allowable</t>
  </si>
  <si>
    <t>Height (ft) vs. Allowable</t>
  </si>
  <si>
    <t>Stories vs. Allowable</t>
  </si>
  <si>
    <t xml:space="preserve">  MIXED OCCUPANCY — SEPARATION RATIOS (§508.4.2)</t>
  </si>
  <si>
    <t>Occupancy A: Actual / Allowable Ratio</t>
  </si>
  <si>
    <t>Enter manually or from Multi_Occ sheet</t>
  </si>
  <si>
    <t>Occupancy B: Actual / Allowable Ratio</t>
  </si>
  <si>
    <t>Sum of Ratios (must be ≤ 1.00 per story)</t>
  </si>
  <si>
    <t>§508.4.2</t>
  </si>
  <si>
    <t>04 — FIRE PROTECTION &amp; RATING REQUIREMENTS (IBC TABLE 601 / 602)</t>
  </si>
  <si>
    <t>BUILDING ELEMENT</t>
  </si>
  <si>
    <t>FIRE SEP (FT)</t>
  </si>
  <si>
    <t>RATING REQ'D (HRS)</t>
  </si>
  <si>
    <t>RATING PROVIDED</t>
  </si>
  <si>
    <t>DETAIL / SHEET REF</t>
  </si>
  <si>
    <t>CODE REF</t>
  </si>
  <si>
    <t xml:space="preserve">  BUILDING ELEMENT RATINGS — IBC TABLE 601 &amp; 602</t>
  </si>
  <si>
    <t>Structural Frame (columns, girders, trusses)</t>
  </si>
  <si>
    <t>Bearing Walls — Exterior (North)</t>
  </si>
  <si>
    <t>Bearing Walls — Exterior (South)</t>
  </si>
  <si>
    <t>Bearing Walls — Exterior (East)</t>
  </si>
  <si>
    <t>Bearing Walls — Exterior (West)</t>
  </si>
  <si>
    <t>Bearing Walls — Interior</t>
  </si>
  <si>
    <t>Nonbearing Walls — Exterior (all faces)</t>
  </si>
  <si>
    <t>Nonbearing Walls / Partitions — Interior</t>
  </si>
  <si>
    <t>Floor Construction (incl. beams &amp; joists)</t>
  </si>
  <si>
    <t>Floor/Ceiling Assembly</t>
  </si>
  <si>
    <t>Roof Construction (incl. beams &amp; joists)</t>
  </si>
  <si>
    <t>Roof/Ceiling Assembly</t>
  </si>
  <si>
    <t>Shaft Enclosures — Exit (≥4 stories: 2-hr)</t>
  </si>
  <si>
    <t>Shaft Enclosures — Other</t>
  </si>
  <si>
    <t>Interior Exit Stairway Enclosure</t>
  </si>
  <si>
    <t>Elevator Enclosure (≥4 stories: 2-hr)</t>
  </si>
  <si>
    <t>Corridor Separation</t>
  </si>
  <si>
    <t>Occupancy / Fire Barrier Separation</t>
  </si>
  <si>
    <t>Party / Fire Wall Separation</t>
  </si>
  <si>
    <t>Smoke Barrier Separation</t>
  </si>
  <si>
    <t>Smoke Partition</t>
  </si>
  <si>
    <t>Tenant / Dwelling / Sleeping Unit Separation</t>
  </si>
  <si>
    <t>Incidental Use Separation (Table 509)</t>
  </si>
  <si>
    <t xml:space="preserve">  PERCENTAGE OF WALL OPENINGS — IBC TABLE 705.8</t>
  </si>
  <si>
    <t>WALL FACE</t>
  </si>
  <si>
    <t>FIRE SEP DIST (FT)</t>
  </si>
  <si>
    <t>OPENINGS ALLOWED (%)</t>
  </si>
  <si>
    <t>OPENINGS PROVIDED (%)</t>
  </si>
  <si>
    <t>NOTES</t>
  </si>
  <si>
    <t>North</t>
  </si>
  <si>
    <t>South</t>
  </si>
  <si>
    <t>East</t>
  </si>
  <si>
    <t>West</t>
  </si>
  <si>
    <t xml:space="preserve">  LIFE SAFETY SYSTEM REQUIREMENTS</t>
  </si>
  <si>
    <t>SYSTEM</t>
  </si>
  <si>
    <t>REQUIRED?</t>
  </si>
  <si>
    <t>PROVIDED?</t>
  </si>
  <si>
    <t>TYPE/STANDARD</t>
  </si>
  <si>
    <t>Fire Sprinkler System</t>
  </si>
  <si>
    <t>NFPA 13 / 13R / 13D</t>
  </si>
  <si>
    <t>Fire Alarm System</t>
  </si>
  <si>
    <t>Manual / Automatic / Addressable</t>
  </si>
  <si>
    <t>Emergency Voice/Alarm Communication</t>
  </si>
  <si>
    <t>Emergency Lighting (§1008.3)</t>
  </si>
  <si>
    <t>Exit Signs (§1013)</t>
  </si>
  <si>
    <t>Carbon Monoxide Detection</t>
  </si>
  <si>
    <t>Smoke Control System (§909)</t>
  </si>
  <si>
    <t>If applicable</t>
  </si>
  <si>
    <t>05 — LIFE SAFETY &amp; EGRESS ANALYSIS — COMMERCIAL / IBC (§1004 / §1006 / §1017)</t>
  </si>
  <si>
    <t xml:space="preserve">  OCCUPANT LOAD CALCULATION — PER ZONE/SPACE (IBC §1004 / Table 1004.5)</t>
  </si>
  <si>
    <t>ZONE / AREA NAME</t>
  </si>
  <si>
    <t>USE / OCC GROUP</t>
  </si>
  <si>
    <t>AREA (SF)</t>
  </si>
  <si>
    <t>OLF (SF/PERSON)</t>
  </si>
  <si>
    <t>OCC LOAD (PERSONS)</t>
  </si>
  <si>
    <t>Zone 1</t>
  </si>
  <si>
    <t>Zone 2</t>
  </si>
  <si>
    <t>Zone 3</t>
  </si>
  <si>
    <t>Zone 4</t>
  </si>
  <si>
    <t>Zone 5</t>
  </si>
  <si>
    <t>Zone 6</t>
  </si>
  <si>
    <t>Zone 7</t>
  </si>
  <si>
    <t>Zone 8</t>
  </si>
  <si>
    <t>TOTAL DESIGN OCCUPANT LOAD (largest floor)</t>
  </si>
  <si>
    <t xml:space="preserve">  EGRESS COMPLIANCE CHECKS (IBC Ch. 10)</t>
  </si>
  <si>
    <t>REQUIRED (CODE)</t>
  </si>
  <si>
    <t>PROVIDED</t>
  </si>
  <si>
    <t>IBC SECTION</t>
  </si>
  <si>
    <t>Number of Exits Required (§1006)</t>
  </si>
  <si>
    <t>§1006.2.1 — 2 exits if OL&gt;49</t>
  </si>
  <si>
    <t>Number of Exits Provided</t>
  </si>
  <si>
    <t>Minimum Exit Width (inches) — §1005</t>
  </si>
  <si>
    <t>§1005.1</t>
  </si>
  <si>
    <t>Min Corridor Width (inches) — §1020.2</t>
  </si>
  <si>
    <t>44</t>
  </si>
  <si>
    <t>44" min / 72" Group E</t>
  </si>
  <si>
    <t>Min Stair Width (inches) — §1011.2</t>
  </si>
  <si>
    <t>§1011.2</t>
  </si>
  <si>
    <t>Min Door Clear Width (inches) — §1010.1.1</t>
  </si>
  <si>
    <t>32</t>
  </si>
  <si>
    <t>§1010.1.1</t>
  </si>
  <si>
    <t>Max Exit Access Travel Distance (ft) — §1017.2</t>
  </si>
  <si>
    <t>Enter per occ group</t>
  </si>
  <si>
    <t>Max Common Path of Travel (ft) — §1006.2.1</t>
  </si>
  <si>
    <t>Max Dead-End Corridor (ft) — §1020.4</t>
  </si>
  <si>
    <t>20" max (no sprinkler)</t>
  </si>
  <si>
    <t>Panic Hardware — Required? (§1010.1.10)</t>
  </si>
  <si>
    <t>A/E occ ≥50 persons</t>
  </si>
  <si>
    <t>Emergency Lighting Provided — §1008.3</t>
  </si>
  <si>
    <t>Exit Signs Provided — §1013</t>
  </si>
  <si>
    <t>Life Safety Plan Sheet #</t>
  </si>
  <si>
    <t>06 — LIFE SAFETY CHECKLIST — RESIDENTIAL / IRC 2021</t>
  </si>
  <si>
    <t>LIFE SAFETY REQUIREMENT</t>
  </si>
  <si>
    <t>STATUS (Y/N/N/A)</t>
  </si>
  <si>
    <t>NOTES / IRC SECTION</t>
  </si>
  <si>
    <t xml:space="preserve">  SMOKE &amp; CO DETECTION</t>
  </si>
  <si>
    <t>Smoke alarm in every sleeping room (R314.3)</t>
  </si>
  <si>
    <t>Y / N / N/A</t>
  </si>
  <si>
    <t>Smoke alarm outside each sleeping area on each level (R314.3)</t>
  </si>
  <si>
    <t>Smoke alarms interconnected (R314.4)</t>
  </si>
  <si>
    <t>Hardwired or wireless</t>
  </si>
  <si>
    <t>CO detector required — fuel-burning appliances or attached garage (R315.1)</t>
  </si>
  <si>
    <t>CO detector outside each sleeping area (R315.3)</t>
  </si>
  <si>
    <t>Battery backup provided for all alarms</t>
  </si>
  <si>
    <t xml:space="preserve">  EGRESS &amp; EMERGENCY ESCAPE</t>
  </si>
  <si>
    <t>Emergency escape openings in each sleeping room below 4th story (R310)</t>
  </si>
  <si>
    <t>Min. 5.7 SF net clear opening (R310.2.1)</t>
  </si>
  <si>
    <t>Min. 24" clear opening height (R310.2.2)</t>
  </si>
  <si>
    <t>Min. 20" clear opening width (R310.2.3)</t>
  </si>
  <si>
    <t>Max. 44" sill height AFF (R310.2.4)</t>
  </si>
  <si>
    <t>Egress door: min 32" clear width, 78" height at main egress (R311.2)</t>
  </si>
  <si>
    <t>Clear egress path from all sleeping rooms to exterior</t>
  </si>
  <si>
    <t xml:space="preserve">  STAIRS, GUARDS &amp; HANDRAILS</t>
  </si>
  <si>
    <t>Stair width: min. 36" (R311.7.1)</t>
  </si>
  <si>
    <t>Max riser height: 7-3/4" (R311.7.5.1)</t>
  </si>
  <si>
    <t>Min tread depth: 10" (R311.7.5.2)</t>
  </si>
  <si>
    <t>Stair headroom: min. 6'-8" (R311.7.2)</t>
  </si>
  <si>
    <t>Handrail: 34"–38" AFF, continuous, graspable (R311.7.8)</t>
  </si>
  <si>
    <t>Guards at open sides ≥30" above floor — min 36" high (R312.1)</t>
  </si>
  <si>
    <t>Guards: no 4" sphere passage (R312.1.3)</t>
  </si>
  <si>
    <t xml:space="preserve">  FIRE SEPARATION</t>
  </si>
  <si>
    <t>Garage/dwelling separation: 5/8" Type X GWB on garage side (R302.6)</t>
  </si>
  <si>
    <t>Townhouse party wall: 2-hour fire resistance, continuous (R302.2)</t>
  </si>
  <si>
    <t>Openings in party wall: protected (R302.2.4)</t>
  </si>
  <si>
    <t xml:space="preserve">  ATTIC / CRAWLSPACE</t>
  </si>
  <si>
    <t>Attic access: min 22"x30" opening (R807.1)</t>
  </si>
  <si>
    <t>If used for storage/mech</t>
  </si>
  <si>
    <t>Crawlspace access: min 18"x24" (R408.4)</t>
  </si>
  <si>
    <t xml:space="preserve">  GLAZING</t>
  </si>
  <si>
    <t>Safety glazing at tubs/showers, doors, sidelights (R308.4)</t>
  </si>
  <si>
    <t>Safety glazing within 24" of door edge (R308.4.2)</t>
  </si>
  <si>
    <t>07 — ACCESSIBILITY — ADA / ICC A117.1 / IBC CH. 11</t>
  </si>
  <si>
    <t>ACCESSIBILITY REQUIREMENT</t>
  </si>
  <si>
    <t>COMPLIANT?</t>
  </si>
  <si>
    <t>IBC / SECTION</t>
  </si>
  <si>
    <t xml:space="preserve">  ACCESSIBLE ROUTE</t>
  </si>
  <si>
    <t>Accessible route from public way to all building entrances (§1104)</t>
  </si>
  <si>
    <t>§1104.1</t>
  </si>
  <si>
    <t>All entrances accessible OR exemptions documented (§1105)</t>
  </si>
  <si>
    <t>§1105.1</t>
  </si>
  <si>
    <t>Accessible path through all public/common areas (§1104)</t>
  </si>
  <si>
    <t xml:space="preserve">  ACCESSIBLE PARKING (§1106)</t>
  </si>
  <si>
    <t>Total parking spaces on lot</t>
  </si>
  <si>
    <t>Required accessible spaces (§1106.1)</t>
  </si>
  <si>
    <t>1 per 25 up to 100</t>
  </si>
  <si>
    <t>Van spaces with 132" access aisle provided (§1106.4)</t>
  </si>
  <si>
    <t>Min. 1 van space</t>
  </si>
  <si>
    <t>Accessible spaces provided</t>
  </si>
  <si>
    <t xml:space="preserve">  ACCESSIBLE RESTROOMS (ICC A117.1)</t>
  </si>
  <si>
    <t>Accessible WC clearances per A117.1 §603</t>
  </si>
  <si>
    <t>60" min turn space</t>
  </si>
  <si>
    <t>Grab bar blocking provided (A117.1 §604.5)</t>
  </si>
  <si>
    <t>Lavatory height and clearance (A117.1 §606)</t>
  </si>
  <si>
    <t>Accessible signage — Braille + raised characters (§1111)</t>
  </si>
  <si>
    <t xml:space="preserve">  VERTICAL ACCESSIBILITY (§1109.7)</t>
  </si>
  <si>
    <t>Elevator provided (required if &gt;2 stories or &gt;3,000 SF/floor)</t>
  </si>
  <si>
    <t>§1109.7</t>
  </si>
  <si>
    <t>Platform lift (if allowed in lieu of elevator) (§1109.8)</t>
  </si>
  <si>
    <t>Ramps: max 1:12 slope, handrails both sides (§1010.1)</t>
  </si>
  <si>
    <t xml:space="preserve">  DWELLING UNIT ACCESSIBILITY (§1107)</t>
  </si>
  <si>
    <t>Project triggers Fair Housing Act? (≥4 units)</t>
  </si>
  <si>
    <t>Type A Units Required (§1107.7.2)</t>
  </si>
  <si>
    <t>Enter count</t>
  </si>
  <si>
    <t>Type A Units Provided</t>
  </si>
  <si>
    <t>Type B Units Required (§1107.7.1.2)</t>
  </si>
  <si>
    <t>Type B Units Provided</t>
  </si>
  <si>
    <t xml:space="preserve">  ACCESSIBLE SERVICE ELEMENTS</t>
  </si>
  <si>
    <t>Accessible drinking fountains per §1109.5 (hi/lo)</t>
  </si>
  <si>
    <t>Accessible service counters per §1109.12</t>
  </si>
  <si>
    <t>Accessible seating (assembly) per §1108.2</t>
  </si>
  <si>
    <t>08 — PLUMBING FIXTURE CALCULATOR — IPC 2021 TABLE 403.1</t>
  </si>
  <si>
    <t>Ratios are editable (yellow). Update for local IPC amendments. Reference: buildingcode.blog/plumbing-fixture-calculator.html</t>
  </si>
  <si>
    <t xml:space="preserve">  INPUTS</t>
  </si>
  <si>
    <t>Total Design Occupant Load (from 05_LIFE_SAFETY_IBC)</t>
  </si>
  <si>
    <t>OR override:</t>
  </si>
  <si>
    <t>F4 = used occupant load</t>
  </si>
  <si>
    <t>Male/Female Split (% male)</t>
  </si>
  <si>
    <t>Default 50/50</t>
  </si>
  <si>
    <t>Male Occupant Load</t>
  </si>
  <si>
    <t>Female Occupant Load</t>
  </si>
  <si>
    <t xml:space="preserve">  FIXTURE RATIOS — EDITABLE (IPC TABLE 403.1 defaults — update per AHJ / local amendment)</t>
  </si>
  <si>
    <t>OCCUPANCY</t>
  </si>
  <si>
    <t>WC (M) ratio</t>
  </si>
  <si>
    <t>WC (F) ratio</t>
  </si>
  <si>
    <t>LAV ratio (M)</t>
  </si>
  <si>
    <t>LAV ratio (F)</t>
  </si>
  <si>
    <t>DF ratio</t>
  </si>
  <si>
    <t>B — Business / Office</t>
  </si>
  <si>
    <t>A-3 — Assembly (unconc.)</t>
  </si>
  <si>
    <t>A-2 — Assembly (dining)</t>
  </si>
  <si>
    <t>E — Educational</t>
  </si>
  <si>
    <t>I-2 — Institutional (hospital)</t>
  </si>
  <si>
    <t>M — Mercantile</t>
  </si>
  <si>
    <t>R-2 — Residential (per DU)</t>
  </si>
  <si>
    <t>S — Storage / Warehouse</t>
  </si>
  <si>
    <t xml:space="preserve">  CALCULATED REQUIREMENTS — SELECT OCCUPANCY ROW</t>
  </si>
  <si>
    <t>Selected Occupancy Row # (enter 1–8)</t>
  </si>
  <si>
    <t>Matches rows above (1=B/Office, 2=A-3, etc.)</t>
  </si>
  <si>
    <t>FIXTURE</t>
  </si>
  <si>
    <t>RATIO USED</t>
  </si>
  <si>
    <t>MALE LOAD</t>
  </si>
  <si>
    <t>FEMALE LOAD</t>
  </si>
  <si>
    <t>REQUIRED</t>
  </si>
  <si>
    <t>Water Closets (Male)</t>
  </si>
  <si>
    <t>Water Closets (Female)</t>
  </si>
  <si>
    <t>Lavatories (Male)</t>
  </si>
  <si>
    <t>Lavatories (Female)</t>
  </si>
  <si>
    <t>Drinking Fountains</t>
  </si>
  <si>
    <t>⚠ Verify ratios against IPC 2021 Table 403.1 and local amendments. Urinals may sub for up to 67% of male WC requirement.</t>
  </si>
  <si>
    <t>09 — ENERGY CODE COMPLIANCE — IECC 2021 / ASHRAE 90.1</t>
  </si>
  <si>
    <t xml:space="preserve">  ENERGY CODE INPUTS</t>
  </si>
  <si>
    <t>Climate Zone</t>
  </si>
  <si>
    <t>4A</t>
  </si>
  <si>
    <t>4A = DE/PA/MD/NJ typical — verify AHJ</t>
  </si>
  <si>
    <t>Compliance Method</t>
  </si>
  <si>
    <t>Prescriptive</t>
  </si>
  <si>
    <t>Prescriptive / Performance / ASHRAE 90.1 / REScheck</t>
  </si>
  <si>
    <t>Energy Calcs Stamped by Design Professional?</t>
  </si>
  <si>
    <t>Required for permit</t>
  </si>
  <si>
    <t xml:space="preserve">  COMMERCIAL ENVELOPE (IECC C402 / COMcheck)</t>
  </si>
  <si>
    <t>Roof/Ceiling Assembly Description</t>
  </si>
  <si>
    <t>Roof U-Value (max)</t>
  </si>
  <si>
    <t>Check IECC Table C402.1.3</t>
  </si>
  <si>
    <t>Roof R-Value (insulation)</t>
  </si>
  <si>
    <t>Exterior Wall Description</t>
  </si>
  <si>
    <t>Exterior Wall U-Value (max)</t>
  </si>
  <si>
    <t>Exterior Wall R-Value</t>
  </si>
  <si>
    <t>Glazing U-Factor (max)</t>
  </si>
  <si>
    <t>Glazing SHGC (max)</t>
  </si>
  <si>
    <t xml:space="preserve">  COMMERCIAL ADDITIONAL EFFICIENCY (C406)</t>
  </si>
  <si>
    <t>C406.2 More Efficient HVAC Equipment</t>
  </si>
  <si>
    <t>No</t>
  </si>
  <si>
    <t>Yes / No</t>
  </si>
  <si>
    <t>C406.3 Reduced Lighting Power Density</t>
  </si>
  <si>
    <t>C406.4 Enhanced Digital Lighting Controls</t>
  </si>
  <si>
    <t>C406.5 On-Site Renewable Energy</t>
  </si>
  <si>
    <t xml:space="preserve">  RESIDENTIAL ENVELOPE (IECC R402 / REScheck)</t>
  </si>
  <si>
    <t>Ceiling/Attic R-Value</t>
  </si>
  <si>
    <t>R-49</t>
  </si>
  <si>
    <t>Min R-49 Zone 4A typical</t>
  </si>
  <si>
    <t>Exterior Wall R-Value (cavity + continuous)</t>
  </si>
  <si>
    <t>R-20</t>
  </si>
  <si>
    <t>R-20 or R-13+5ci Zone 4A</t>
  </si>
  <si>
    <t>Floor R-Value (over uncond. space)</t>
  </si>
  <si>
    <t>R-19</t>
  </si>
  <si>
    <t>Slab Perimeter R-Value</t>
  </si>
  <si>
    <t>R-10</t>
  </si>
  <si>
    <t>Window U-Factor (max)</t>
  </si>
  <si>
    <t>0.30</t>
  </si>
  <si>
    <t>IECC Table R402.1.2</t>
  </si>
  <si>
    <t>Window SHGC (max)</t>
  </si>
  <si>
    <t>0.25</t>
  </si>
  <si>
    <t>Zone 4A</t>
  </si>
  <si>
    <t>Blower Door Test Required?</t>
  </si>
  <si>
    <t>≤3.0 ACH50 Zone 4A</t>
  </si>
  <si>
    <t>Measured ACH50 (post-construction)</t>
  </si>
  <si>
    <t>10 — STRUCTURAL DESIGN PARAMETERS &amp; SPECIAL INSPECTIONS</t>
  </si>
  <si>
    <t xml:space="preserve">  DESIGN LOADS</t>
  </si>
  <si>
    <t>Risk Category (ASCE 7 / IBC Table 1604.5)</t>
  </si>
  <si>
    <t>II</t>
  </si>
  <si>
    <t>Roof Live Load (psf)</t>
  </si>
  <si>
    <t>Floor Live Load (psf)</t>
  </si>
  <si>
    <t>40</t>
  </si>
  <si>
    <t>Residential typical</t>
  </si>
  <si>
    <t>Ground Snow Load (psf)</t>
  </si>
  <si>
    <t>25</t>
  </si>
  <si>
    <t>Verify for jurisdiction</t>
  </si>
  <si>
    <t>Design Wind Speed (mph — ASCE 7-22)</t>
  </si>
  <si>
    <t>Exposure Category</t>
  </si>
  <si>
    <t>B</t>
  </si>
  <si>
    <t>B / C / D</t>
  </si>
  <si>
    <t>Importance Factor — Wind</t>
  </si>
  <si>
    <t>1.0</t>
  </si>
  <si>
    <t>Importance Factor — Seismic</t>
  </si>
  <si>
    <t xml:space="preserve">  SEISMIC</t>
  </si>
  <si>
    <t>Seismic Design Category (IBC §1613)</t>
  </si>
  <si>
    <t>A / B / C / D</t>
  </si>
  <si>
    <t>Spectral Response — Ss (% g)</t>
  </si>
  <si>
    <t>From USGS hazard map</t>
  </si>
  <si>
    <t>Spectral Response — S1 (% g)</t>
  </si>
  <si>
    <t>Site Classification (ASCE 7)</t>
  </si>
  <si>
    <t>C</t>
  </si>
  <si>
    <t>A / B / C / D / E / F</t>
  </si>
  <si>
    <t>Data Source</t>
  </si>
  <si>
    <t>USGS Hazard Tool</t>
  </si>
  <si>
    <t>Field test / Presumptive / Historical</t>
  </si>
  <si>
    <t>Lateral Design Control</t>
  </si>
  <si>
    <t>Wind</t>
  </si>
  <si>
    <t>Earthquake / Wind</t>
  </si>
  <si>
    <t xml:space="preserve">  SOIL</t>
  </si>
  <si>
    <t>Soil Bearing Capacity (psf)</t>
  </si>
  <si>
    <t>From geotech report or presumptive</t>
  </si>
  <si>
    <t>Geotechnical Report Required?</t>
  </si>
  <si>
    <t>Required for new construction</t>
  </si>
  <si>
    <t>Foundation Type</t>
  </si>
  <si>
    <t>Slab / Spread footing / Pile / Caisson</t>
  </si>
  <si>
    <t xml:space="preserve">  SPECIAL INSPECTIONS (IBC §1704 / §1705)</t>
  </si>
  <si>
    <t>Special Inspections Required?</t>
  </si>
  <si>
    <t>Concrete (§1705.3)</t>
  </si>
  <si>
    <t>Steel (§1705.2)</t>
  </si>
  <si>
    <t>Masonry (§1705.4)</t>
  </si>
  <si>
    <t>Wood — High-load diaphragms (§1705.5)</t>
  </si>
  <si>
    <t>SPRFR — Sprayed Fire Resistant Materials (§1705.14)</t>
  </si>
  <si>
    <t>EIFS (§1705.16)</t>
  </si>
  <si>
    <t>Wind-resisting components (§1705.11)</t>
  </si>
  <si>
    <t>Seismic resistance (§1705.12)</t>
  </si>
  <si>
    <t>Penetration firestops (§1705.17)</t>
  </si>
  <si>
    <t>Approved Fabricator (§1704.2.5)</t>
  </si>
  <si>
    <t>Name if applicable</t>
  </si>
  <si>
    <t xml:space="preserve">  SEISMIC NONSTRUCTURAL COMPONENT CHECKLIST (IBC §1705.12 / ASCE 7 Ch. 13)</t>
  </si>
  <si>
    <t>Per IBC 1613.1. Mark each item: ON CD = shown on construction documents  |  DEF = deferred submittal  |  NR = not required (per ASCE 7 §13.1.4)  |  N/A = not on project</t>
  </si>
  <si>
    <t>COMPONENT</t>
  </si>
  <si>
    <t>NOT REQ'D</t>
  </si>
  <si>
    <t>ON CONST DOCS</t>
  </si>
  <si>
    <t>DEFERRED</t>
  </si>
  <si>
    <t>NOTES / SPEC REF</t>
  </si>
  <si>
    <t xml:space="preserve">  ARCHITECTURAL COMPONENTS</t>
  </si>
  <si>
    <t xml:space="preserve">    Interior nonstructural walls and partitions (§13.5.6)</t>
  </si>
  <si>
    <t xml:space="preserve">    Cantilever elements — parapets, freestanding walls (§13.5.8)</t>
  </si>
  <si>
    <t xml:space="preserve">    Exterior nonstructural wall elements and connections (§13.5.3)</t>
  </si>
  <si>
    <t xml:space="preserve">    Veneer — stone, brick, architectural precast (§13.5.5)</t>
  </si>
  <si>
    <t xml:space="preserve">    Penthouses and rooftop structures (§13.5)</t>
  </si>
  <si>
    <t xml:space="preserve">    Suspended ceiling systems — grid or hard-lid (§13.5.6)</t>
  </si>
  <si>
    <t xml:space="preserve">    Storage cabinets and equipment supports (§13.5.8)</t>
  </si>
  <si>
    <t xml:space="preserve">    Access floors (§13.5.7)</t>
  </si>
  <si>
    <t xml:space="preserve">    Storage racks (§15.5.3)</t>
  </si>
  <si>
    <t xml:space="preserve">    Appendages and ornamentations (§13.5.8)</t>
  </si>
  <si>
    <t xml:space="preserve">    Signs and billboards (§13.5.8)</t>
  </si>
  <si>
    <t xml:space="preserve">    Glass and glazing in curtain walls (§13.5.9)</t>
  </si>
  <si>
    <t xml:space="preserve">  MEP COMPONENTS</t>
  </si>
  <si>
    <t xml:space="preserve">    Fire sprinkler systems (§13.6.8)</t>
  </si>
  <si>
    <t xml:space="preserve">    HVAC — air handlers, fans, boilers, furnaces, chillers (§13.6.2)</t>
  </si>
  <si>
    <t xml:space="preserve">    Tanks and vessels — pressure, fluid storage (§13.6.7)</t>
  </si>
  <si>
    <t xml:space="preserve">    Mechanical equipment — pumps, compressors, engines (§13.6.2)</t>
  </si>
  <si>
    <t xml:space="preserve">    Piping systems — process, HVAC, fire protection (§13.6.5)</t>
  </si>
  <si>
    <t xml:space="preserve">    Ductwork including in-line components (§13.6.6)</t>
  </si>
  <si>
    <t xml:space="preserve">    Cable trays and conduit systems (§13.6.4)</t>
  </si>
  <si>
    <t xml:space="preserve">    Electrical equipment — generators, switchgear, MCC, panels (§13.6.3)</t>
  </si>
  <si>
    <t xml:space="preserve">    Battery systems and inverters (§13.6.3)</t>
  </si>
  <si>
    <t xml:space="preserve">    Elevator and escalator components (§13.6.10)</t>
  </si>
  <si>
    <t xml:space="preserve">    Communication equipment, servers, instrumentation (§13.6.3)</t>
  </si>
  <si>
    <t xml:space="preserve">    Roof-mounted chimneys, cooling towers, electrical towers (§13.6.2)</t>
  </si>
  <si>
    <t xml:space="preserve">    Lighting fixtures — pendant and surface mounted (§13.5.6)</t>
  </si>
  <si>
    <t xml:space="preserve">    Vibration isolated components (§13.6.2)</t>
  </si>
  <si>
    <t xml:space="preserve">    Conveyors (§13.6.9)</t>
  </si>
  <si>
    <t xml:space="preserve">    Seismic isolation systems (§13.6.11)</t>
  </si>
  <si>
    <t xml:space="preserve">  SPECIAL INSPECTION TRIGGERS</t>
  </si>
  <si>
    <t xml:space="preserve">    Structural steel seismic (§1705.12.1 — AISC 341)</t>
  </si>
  <si>
    <t xml:space="preserve">    Structural wood — field gluing, nailing/bolting (§1705.12.2)</t>
  </si>
  <si>
    <t xml:space="preserve">    Cold-formed steel framing (§1705.12.3)</t>
  </si>
  <si>
    <t xml:space="preserve">    Designated seismic systems (§1705.12.4)</t>
  </si>
  <si>
    <t xml:space="preserve">    Architectural components (§1705.12.5)</t>
  </si>
  <si>
    <t xml:space="preserve">    Plumbing, mechanical, electrical (§1705.12.6)</t>
  </si>
  <si>
    <t xml:space="preserve">    Seismic isolation system testing (§1705.13.4)</t>
  </si>
  <si>
    <t>⚠ Deferred submittals must be submitted to AHJ minimum 2 weeks before installation. No deferred items shall be installed without AHJ approval. See IBC Ch. 1 / §1704.</t>
  </si>
  <si>
    <t>11 — AUTO-GENERATED CODE SUMMARY BLOCK (copy to Sheet A-001)</t>
  </si>
  <si>
    <t>⚡ All fields pull from other tabs. Fill those tabs first. This sheet is read-only output.</t>
  </si>
  <si>
    <t xml:space="preserve">  CODE SUMMARY — COPY THIS BLOCK TO SHEET A-001</t>
  </si>
  <si>
    <t>APPLICABLE CODES AS AMENDED BY THE STATE OF DELAWARE:</t>
  </si>
  <si>
    <t>BUILDING CODE:</t>
  </si>
  <si>
    <t>EXISTING BUILDING CODE:</t>
  </si>
  <si>
    <t>FIRE CODE (STATEWIDE):</t>
  </si>
  <si>
    <t>PLUMBING CODE (STATEWIDE):</t>
  </si>
  <si>
    <t>MECHANICAL CODE:</t>
  </si>
  <si>
    <t>FUEL GAS CODE:</t>
  </si>
  <si>
    <t>ENERGY CODE (STATEWIDE):</t>
  </si>
  <si>
    <t>ACCESSIBILITY:</t>
  </si>
  <si>
    <t>LOCAL AMENDMENTS:</t>
  </si>
  <si>
    <t>BUILDING DATA:</t>
  </si>
  <si>
    <t>PROJECT:</t>
  </si>
  <si>
    <t>ADDRESS:</t>
  </si>
  <si>
    <t>OCCUPANCY USE GROUP(S):</t>
  </si>
  <si>
    <t>CONSTRUCTION TYPE (IBC TABLE 601):</t>
  </si>
  <si>
    <t>RISK CATEGORY (IBC TABLE 1604.5):</t>
  </si>
  <si>
    <t>SPRINKLER SYSTEM:</t>
  </si>
  <si>
    <t>BUILDING AREA:</t>
  </si>
  <si>
    <t>EXISTING HEIGHT ABOVE GRADE:</t>
  </si>
  <si>
    <t>ALLOWABLE HEIGHT:</t>
  </si>
  <si>
    <t>ALLOWABLE AREA:</t>
  </si>
  <si>
    <t>MEANS OF EGRESS (IBC CH. 10):</t>
  </si>
  <si>
    <t>DESIGN OCCUPANT LOAD:</t>
  </si>
  <si>
    <t>NUMBER OF EXITS PROVIDED:</t>
  </si>
  <si>
    <t>CORRIDOR WIDTH MIN.:</t>
  </si>
  <si>
    <t>MAX TRAVEL DISTANCE:</t>
  </si>
  <si>
    <t>FIRE RESISTANCE RATING REQ. (TABLE 601)</t>
  </si>
  <si>
    <t>STRUCTURAL FRAME:</t>
  </si>
  <si>
    <t>BEARING WALLS — EXTERIOR:</t>
  </si>
  <si>
    <t>BEARING WALLS — INTERIOR:</t>
  </si>
  <si>
    <t>NONBEARING WALLS — EXTERIOR:</t>
  </si>
  <si>
    <t>FLOOR CONSTRUCTION:</t>
  </si>
  <si>
    <t>ROOF CONSTRUCTION:</t>
  </si>
  <si>
    <t>PLUMBING FIXTURES (IPC CH. 4 / TABLE 403.1):</t>
  </si>
  <si>
    <t>WATER CLOSETS — MALE REQ'D:</t>
  </si>
  <si>
    <t>WATER CLOSETS — FEMALE REQ'D:</t>
  </si>
  <si>
    <t>LAVATORIES — MALE REQ'D:</t>
  </si>
  <si>
    <t>LAVATORIES — FEMALE REQ'D:</t>
  </si>
  <si>
    <t>DRINKING FOUNTAINS REQ'D:</t>
  </si>
  <si>
    <t>12 — INTERNAL REVIEW PROTOCOL &amp; ALDi GATE SIGN-OFF</t>
  </si>
  <si>
    <t>REVIEW TASK</t>
  </si>
  <si>
    <t>ALDi GATE</t>
  </si>
  <si>
    <t>REVIEWER / ROLE</t>
  </si>
  <si>
    <t>DATE</t>
  </si>
  <si>
    <t>INITIALS</t>
  </si>
  <si>
    <t xml:space="preserve">  G0 — ROM GATE</t>
  </si>
  <si>
    <t>Jurisdiction confirmed — City vs. County — correct code applied</t>
  </si>
  <si>
    <t>G0 ROM</t>
  </si>
  <si>
    <t>Zoning district and UDC URL documented in 02_ZONING</t>
  </si>
  <si>
    <t>Occupancy group and construction type confirmed</t>
  </si>
  <si>
    <t>Preliminary height/area check — pass/fail noted</t>
  </si>
  <si>
    <t>G0 sign-off — David Ainsworth / Predevelopment Lead</t>
  </si>
  <si>
    <t xml:space="preserve">  G1 — FEASIBILITY GATE</t>
  </si>
  <si>
    <t>Life safety schematic complete (egress windows, exits, paths)</t>
  </si>
  <si>
    <t>G1 Feasibility</t>
  </si>
  <si>
    <t>Fire separation matrix populated (Tab 04)</t>
  </si>
  <si>
    <t>Plumbing fixture count preliminary (Tab 08)</t>
  </si>
  <si>
    <t>Energy code compliance path selected (Tab 09)</t>
  </si>
  <si>
    <t>Local amendments reviewed and logged in Tab 14</t>
  </si>
  <si>
    <t>G1 sign-off — AOR / Project Architect</t>
  </si>
  <si>
    <t xml:space="preserve">  G2 — 75% DD GATE</t>
  </si>
  <si>
    <t>Code block verified and copied to Sheet A-001</t>
  </si>
  <si>
    <t>G2 75% DD</t>
  </si>
  <si>
    <t>All Tab 03 pass/fail checks GREEN</t>
  </si>
  <si>
    <t>Fire protection matrix complete with detail sheet refs</t>
  </si>
  <si>
    <t>Structural parameters confirmed with EOR</t>
  </si>
  <si>
    <t>ADA compliance verified — Tab 07</t>
  </si>
  <si>
    <t>Plumbing fixture count finalized vs. permit set</t>
  </si>
  <si>
    <t>MEP systems summary reviewed by MEP engineers</t>
  </si>
  <si>
    <t>All open flags in Tab 13 resolved or escalated</t>
  </si>
  <si>
    <t>G2 sign-off — AOR + M4D Project Lead</t>
  </si>
  <si>
    <t xml:space="preserve">  G3 — GMP / PRE-PERMIT GATE</t>
  </si>
  <si>
    <t>Full checklist vs. AHJ submittal requirements</t>
  </si>
  <si>
    <t>G3 GMP</t>
  </si>
  <si>
    <t>Deferred submittals list prepared (Tab 10)</t>
  </si>
  <si>
    <t>Fire sprinkler / alarm deferred submittal listed if applicable</t>
  </si>
  <si>
    <t>Energy calcs stamped by design professional</t>
  </si>
  <si>
    <t>Special inspections list prepared and distributed (Tab 10)</t>
  </si>
  <si>
    <t>Permit set issued — code block final-checked</t>
  </si>
  <si>
    <t>G3 sign-off — AOR</t>
  </si>
  <si>
    <t xml:space="preserve">  POST-PERMIT</t>
  </si>
  <si>
    <t>AHJ plan review comments received — log in Tab 13</t>
  </si>
  <si>
    <t>G3 / G4</t>
  </si>
  <si>
    <t>Comments resolved — resubmission if required</t>
  </si>
  <si>
    <t>G4 Closeout</t>
  </si>
  <si>
    <t>13 — FLAGS, EXCEPTIONS &amp; OPEN ITEMS LOG</t>
  </si>
  <si>
    <t>#</t>
  </si>
  <si>
    <t>DESCRIPTION</t>
  </si>
  <si>
    <t>OPENED BY</t>
  </si>
  <si>
    <t>STATUS</t>
  </si>
  <si>
    <t>RESOLUTION / NOTES</t>
  </si>
  <si>
    <t>STATUS OPTIONS: OPEN | IN REVIEW | AHJ COORDINATION | RESOLVED — NO ACTION | RESOLVED — DESIGN CHANGE</t>
  </si>
  <si>
    <t>14 — LOCAL AMENDMENT REGISTRY — JURISDICTION-SPECIFIC CODE OVERRIDES</t>
  </si>
  <si>
    <t>Log every local amendment here. When ICC updates, review each row. Update IBC/IRC edition in 01_PROJECT_ID and check if amendments still apply.</t>
  </si>
  <si>
    <t>JURISDICTION</t>
  </si>
  <si>
    <t>CODE SECTION</t>
  </si>
  <si>
    <t>STANDARD VALUE</t>
  </si>
  <si>
    <t>LOCAL OVERRIDE / AMENDMENT</t>
  </si>
  <si>
    <t>SOURCE URL</t>
  </si>
  <si>
    <t>VERIFIED DATE</t>
  </si>
  <si>
    <t>State of Delaware</t>
  </si>
  <si>
    <t>Fire Code</t>
  </si>
  <si>
    <t>IFC</t>
  </si>
  <si>
    <t>Delaware State Fire Prevention Regulations — NFPA 1, NFPA 101, DE State Fire Marshal authority</t>
  </si>
  <si>
    <t>https://www.statefiredel.com/</t>
  </si>
  <si>
    <t>2026-04</t>
  </si>
  <si>
    <t>Plumbing Code</t>
  </si>
  <si>
    <t>IPC 2021</t>
  </si>
  <si>
    <t>State of Delaware Plumbing Code (IPC 2021 with DE amendments)</t>
  </si>
  <si>
    <t>https://dpr.delaware.gov/</t>
  </si>
  <si>
    <t>Energy Code</t>
  </si>
  <si>
    <t>IECC 2021</t>
  </si>
  <si>
    <t>Delaware State Energy Conservation Code — based on 2018/2021 IECC with DE amendments</t>
  </si>
  <si>
    <t>https://dnrec.delaware.gov/energy/</t>
  </si>
  <si>
    <t>City of Wilmington</t>
  </si>
  <si>
    <t>Zoning</t>
  </si>
  <si>
    <t>IBC / Local UDC</t>
  </si>
  <si>
    <t>Chapter 48, City of Wilmington Code of Ordinances — applies to City parcels only (NOT NCC UDC)</t>
  </si>
  <si>
    <t>https://library.municode.com/de/wilmington/codes/code_of_ordinances?nodeId=PTIIWICO_CH48ZO</t>
  </si>
  <si>
    <t>New Castle County</t>
  </si>
  <si>
    <t>NCC UDC</t>
  </si>
  <si>
    <t>New Castle County Unified Development Code — applies to unincorporated NCC parcels ONLY</t>
  </si>
  <si>
    <t>https://www.nccde.org/156/Code-of-Ordinances</t>
  </si>
  <si>
    <t>Accessibility</t>
  </si>
  <si>
    <t>ADA 2010 + ICC A117.1-2010</t>
  </si>
  <si>
    <t>IBC Chapter 11 — referenced accessibility standard is ICC A117.1 (2010)</t>
  </si>
  <si>
    <t>Professional Licensure</t>
  </si>
  <si>
    <t>AIA / NCARB</t>
  </si>
  <si>
    <t>Delaware State Board of Architects — Certificate of Authorization required for firm practice</t>
  </si>
  <si>
    <t>https://dpr.delaware.gov/boards/architects/</t>
  </si>
  <si>
    <t>ADD MORE BELOW</t>
  </si>
  <si>
    <t>JURISDICTION FILTER — amendments matching the jurisdiction selected in 01_PROJECT_ID!C10</t>
  </si>
  <si>
    <t>Active Jurisdiction (from 01_PROJECT_ID):</t>
  </si>
  <si>
    <t>Amendment rows matching this jurisdiction:</t>
  </si>
  <si>
    <t>↑ Review all matching rows before permit submittal</t>
  </si>
  <si>
    <t>15 — CONSTRUCTION DRAWING REQUIREMENTS CHECKLIST — PERMIT SUBMITTAL</t>
  </si>
  <si>
    <t>Based on IBC §107 submittal requirements + Pacific WA Drawing Requirements + Phoenix Plan Review Checklist. Check applicable type below.</t>
  </si>
  <si>
    <t>Project Type for This Checklist:</t>
  </si>
  <si>
    <t>Commercial / Residential / Mixed-Use</t>
  </si>
  <si>
    <t>STATUS KEY:  Y = Complete  |  N = Missing/Incomplete  |  N/A = Not Applicable</t>
  </si>
  <si>
    <t>REQUIREMENT (COMMERCIAL — IBC §107)</t>
  </si>
  <si>
    <t>NOTES / SHEET REF</t>
  </si>
  <si>
    <t xml:space="preserve">  COVER SHEET / CODE DATA (IBC §107.2.1 / Phoenix 1.A)</t>
  </si>
  <si>
    <t>Cover sheet or code data sheet provided with permit set</t>
  </si>
  <si>
    <t>IBC 107.2.1</t>
  </si>
  <si>
    <t>Designer's seal, signature, date on all sheets</t>
  </si>
  <si>
    <t>IBC 107.1</t>
  </si>
  <si>
    <t>Adopted code editions listed (IBC, IFC, IMC, IPC, IECC, NEC)</t>
  </si>
  <si>
    <t>Complete drawing sheet list in permit scope</t>
  </si>
  <si>
    <t>Detailed description of work scope</t>
  </si>
  <si>
    <t>IBC 105.3</t>
  </si>
  <si>
    <t>Deferred submittals list with note: 'Do not install until approved'</t>
  </si>
  <si>
    <t>IBC 107.3.4.1</t>
  </si>
  <si>
    <t>Registered design professional named with contact info</t>
  </si>
  <si>
    <t>IBC 107.3.4</t>
  </si>
  <si>
    <t>Occupancy classification shown on cover</t>
  </si>
  <si>
    <t>IBC 302.1</t>
  </si>
  <si>
    <t>Construction type shown on cover</t>
  </si>
  <si>
    <t>IBC 602.1</t>
  </si>
  <si>
    <t>Sprinkler system type specified (NFPA 13 / 13R / 13D)</t>
  </si>
  <si>
    <t>IBC §903</t>
  </si>
  <si>
    <t>Fire alarm system specified if required</t>
  </si>
  <si>
    <t>IBC 907.2</t>
  </si>
  <si>
    <t>Special inspections certificate / statement of SI (if req'd)</t>
  </si>
  <si>
    <t>IBC 1704.3 / 1705.1.1</t>
  </si>
  <si>
    <t>Code summary block on cover — completed and accurate</t>
  </si>
  <si>
    <t>M4Di standard</t>
  </si>
  <si>
    <t xml:space="preserve">  SITE PLAN (IBC §107.2.6 / §2.A)</t>
  </si>
  <si>
    <t>Scaled site plan showing all buildings — scale noted with North arrow</t>
  </si>
  <si>
    <t>IBC 107.2.6</t>
  </si>
  <si>
    <t>Building footprint dimensions and distance to all property lines</t>
  </si>
  <si>
    <t>Building height and stories shown for each structure</t>
  </si>
  <si>
    <t>IBC 503.1</t>
  </si>
  <si>
    <t>Building area shown for each structure</t>
  </si>
  <si>
    <t>Fire separation distances (FSD) dimensioned to property lines and public ways</t>
  </si>
  <si>
    <t>Exterior wall fire rating shown for each face vs FSD</t>
  </si>
  <si>
    <t>Wall opening percentages shown for walls with FSD &lt; 20 ft (NFPA 13) or &lt;30 ft (13R)</t>
  </si>
  <si>
    <t>IBC 705.8</t>
  </si>
  <si>
    <t>Path of exit discharge shown to public way or safe dispersal area</t>
  </si>
  <si>
    <t>IBC 1028.5</t>
  </si>
  <si>
    <t>Photometric plan or 1 fc illumination shown at exit discharge path</t>
  </si>
  <si>
    <t>IBC 1008.2.1</t>
  </si>
  <si>
    <t>Accessible parking spaces shown — count, location, van spaces</t>
  </si>
  <si>
    <t>IBC 1106</t>
  </si>
  <si>
    <t>Utilities: water, sewer, gas, electricity located on site plan</t>
  </si>
  <si>
    <t>§107</t>
  </si>
  <si>
    <t>Site contours and drainage shown</t>
  </si>
  <si>
    <t>Frontage dimensions shown if used for area increase</t>
  </si>
  <si>
    <t>IBC 506.3</t>
  </si>
  <si>
    <t xml:space="preserve">  FLOOR PLANS (IBC §107.2.1 / §3.A)</t>
  </si>
  <si>
    <t>Floor plan for each story, to scale (min. 1/4" = 1'-0" recommended)</t>
  </si>
  <si>
    <t>All spaces labeled with name, occupancy classification, and use</t>
  </si>
  <si>
    <t>Occupant load factor and count shown for each room/space</t>
  </si>
  <si>
    <t>IBC 1004.5</t>
  </si>
  <si>
    <t>Egress paths shown — start and stop of travel distance dimensioned</t>
  </si>
  <si>
    <t>IBC 1017.2</t>
  </si>
  <si>
    <t>Common path of travel dimensioned</t>
  </si>
  <si>
    <t>IBC 1006.2.1</t>
  </si>
  <si>
    <t>Dead-end corridor length dimensioned</t>
  </si>
  <si>
    <t>IBC 1020.4</t>
  </si>
  <si>
    <t>Corridor width dimensioned — min. 44" (72" Group E)</t>
  </si>
  <si>
    <t>IBC 1020.2</t>
  </si>
  <si>
    <t>Exit doors labeled, hardware schedule provided, free egress confirmed</t>
  </si>
  <si>
    <t>IBC 1010.1.9</t>
  </si>
  <si>
    <t>Door sizes shown — min 32" clear width, min 6'-8" height</t>
  </si>
  <si>
    <t>IBC 1010.1.1</t>
  </si>
  <si>
    <t>Doors serving ≥50 occ swing in direction of egress</t>
  </si>
  <si>
    <t>IBC 1010.1.2.1</t>
  </si>
  <si>
    <t>Panic hardware shown for A/E occ ≥50 persons</t>
  </si>
  <si>
    <t>IBC 1010.1.10</t>
  </si>
  <si>
    <t>Exit signs shown at required locations (doors + every 100 ft)</t>
  </si>
  <si>
    <t>IBC 1013.1</t>
  </si>
  <si>
    <t>Fire-resistance ratings shown on all walls and elements</t>
  </si>
  <si>
    <t>Fire walls, barriers, partitions, smoke barriers labeled by IBC terminology</t>
  </si>
  <si>
    <t>Elevator shown — stretcher-capable if ≥5 stories</t>
  </si>
  <si>
    <t>IBC 3002.4</t>
  </si>
  <si>
    <t>Mezzanines — open, ≤ 1/3 of room area</t>
  </si>
  <si>
    <t>IBC 505.2.1</t>
  </si>
  <si>
    <t>ADA accessible route shown through all public areas</t>
  </si>
  <si>
    <t>IBC 1104</t>
  </si>
  <si>
    <t>Accessible restroom clearances and features shown</t>
  </si>
  <si>
    <t>ICC A117.1</t>
  </si>
  <si>
    <t>Interior finishes identified on floor plans</t>
  </si>
  <si>
    <t>IBC 801.1</t>
  </si>
  <si>
    <t>GFCI locations identified</t>
  </si>
  <si>
    <t>NEC 210.8</t>
  </si>
  <si>
    <t xml:space="preserve">  ROOF PLAN (IBC §4)</t>
  </si>
  <si>
    <t>Scaled roof plan for all buildings</t>
  </si>
  <si>
    <t>Primary and secondary roof drains shown with elevations</t>
  </si>
  <si>
    <t>IBC 1502.2</t>
  </si>
  <si>
    <t>Roof covering assembly classification noted</t>
  </si>
  <si>
    <t>IBC 1505.1</t>
  </si>
  <si>
    <t>Roof slope identified and complies with covering type</t>
  </si>
  <si>
    <t>IBC §1507</t>
  </si>
  <si>
    <t>Parapets shown if required — height labeled</t>
  </si>
  <si>
    <t>IBC 705.11</t>
  </si>
  <si>
    <t>Guards at roof edges / equipment — height labeled</t>
  </si>
  <si>
    <t>IBC 1015.6</t>
  </si>
  <si>
    <t>Roof framing cross-ventilation or within thermal envelope shown</t>
  </si>
  <si>
    <t>IBC 1202.2</t>
  </si>
  <si>
    <t xml:space="preserve">  ELEVATIONS &amp; SECTIONS (IBC §6)</t>
  </si>
  <si>
    <t>Exterior elevations for all faces — to scale</t>
  </si>
  <si>
    <t>Grade plane, floor, roof, parapet heights dimensioned</t>
  </si>
  <si>
    <t>Exterior wall coverings identified with installation detail reference</t>
  </si>
  <si>
    <t>IBC 1404.1</t>
  </si>
  <si>
    <t>Water resistive barrier specified</t>
  </si>
  <si>
    <t>IBC 1403.2</t>
  </si>
  <si>
    <t>Flashing at all WRB intersections detailed</t>
  </si>
  <si>
    <t>IBC 1402.2</t>
  </si>
  <si>
    <t>Building sections showing all floor-to-floor heights</t>
  </si>
  <si>
    <t>Min. 7'-6" ceiling height shown, obstructions dimensioned</t>
  </si>
  <si>
    <t>IBC 1003.2</t>
  </si>
  <si>
    <t>Interior wall and ceiling finishes identified and flame-spread classified</t>
  </si>
  <si>
    <t>IBC 803.1</t>
  </si>
  <si>
    <t>Stair sections: 44" min width, 7" max riser, 11" min tread, 6'-8" headroom</t>
  </si>
  <si>
    <t>IBC 1011</t>
  </si>
  <si>
    <t>Handrail details: 34"–38" AFF, continuous, graspable</t>
  </si>
  <si>
    <t>IBC 1014</t>
  </si>
  <si>
    <t>Guards: 42" height, 4" sphere passage limit</t>
  </si>
  <si>
    <t>IBC 1015.3</t>
  </si>
  <si>
    <t>Safety glazing in hazardous locations identified</t>
  </si>
  <si>
    <t>IBC 2406</t>
  </si>
  <si>
    <t xml:space="preserve">  STRUCTURAL DRAWINGS (IBC §5)</t>
  </si>
  <si>
    <t>Structural floor and roof plans with primary frame members identified</t>
  </si>
  <si>
    <t>IBC 704.3</t>
  </si>
  <si>
    <t>Structural design loads noted on structural sheets</t>
  </si>
  <si>
    <t>IBC §1603</t>
  </si>
  <si>
    <t>Live load signage required if &gt;50 psf</t>
  </si>
  <si>
    <t>IBC 106.1</t>
  </si>
  <si>
    <t>Foundation plan: footing locations, sizes, reinforcing, anchor bolts</t>
  </si>
  <si>
    <t>IBC §107</t>
  </si>
  <si>
    <t>Framing: member sizes, species, grade, spacing, spans shown</t>
  </si>
  <si>
    <t>Shear wall locations and nailing schedules provided</t>
  </si>
  <si>
    <t>IRC R602.10 / IBC</t>
  </si>
  <si>
    <t>Engineered truss drawings stamped by RDP, layout plan included</t>
  </si>
  <si>
    <t>Lateral load connections detailed at all connections</t>
  </si>
  <si>
    <t>Geotechnical report submitted for new construction</t>
  </si>
  <si>
    <t>Fire-rated assemblies supported by fire-rated construction (shown)</t>
  </si>
  <si>
    <t>IBC 707.5.1</t>
  </si>
  <si>
    <t>Vertical continuity of fire walls / barriers detailed</t>
  </si>
  <si>
    <t>IBC 706.6</t>
  </si>
  <si>
    <t xml:space="preserve">  MEP DRAWINGS</t>
  </si>
  <si>
    <t>Mechanical: HVAC system type, capacities, duct layout identified</t>
  </si>
  <si>
    <t>IMC §107</t>
  </si>
  <si>
    <t>Mechanical: Exhaust systems with equipment and duct sizing</t>
  </si>
  <si>
    <t>Mechanical: Energy calculations for HVAC provided and stamped</t>
  </si>
  <si>
    <t>IECC §107</t>
  </si>
  <si>
    <t>Plumbing: Water supply and sanitary drainage riser diagrams</t>
  </si>
  <si>
    <t>IPC §107</t>
  </si>
  <si>
    <t>Plumbing: Fixture count per Table 403.1 — matrix on plans</t>
  </si>
  <si>
    <t>IPC Table 403.1</t>
  </si>
  <si>
    <t>Plumbing: Backflow prevention devices located</t>
  </si>
  <si>
    <t>IPC §608</t>
  </si>
  <si>
    <t>Plumbing: Grease trap (food service) — sized, located, fixtures identified</t>
  </si>
  <si>
    <t>IPC §1003</t>
  </si>
  <si>
    <t>Electrical: Service location and size identified</t>
  </si>
  <si>
    <t>NEC §230</t>
  </si>
  <si>
    <t>Electrical: Panel schedule and load calculations provided</t>
  </si>
  <si>
    <t>NEC §220</t>
  </si>
  <si>
    <t>Electrical: GFCI locations — all required NEC 210.8 locations</t>
  </si>
  <si>
    <t>Electrical: AFCI — bedroom circuits and required branch circuits</t>
  </si>
  <si>
    <t>NEC 210.12</t>
  </si>
  <si>
    <t>Electrical: Emergency/egress lighting system designed</t>
  </si>
  <si>
    <t>IBC 1008.3</t>
  </si>
  <si>
    <t>Fire sprinkler: NFPA 13/13R design on plans or listed as deferred</t>
  </si>
  <si>
    <t>Fire alarm: system layout on plans or listed as deferred</t>
  </si>
  <si>
    <t>IBC §907</t>
  </si>
  <si>
    <t>RESIDENTIAL SECTION — IRC PROJECTS (1-4 FAMILY DWELLINGS &amp; TOWNHOUSES)</t>
  </si>
  <si>
    <t xml:space="preserve">  COVER SHEET / CODE DATA — RESIDENTIAL (IRC §R106)</t>
  </si>
  <si>
    <t>Designer seal (if required by state law) on all signed/sealed sheets</t>
  </si>
  <si>
    <t>IRC R106</t>
  </si>
  <si>
    <t>Applicable code editions listed</t>
  </si>
  <si>
    <t>IRC R106.1</t>
  </si>
  <si>
    <t>Project address, legal description, parcel ID</t>
  </si>
  <si>
    <t>Code summary block on cover — project type, zoning, occupancy</t>
  </si>
  <si>
    <t>Deferred submittals listed if applicable</t>
  </si>
  <si>
    <t xml:space="preserve">  SITE PLAN — RESIDENTIAL (IRC §R106.2)</t>
  </si>
  <si>
    <t>Scaled site plan with North arrow — max 1"=40', pref 1"=20'</t>
  </si>
  <si>
    <t>IRC R106.2</t>
  </si>
  <si>
    <t>Lot dimensions, street name, vicinity map</t>
  </si>
  <si>
    <t>All structures dimensioned with distances to property lines</t>
  </si>
  <si>
    <t>IRC R302</t>
  </si>
  <si>
    <t>Existing structures to be removed shown dashed</t>
  </si>
  <si>
    <t>Utilities: water, sewer, gas, electricity located (new construction)</t>
  </si>
  <si>
    <t>Site contours and drainage (existing dashed / new solid)</t>
  </si>
  <si>
    <t>Driveway width and paving materials</t>
  </si>
  <si>
    <t>Finished floor elevations and corner readings</t>
  </si>
  <si>
    <t>Flood zone noted if applicable — BFE and FIRM zone</t>
  </si>
  <si>
    <t>IRC R322</t>
  </si>
  <si>
    <t xml:space="preserve">  FOUNDATION PLAN — RESIDENTIAL</t>
  </si>
  <si>
    <t>Scale with North arrow — pref 1/4"=1'</t>
  </si>
  <si>
    <t>Perimeter foundation, slabs, patios dimensioned</t>
  </si>
  <si>
    <t>Exterior and interior bearing footing locations and sizes</t>
  </si>
  <si>
    <t>Interior pier locations and sizes with dimensions</t>
  </si>
  <si>
    <t>Reinforcing steel location and size</t>
  </si>
  <si>
    <t>ACI 318</t>
  </si>
  <si>
    <t>Anchor bolts, hold-downs, post-to-footing connections dimensioned</t>
  </si>
  <si>
    <t>IRC R403</t>
  </si>
  <si>
    <t>Foundation vents and crawl space access locations and sizes</t>
  </si>
  <si>
    <t>IRC R408</t>
  </si>
  <si>
    <t>Stamped engineering calculations for retaining walls &gt;4 ft</t>
  </si>
  <si>
    <t>IRC R404</t>
  </si>
  <si>
    <t xml:space="preserve">  FLOOR PLAN — RESIDENTIAL (all rooms)</t>
  </si>
  <si>
    <t>Scale — pref 1/4"=1'</t>
  </si>
  <si>
    <t>Use and area of each room labeled</t>
  </si>
  <si>
    <t>Window and door locations, sizes, header sizes</t>
  </si>
  <si>
    <t>IRC R603</t>
  </si>
  <si>
    <t>Beam locations, materials, spacing, sizes</t>
  </si>
  <si>
    <t>Floor joist sizes, direction, span, spacing</t>
  </si>
  <si>
    <t>IRC R502</t>
  </si>
  <si>
    <t>Shear wall locations noted</t>
  </si>
  <si>
    <t>IRC R602.10</t>
  </si>
  <si>
    <t>Egress window locations noted (bedrooms)</t>
  </si>
  <si>
    <t>IRC R310</t>
  </si>
  <si>
    <t>Smoke alarm locations noted</t>
  </si>
  <si>
    <t>IRC R314</t>
  </si>
  <si>
    <t>CO detector locations noted</t>
  </si>
  <si>
    <t>IRC R315</t>
  </si>
  <si>
    <t>Plumbing and heating fixture locations</t>
  </si>
  <si>
    <t>Electrical: switches, outlets, receptacles, appliances located</t>
  </si>
  <si>
    <t>NEC</t>
  </si>
  <si>
    <t>GFCI locations identified (kitchen, bath, garage, outdoor)</t>
  </si>
  <si>
    <t>AFCI — bedroom and required branch circuits</t>
  </si>
  <si>
    <t xml:space="preserve">  FRAMING PLAN — RESIDENTIAL</t>
  </si>
  <si>
    <t>Lumber species, grade, size, spacing, spans of all members</t>
  </si>
  <si>
    <t>IRC R602</t>
  </si>
  <si>
    <t>Panel sheathing identification index specified</t>
  </si>
  <si>
    <t>Bearing/shear walls clearly shown with nailing schedule</t>
  </si>
  <si>
    <t>Post-to-beam connections shown</t>
  </si>
  <si>
    <t>Special connections detailed — how building is tied together</t>
  </si>
  <si>
    <t>Wall bracing compliance with IRC R602.10 or PE-stamped alternative</t>
  </si>
  <si>
    <t>Engineered truss drawings — stamped, with layout plan</t>
  </si>
  <si>
    <t>IRC R802</t>
  </si>
  <si>
    <t>Seismic/wind load analysis accompanies if PE-designed</t>
  </si>
  <si>
    <t>ASCE 7</t>
  </si>
  <si>
    <t xml:space="preserve">  ELEVATIONS — RESIDENTIAL</t>
  </si>
  <si>
    <t>All 4 elevations (N,S,E,W) to scale with North arrow</t>
  </si>
  <si>
    <t>Heights: finished grade → finished floor → top plate → highest point</t>
  </si>
  <si>
    <t>IRC R304</t>
  </si>
  <si>
    <t>All finished exterior materials specified</t>
  </si>
  <si>
    <t>Doors and windows shown — openable vs. fixed, egress windows labeled</t>
  </si>
  <si>
    <t>Roof pitch and chimney material specified</t>
  </si>
  <si>
    <t xml:space="preserve">  SECTIONS &amp; DETAILS — RESIDENTIAL</t>
  </si>
  <si>
    <t>Cross sections through foundation, walls, roof</t>
  </si>
  <si>
    <t>Mud sill anchorage material specified (cedar/PT)</t>
  </si>
  <si>
    <t>IRC R317</t>
  </si>
  <si>
    <t>Earth-to-wood clearances shown or treated lumber specified</t>
  </si>
  <si>
    <t>Wall construction — exterior/interior covering and insulation</t>
  </si>
  <si>
    <t>IECC R402</t>
  </si>
  <si>
    <t>Ceiling construction and insulation R-value</t>
  </si>
  <si>
    <t>Roof covering components and ventilation shown</t>
  </si>
  <si>
    <t>IRC R806</t>
  </si>
  <si>
    <t>Full stair section: riser, tread, handrail height, headroom, framing</t>
  </si>
  <si>
    <t>IRC R311.7</t>
  </si>
  <si>
    <t>Full fireplace/chimney section with reinforcing (if applicable)</t>
  </si>
  <si>
    <t>IRC R1001</t>
  </si>
  <si>
    <t xml:space="preserve">  ENERGY / VENTILATION — RESIDENTIAL</t>
  </si>
  <si>
    <t>Energy compliance method selected (Prescriptive/Performance/REScheck)</t>
  </si>
  <si>
    <t>IECC R401</t>
  </si>
  <si>
    <t>REScheck or energy compliance documentation provided</t>
  </si>
  <si>
    <t>IECC</t>
  </si>
  <si>
    <t>Window U-values and SHGC listed in compliance form or schedule</t>
  </si>
  <si>
    <t>Insulation R-values shown on plans and in compliance form</t>
  </si>
  <si>
    <t>Mechanical ventilation per ASHRAE 62.2 specified (whole-house)</t>
  </si>
  <si>
    <t>IRC M1507</t>
  </si>
  <si>
    <t>Bath exhaust fans min. 50 CFM shown</t>
  </si>
  <si>
    <t>IRC M1507.4</t>
  </si>
  <si>
    <t>Dryer vent to exterior — max run length per IRC M1502</t>
  </si>
  <si>
    <t>IRC M1502</t>
  </si>
  <si>
    <t>Blower door test requirement noted (≤3.0 ACH50 Zone 4A)</t>
  </si>
  <si>
    <t>IECC R402.4.1</t>
  </si>
  <si>
    <t xml:space="preserve">  TOWNHOUSE SPECIFIC (IRC R302 / IBC CH. 4)</t>
  </si>
  <si>
    <t>Party wall location and type shown on plans</t>
  </si>
  <si>
    <t>IRC R302.2</t>
  </si>
  <si>
    <t>2-hour fire-resistance rating construction for party wall</t>
  </si>
  <si>
    <t>Continuous from foundation to underside of roof — shown in section</t>
  </si>
  <si>
    <t>Openings in party wall protected</t>
  </si>
  <si>
    <t>IRC R302.2.4</t>
  </si>
  <si>
    <t>Exterior wall opening protection vs. separation distance shown</t>
  </si>
  <si>
    <t>IRC R302.1</t>
  </si>
  <si>
    <t>Individual unit egress confirmed (no cross-unit egress)</t>
  </si>
  <si>
    <t>IRC R311</t>
  </si>
  <si>
    <t>⚠ This checklist is not all-inclusive. Verify against AHJ-specific submittal requirements before permit submission. Accessibility provisions are on Tab 07_ACCESSIBILITY.</t>
  </si>
  <si>
    <t>16 — MULTI-OCCUPANCY ANALYSIS — IBC §508 / §506.2.4</t>
  </si>
  <si>
    <t>Use for Separated (§508.4) or Non-Separated (§508.3) mixed occupancies. Yellow = input. Blue = calculated. Sum of story ratios must be ≤ 1.00 (per story, §508.4.2). Aggregate sum across all stories must be ≤ 3 (NS) or ≤ 4 (S).</t>
  </si>
  <si>
    <t xml:space="preserve">  GLOBAL INPUTS — CONSTRUCTION TYPE &amp; SPRINKLERS</t>
  </si>
  <si>
    <t>Construction Type</t>
  </si>
  <si>
    <t>V-B</t>
  </si>
  <si>
    <t>NFPA 13</t>
  </si>
  <si>
    <t>Mixed Occ. Method</t>
  </si>
  <si>
    <t>Separated</t>
  </si>
  <si>
    <t>Stories Above Grade</t>
  </si>
  <si>
    <t xml:space="preserve">  STEP 1 — DEFINE OCCUPANCIES (up to 4)</t>
  </si>
  <si>
    <t>OCCUPANCY GROUP</t>
  </si>
  <si>
    <t>At (NS, T506.2) SF</t>
  </si>
  <si>
    <t>NS (T506.2) SF</t>
  </si>
  <si>
    <t>If (frontage, 0–0.75)</t>
  </si>
  <si>
    <t>Aa per Story (§506.2)</t>
  </si>
  <si>
    <t>Separation Required (hrs)</t>
  </si>
  <si>
    <t>Separation Provided</t>
  </si>
  <si>
    <t>Separation PASS/FAIL</t>
  </si>
  <si>
    <t>Notes</t>
  </si>
  <si>
    <t>Occupancy A</t>
  </si>
  <si>
    <t>Enter IBC Table 506.2 values for occ group</t>
  </si>
  <si>
    <t>Occupancy B</t>
  </si>
  <si>
    <t>Occupancy C</t>
  </si>
  <si>
    <t>Occupancy D</t>
  </si>
  <si>
    <t xml:space="preserve">  STEP 2 — STORY-BY-STORY RATIO MATRIX (§508.4.2 — sum of ratios ≤ 1.00 per story)</t>
  </si>
  <si>
    <t>STORY</t>
  </si>
  <si>
    <t>Occ A Actual SF</t>
  </si>
  <si>
    <t>Occ A Aa</t>
  </si>
  <si>
    <t>Occ A Ratio</t>
  </si>
  <si>
    <t>Occ B Actual SF</t>
  </si>
  <si>
    <t>Occ B Aa</t>
  </si>
  <si>
    <t>Occ B Ratio</t>
  </si>
  <si>
    <t>Sum of Ratios</t>
  </si>
  <si>
    <t>PASS/FAIL (≤1.00)</t>
  </si>
  <si>
    <t>Story 1</t>
  </si>
  <si>
    <t>Story 2</t>
  </si>
  <si>
    <t>Story 3</t>
  </si>
  <si>
    <t>Story 4</t>
  </si>
  <si>
    <t>Story 5</t>
  </si>
  <si>
    <t>Story 6</t>
  </si>
  <si>
    <t>AGGREGATE SUM OF RATIOS — ALL STORIES (§506.2.4 — must be ≤ 3 for NS, ≤ 4 for S)</t>
  </si>
  <si>
    <t xml:space="preserve">  REFERENCE — IBC 2021 TABLE 506.2 (COMMON VALUES — VERIFY WITH CURRENT CODE)</t>
  </si>
  <si>
    <t>TYPE V-B NS (SF)</t>
  </si>
  <si>
    <t>TYPE V-B S1 (SF)</t>
  </si>
  <si>
    <t>TYPE III-A NS (SF)</t>
  </si>
  <si>
    <t>TYPE III-A S1 (SF)</t>
  </si>
  <si>
    <t>TYPE II-B NS (SF)</t>
  </si>
  <si>
    <t>TYPE II-B S1 (SF)</t>
  </si>
  <si>
    <t>TYPE I-B NS (SF)</t>
  </si>
  <si>
    <t>TYPE I-B S1 (SF)</t>
  </si>
  <si>
    <t>B — Business</t>
  </si>
  <si>
    <t>UL</t>
  </si>
  <si>
    <t>R-2 — Residential</t>
  </si>
  <si>
    <t>A-2 — Assembly/dining</t>
  </si>
  <si>
    <t>I-2 — Institutional</t>
  </si>
  <si>
    <t>S-1 — Storage</t>
  </si>
  <si>
    <t>F-1 — Factory</t>
  </si>
  <si>
    <t>UL = Unlimited Area. Values shown are tabular At only — apply NS and Sa multipliers per §506.2. Always verify with adopted IBC edition.</t>
  </si>
  <si>
    <t>17 — MECHANICAL CODE REQUIREMENTS &amp; CALCULATIONS — IMC 2021 / ASHRAE 62.1</t>
  </si>
  <si>
    <t>Yellow = input. Blue = calculated output. Ventilation values per ASHRAE 62.1-2019 / IMC §403. Equipment sizing is schematic — confirm with licensed MEP engineer.</t>
  </si>
  <si>
    <t xml:space="preserve">  A — PROJECT CLIMATE &amp; HVAC SYSTEM IDENTIFICATION</t>
  </si>
  <si>
    <t>VALUE</t>
  </si>
  <si>
    <t>UNIT / OPTION</t>
  </si>
  <si>
    <t>IECC Zone</t>
  </si>
  <si>
    <t>DE/PA/MD/NJ = Zone 4A typical</t>
  </si>
  <si>
    <t>Winter Design Dry Bulb (°F)</t>
  </si>
  <si>
    <t>14</t>
  </si>
  <si>
    <t>°F</t>
  </si>
  <si>
    <t>ASHRAE 99% condition</t>
  </si>
  <si>
    <t>Summer Design Dry Bulb (°F)</t>
  </si>
  <si>
    <t>91</t>
  </si>
  <si>
    <t>ASHRAE 1% condition</t>
  </si>
  <si>
    <t>Summer Wet Bulb (°F)</t>
  </si>
  <si>
    <t>76</t>
  </si>
  <si>
    <t>Cooling coil sizing</t>
  </si>
  <si>
    <t>Interior Heating Setpoint (°F)</t>
  </si>
  <si>
    <t>70</t>
  </si>
  <si>
    <t>Interior Cooling Setpoint (°F)</t>
  </si>
  <si>
    <t>75</t>
  </si>
  <si>
    <t>Relative Humidity — Winter (%)</t>
  </si>
  <si>
    <t>%</t>
  </si>
  <si>
    <t>Relative Humidity — Summer (%)</t>
  </si>
  <si>
    <t>50</t>
  </si>
  <si>
    <t>Gross Building Area (SF)</t>
  </si>
  <si>
    <t>SF</t>
  </si>
  <si>
    <t>From 01_PROJECT_ID / 03_IBC</t>
  </si>
  <si>
    <t>HVAC System Type</t>
  </si>
  <si>
    <t>Forced Air / AHU</t>
  </si>
  <si>
    <t>System description</t>
  </si>
  <si>
    <t>Forced Air / Fan Coil / VRF / Radiant / Chilled Beam / GSHP</t>
  </si>
  <si>
    <t>Heating Source</t>
  </si>
  <si>
    <t>Gas Furnace / Boiler</t>
  </si>
  <si>
    <t>Gas / Electric / Heat Pump / District</t>
  </si>
  <si>
    <t>Cooling Source</t>
  </si>
  <si>
    <t>DX / Chiller</t>
  </si>
  <si>
    <t>DX / Chiller / VRF / Evap</t>
  </si>
  <si>
    <t>Zoning Strategy</t>
  </si>
  <si>
    <t>Single zone</t>
  </si>
  <si>
    <t>Single zone / Multi-zone VAV / Zone-by-zone</t>
  </si>
  <si>
    <t>Estimated Heating Load (BTUH)</t>
  </si>
  <si>
    <t>BTUH</t>
  </si>
  <si>
    <t>From Manual J or energy model</t>
  </si>
  <si>
    <t>Estimated Cooling Load (BTUH)</t>
  </si>
  <si>
    <t>Estimated Heating Load (Tons equiv.)</t>
  </si>
  <si>
    <t>Tons</t>
  </si>
  <si>
    <t>Estimated Cooling Load (Tons)</t>
  </si>
  <si>
    <t xml:space="preserve">  B — OUTDOOR AIR VENTILATION CALCULATION (ASHRAE 62.1-2019 / IMC §403)</t>
  </si>
  <si>
    <t>Vbz = Rp × Pz + Ra × Az    |    Rp = people rate (CFM/person)    |    Ra = area rate (CFM/SF)    |    Pz = zone occupant load    |    Az = zone floor area</t>
  </si>
  <si>
    <t>ZONE / SPACE</t>
  </si>
  <si>
    <t>Area Az (SF)</t>
  </si>
  <si>
    <t>Occ Load Pz</t>
  </si>
  <si>
    <t>Rp (CFM/person)</t>
  </si>
  <si>
    <t>Ra (CFM/SF)</t>
  </si>
  <si>
    <t>People OA (CFM)</t>
  </si>
  <si>
    <t>Area OA (CFM)</t>
  </si>
  <si>
    <t>Office / General</t>
  </si>
  <si>
    <t>Conference / Meeting</t>
  </si>
  <si>
    <t>Lobby / Reception</t>
  </si>
  <si>
    <t>Retail Sales Area</t>
  </si>
  <si>
    <t>Corridor</t>
  </si>
  <si>
    <t>Restrooms / Toilet</t>
  </si>
  <si>
    <t>Kitchen / Break Room</t>
  </si>
  <si>
    <t>Mechanical Room</t>
  </si>
  <si>
    <t>TOTAL OUTDOOR AIR REQUIRED (Vbz)</t>
  </si>
  <si>
    <t xml:space="preserve">  TOTAL OUTDOOR AIR SUMMARY</t>
  </si>
  <si>
    <t>Total People-Based OA (CFM)</t>
  </si>
  <si>
    <t>Total Area-Based OA (CFM)</t>
  </si>
  <si>
    <t>TOTAL Vbz (People + Area, CFM)</t>
  </si>
  <si>
    <t>Min. OA % of Supply Air (typical 20–30%)</t>
  </si>
  <si>
    <t>Estimated Total Supply CFM</t>
  </si>
  <si>
    <t xml:space="preserve">  C — EXHAUST SYSTEM REQUIREMENTS (IMC §501–504 / ASHRAE 62.1 TABLE 6.2)</t>
  </si>
  <si>
    <t>SPACE / SYSTEM</t>
  </si>
  <si>
    <t>Rate (CFM/SF or ACH)</t>
  </si>
  <si>
    <t>Area or Volume</t>
  </si>
  <si>
    <t>Required CFM</t>
  </si>
  <si>
    <t>Provided CFM</t>
  </si>
  <si>
    <t>IMC REF</t>
  </si>
  <si>
    <t>Toilet rooms — 1–3 fixtures</t>
  </si>
  <si>
    <t>75 CFM/fixture</t>
  </si>
  <si>
    <t>IMC §403.3.2.1</t>
  </si>
  <si>
    <t>Toilet rooms — 4+ fixtures</t>
  </si>
  <si>
    <t>50 CFM/fixture</t>
  </si>
  <si>
    <t>200</t>
  </si>
  <si>
    <t>Commercial kitchen — with hood</t>
  </si>
  <si>
    <t>per hood calc</t>
  </si>
  <si>
    <t>IMC §507</t>
  </si>
  <si>
    <t>Commercial kitchen — without hood</t>
  </si>
  <si>
    <t>1.5 CFM/SF</t>
  </si>
  <si>
    <t>ASHRAE 62.1 T6.2</t>
  </si>
  <si>
    <t>Parking garage — general</t>
  </si>
  <si>
    <t>0.75 CFM/SF</t>
  </si>
  <si>
    <t>IMC §404</t>
  </si>
  <si>
    <t>Parking garage — CO sensors (reduced)</t>
  </si>
  <si>
    <t>0.05 CFM/SF min.</t>
  </si>
  <si>
    <t>IMC §404.1</t>
  </si>
  <si>
    <t>Janitor / utility rooms</t>
  </si>
  <si>
    <t>0.50 CFM/SF</t>
  </si>
  <si>
    <t>ASHRAE 62.1</t>
  </si>
  <si>
    <t>Copy / print room</t>
  </si>
  <si>
    <t>Laboratory with hazardous materials</t>
  </si>
  <si>
    <t>per NFPA 45</t>
  </si>
  <si>
    <t>IMC §502.6</t>
  </si>
  <si>
    <t>Battery room (if applicable)</t>
  </si>
  <si>
    <t>1 CFM/SF min.</t>
  </si>
  <si>
    <t>IMC §502.9</t>
  </si>
  <si>
    <t>Generator room</t>
  </si>
  <si>
    <t>combustion + cooling</t>
  </si>
  <si>
    <t>IMC §502</t>
  </si>
  <si>
    <t xml:space="preserve">  D — COMBUSTION AIR REQUIREMENTS (IMC §701 / NFPA 54)</t>
  </si>
  <si>
    <t>Required if fuel-burning appliances present. Rule of thumb (standard method): 1 SF free area per 4,000 BTUH input for unconfined spaces. Confirm with licensed MEP engineer using IMC §703 calculation.</t>
  </si>
  <si>
    <t>Fuel-burning appliances present?</t>
  </si>
  <si>
    <t>Total appliance input (BTUH)</t>
  </si>
  <si>
    <t>Sum all gas/oil appliances</t>
  </si>
  <si>
    <t>Space type</t>
  </si>
  <si>
    <t>Unconfined</t>
  </si>
  <si>
    <t>Confined / Unconfined</t>
  </si>
  <si>
    <t>Combustion air source</t>
  </si>
  <si>
    <t>Outdoor — direct duct</t>
  </si>
  <si>
    <t>Outdoor / Indoor / Combination</t>
  </si>
  <si>
    <t>Required free area — outdoor (SF)</t>
  </si>
  <si>
    <t>Provided free area (SF)</t>
  </si>
  <si>
    <t>Combustion air duct size (in²)</t>
  </si>
  <si>
    <t>CO detection required?</t>
  </si>
  <si>
    <t>If gas appliance in occupied space</t>
  </si>
  <si>
    <t xml:space="preserve">  E — MECHANICAL PLAN REVIEW CHECKLIST (IMC §107 / BOAF Guide)</t>
  </si>
  <si>
    <t>REQUIREMENT</t>
  </si>
  <si>
    <t xml:space="preserve">  HVAC SYSTEM DOCUMENTATION</t>
  </si>
  <si>
    <t>HVAC system type and description on mechanical plans</t>
  </si>
  <si>
    <t>Equipment schedules: make, model, capacity, efficiency ratings</t>
  </si>
  <si>
    <t>Heating efficiency (AFUE / COP) meets IECC minimums</t>
  </si>
  <si>
    <t>IECC C403 / R403</t>
  </si>
  <si>
    <t>Cooling efficiency (SEER / EER) meets IECC minimums</t>
  </si>
  <si>
    <t>IECC C403</t>
  </si>
  <si>
    <t>Duct layout and sizing shown on plans</t>
  </si>
  <si>
    <t>IMC §603</t>
  </si>
  <si>
    <t>Duct material specification provided</t>
  </si>
  <si>
    <t>IMC §603.4</t>
  </si>
  <si>
    <t>Return air design shown — no return from hazardous spaces</t>
  </si>
  <si>
    <t>IMC §916</t>
  </si>
  <si>
    <t>Thermostat locations and control sequences indicated</t>
  </si>
  <si>
    <t>IECC C403.3</t>
  </si>
  <si>
    <t>Energy recovery ventilation (if required for OA&gt;70%)</t>
  </si>
  <si>
    <t>ASHRAE 90.1</t>
  </si>
  <si>
    <t xml:space="preserve">  OUTDOOR AIR &amp; EXHAUST</t>
  </si>
  <si>
    <t>Outdoor air intake locations shown — min 10 ft from exhaust (IMC §401.4)</t>
  </si>
  <si>
    <t>IMC §401.4</t>
  </si>
  <si>
    <t>OA dampers provided — auto-close during unoccupied periods</t>
  </si>
  <si>
    <t>IMC §403</t>
  </si>
  <si>
    <t>Exhaust systems designed with equipment, duct sizing, locations</t>
  </si>
  <si>
    <t>IMC §501</t>
  </si>
  <si>
    <t>Exhaust duct terminations per IMC §501.2 (10 ft from openings)</t>
  </si>
  <si>
    <t>IMC §501.2</t>
  </si>
  <si>
    <t>Access doors/panels to cleanouts shown and labeled</t>
  </si>
  <si>
    <t>IMC §403.2.1</t>
  </si>
  <si>
    <t>Dryer vent: max run length, transition duct, exterior termination</t>
  </si>
  <si>
    <t>IMC §504 / IRC M1502</t>
  </si>
  <si>
    <t>Range hood: CFM, filter, duct size, exterior termination</t>
  </si>
  <si>
    <t xml:space="preserve">  ROOF-MOUNTED EQUIPMENT</t>
  </si>
  <si>
    <t>Equipment layout on roof plan — clearances shown</t>
  </si>
  <si>
    <t>IMC §306.5</t>
  </si>
  <si>
    <t>Wind anchorage design note — lateral loads per ASCE 7</t>
  </si>
  <si>
    <t>Roof penetration flashing details referenced</t>
  </si>
  <si>
    <t>IBC §1503</t>
  </si>
  <si>
    <t>Ladder / permanent access to equipment &gt;16 ft AFF provided</t>
  </si>
  <si>
    <t>Screen wall / parapet heights vs. equipment heights noted</t>
  </si>
  <si>
    <t>Local zoning</t>
  </si>
  <si>
    <t xml:space="preserve">  BOILERS, WATER HEATERS &amp; PRESSURE VESSELS</t>
  </si>
  <si>
    <t>Boiler/water heater type, size, efficiency listed in schedule</t>
  </si>
  <si>
    <t>IMC §1001</t>
  </si>
  <si>
    <t>Pressure relief valve discharge piping shown to drain</t>
  </si>
  <si>
    <t>IMC §1006</t>
  </si>
  <si>
    <t>Combustion air calculation or source note provided</t>
  </si>
  <si>
    <t>IMC §701</t>
  </si>
  <si>
    <t>Flue/chimney sizing and material specified</t>
  </si>
  <si>
    <t>IMC §801</t>
  </si>
  <si>
    <t>Seismic restraint of water heater/boiler (if SDC C+)</t>
  </si>
  <si>
    <t>IBC §1705.12</t>
  </si>
  <si>
    <t xml:space="preserve">  REFRIGERATION SYSTEMS</t>
  </si>
  <si>
    <t>Refrigerant type and quantity listed (ASHRAE 34)</t>
  </si>
  <si>
    <t>IMC §1101</t>
  </si>
  <si>
    <t>Machinery room required? (per refrigerant quantity)</t>
  </si>
  <si>
    <t>IMC §1105</t>
  </si>
  <si>
    <t>Refrigerant detection system specified (if req'd)</t>
  </si>
  <si>
    <t>IMC §1105.4</t>
  </si>
  <si>
    <t xml:space="preserve">  SPECIAL / LABORATORY EXHAUST</t>
  </si>
  <si>
    <t>Lab exhaust: separate from general exhaust system</t>
  </si>
  <si>
    <t>Lab exhaust: face velocity and capture velocity documented</t>
  </si>
  <si>
    <t>NFPA 45</t>
  </si>
  <si>
    <t>Fume hood CFM and diversity factor shown</t>
  </si>
  <si>
    <t>NFPA 45 / ASHRAE 110</t>
  </si>
  <si>
    <t xml:space="preserve">  F — MECHANICAL LOAD QUICK-CALC (RULE OF THUMB — NOT FOR PERMIT SIZING)</t>
  </si>
  <si>
    <t>⚠ Rule-of-thumb only. All mechanical sizing must be performed or reviewed by licensed MEP engineer. These calcs support G0–G1 ROM cost estimation only.</t>
  </si>
  <si>
    <t>From project data</t>
  </si>
  <si>
    <t>Occupant Count (persons)</t>
  </si>
  <si>
    <t>From 05_LIFE_SAFETY_IBC</t>
  </si>
  <si>
    <t>Plug Load Density (W/SF)</t>
  </si>
  <si>
    <t>3.5</t>
  </si>
  <si>
    <t>Office typical: 3–5 W/SF</t>
  </si>
  <si>
    <t>Lighting Density (W/SF)</t>
  </si>
  <si>
    <t>1.2</t>
  </si>
  <si>
    <t>LED office: 0.8–1.5 W/SF</t>
  </si>
  <si>
    <t>Envelope Heat Gain Factor (BTUH/SF)</t>
  </si>
  <si>
    <t>Zone 4 mixed use typical: 20–35</t>
  </si>
  <si>
    <t>Estimated Internal Gains (BTUH)</t>
  </si>
  <si>
    <t>W×3.41264 = BTUH</t>
  </si>
  <si>
    <t>Estimated Envelope Gains (BTUH)</t>
  </si>
  <si>
    <t>Estimated People Gains (BTUH)</t>
  </si>
  <si>
    <t>~300 BTUH sensible/person office</t>
  </si>
  <si>
    <t>TOTAL ESTIMATED COOLING LOAD (BTUH)</t>
  </si>
  <si>
    <t>Estimated Cooling Tons</t>
  </si>
  <si>
    <t>~30 BTUH/SF Zone 4 heating — rough only</t>
  </si>
  <si>
    <t>Jurisdictions</t>
  </si>
  <si>
    <t>Occupancy Groups</t>
  </si>
  <si>
    <t>Construction Types</t>
  </si>
  <si>
    <t>Sprinkler Types</t>
  </si>
  <si>
    <t>IBC Editions</t>
  </si>
  <si>
    <t>Project Types</t>
  </si>
  <si>
    <t>ALDi Gates</t>
  </si>
  <si>
    <t>Risk Categories</t>
  </si>
  <si>
    <t>Y_N_NA</t>
  </si>
  <si>
    <t>Compliance Methods</t>
  </si>
  <si>
    <t>Exposure Categories</t>
  </si>
  <si>
    <t>Seismic Design Categories</t>
  </si>
  <si>
    <t>Lead Firms</t>
  </si>
  <si>
    <t>Mixed Occ Methods</t>
  </si>
  <si>
    <t>Ventilation Space Types</t>
  </si>
  <si>
    <t>HVAC System Types</t>
  </si>
  <si>
    <t>City of Wilmington, DE</t>
  </si>
  <si>
    <t>A-1</t>
  </si>
  <si>
    <t>I-A</t>
  </si>
  <si>
    <t>None</t>
  </si>
  <si>
    <t>I</t>
  </si>
  <si>
    <t>Y</t>
  </si>
  <si>
    <t>A</t>
  </si>
  <si>
    <t>Office/General</t>
  </si>
  <si>
    <t>Forced Air / Single-Zone AHU</t>
  </si>
  <si>
    <t>New Castle County (unincorporated), DE</t>
  </si>
  <si>
    <t>A-2</t>
  </si>
  <si>
    <t>I-B</t>
  </si>
  <si>
    <t>2018</t>
  </si>
  <si>
    <t>Residential — 1-2 Family</t>
  </si>
  <si>
    <t>G1 — Feasibility</t>
  </si>
  <si>
    <t>N</t>
  </si>
  <si>
    <t>Performance</t>
  </si>
  <si>
    <t>Aubyn Architecture LLC</t>
  </si>
  <si>
    <t>Non-Separated</t>
  </si>
  <si>
    <t>Conference Room</t>
  </si>
  <si>
    <t>Forced Air / Multi-Zone VAV</t>
  </si>
  <si>
    <t>City of Newark, DE</t>
  </si>
  <si>
    <t>A-3</t>
  </si>
  <si>
    <t>II-A</t>
  </si>
  <si>
    <t>NFPA 13R</t>
  </si>
  <si>
    <t>2015</t>
  </si>
  <si>
    <t>Residential — 3-4 Family</t>
  </si>
  <si>
    <t>G2 — 75% DD</t>
  </si>
  <si>
    <t>III</t>
  </si>
  <si>
    <t>N/A</t>
  </si>
  <si>
    <t>D</t>
  </si>
  <si>
    <t>Accessory</t>
  </si>
  <si>
    <t>Reception/Lobby</t>
  </si>
  <si>
    <t>Fan Coil Units (FCU)</t>
  </si>
  <si>
    <t>City of Dover, DE</t>
  </si>
  <si>
    <t>A-4</t>
  </si>
  <si>
    <t>II-B</t>
  </si>
  <si>
    <t>NFPA 13D</t>
  </si>
  <si>
    <t>2012</t>
  </si>
  <si>
    <t>Townhouse</t>
  </si>
  <si>
    <t>G3 — GMP / Pre-Permit</t>
  </si>
  <si>
    <t>IV</t>
  </si>
  <si>
    <t>REScheck</t>
  </si>
  <si>
    <t>Incidental</t>
  </si>
  <si>
    <t>Break Room/Kitchen</t>
  </si>
  <si>
    <t>Variable Refrigerant Flow (VRF)</t>
  </si>
  <si>
    <t>City of Middletown, DE</t>
  </si>
  <si>
    <t>A-5</t>
  </si>
  <si>
    <t>III-A</t>
  </si>
  <si>
    <t>Local amendment — see 14_AMENDMENTS</t>
  </si>
  <si>
    <t>Mixed-Use</t>
  </si>
  <si>
    <t>G4 — Closeout</t>
  </si>
  <si>
    <t>COMcheck</t>
  </si>
  <si>
    <t>E</t>
  </si>
  <si>
    <t>Retail Sales</t>
  </si>
  <si>
    <t>Chilled Beam</t>
  </si>
  <si>
    <t>City of Philadelphia, PA</t>
  </si>
  <si>
    <t>III-B</t>
  </si>
  <si>
    <t>Institutional</t>
  </si>
  <si>
    <t>F</t>
  </si>
  <si>
    <t>Corridor/Utility</t>
  </si>
  <si>
    <t>Ground-Source Heat Pump (GSHP)</t>
  </si>
  <si>
    <t>Montgomery County, PA</t>
  </si>
  <si>
    <t>IV-A</t>
  </si>
  <si>
    <t>Adaptive Reuse</t>
  </si>
  <si>
    <t>Toilet/Restroom</t>
  </si>
  <si>
    <t>Dedicated Outdoor Air System (DOAS)</t>
  </si>
  <si>
    <t>Delaware County, PA</t>
  </si>
  <si>
    <t>F-1</t>
  </si>
  <si>
    <t>IV-B</t>
  </si>
  <si>
    <t>Addition</t>
  </si>
  <si>
    <t>Parking Garage</t>
  </si>
  <si>
    <t>Radiant Floor / Ceiling</t>
  </si>
  <si>
    <t>Chester County, PA</t>
  </si>
  <si>
    <t>F-2</t>
  </si>
  <si>
    <t>IV-C</t>
  </si>
  <si>
    <t>Alteration — Level I</t>
  </si>
  <si>
    <t>Laboratory</t>
  </si>
  <si>
    <t>Packaged Rooftop Unit (RTU)</t>
  </si>
  <si>
    <t>Fairfield County, CT</t>
  </si>
  <si>
    <t>H-1</t>
  </si>
  <si>
    <t>IV-HT</t>
  </si>
  <si>
    <t>Alteration — Level II</t>
  </si>
  <si>
    <t>Classroom</t>
  </si>
  <si>
    <t>Split System DX</t>
  </si>
  <si>
    <t>Other — see 14_AMENDMENTS</t>
  </si>
  <si>
    <t>H-2</t>
  </si>
  <si>
    <t>V-A</t>
  </si>
  <si>
    <t>Alteration — Level III</t>
  </si>
  <si>
    <t>Medical Exam Room</t>
  </si>
  <si>
    <t>Mini-Split Ductless</t>
  </si>
  <si>
    <t>H-3</t>
  </si>
  <si>
    <t>Change of Use</t>
  </si>
  <si>
    <t>Patient Room</t>
  </si>
  <si>
    <t>Steam / Hot Water Radiant</t>
  </si>
  <si>
    <t>H-4</t>
  </si>
  <si>
    <t>Assembly/Theater</t>
  </si>
  <si>
    <t>Evaporative Cooling</t>
  </si>
  <si>
    <t>H-5</t>
  </si>
  <si>
    <t>Dining</t>
  </si>
  <si>
    <t>I-1</t>
  </si>
  <si>
    <t>Hotel Room</t>
  </si>
  <si>
    <t>I-2</t>
  </si>
  <si>
    <t>Health Club/Gym</t>
  </si>
  <si>
    <t>I-3</t>
  </si>
  <si>
    <t>Warehouse/Storage</t>
  </si>
  <si>
    <t>I-4</t>
  </si>
  <si>
    <t>M</t>
  </si>
  <si>
    <t>R-1</t>
  </si>
  <si>
    <t>R-2</t>
  </si>
  <si>
    <t>R-3</t>
  </si>
  <si>
    <t>R-4</t>
  </si>
  <si>
    <t>S-1</t>
  </si>
  <si>
    <t>S-2</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</si>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</sst>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1" x14ac:knownFonts="1">
    <font>
      <sz val="11"/>
      <color theme="1"/>
      <name val="Calibri"/>
      <family val="2"/>
      <scheme val="minor"/>
    </font>
    <font>
      <b/>
      <sz val="14"/>
      <color rgb="FFFFFFFF"/>
      <name val="Arial"/>
    </font>
    <font>
      <sz val="9"/>
      <color rgb="FF1A1A1A"/>
      <name val="Arial"/>
    </font>
    <font>
      <b/>
      <sz val="10"/>
      <color rgb="FFFFFFFF"/>
      <name val="Arial"/>
    </font>
    <font>
      <b/>
      <sz val="10"/>
      <color rgb="FF1A1A1A"/>
      <name val="Arial"/>
    </font>
    <font>
      <sz val="10"/>
      <color rgb="FF1A1A1A"/>
      <name val="Arial"/>
    </font>
    <font>
      <b/>
      <sz val="13"/>
      <color rgb="FFFFFFFF"/>
      <name val="Arial"/>
    </font>
    <font>
      <i/>
      <sz val="9"/>
      <color rgb="FF888888"/>
      <name val="Arial"/>
    </font>
    <font>
      <b/>
      <sz val="11"/>
      <color rgb="FFFFFFFF"/>
      <name val="Arial"/>
    </font>
    <font>
      <sz val="10"/>
      <color rgb="FF000080"/>
      <name val="Arial"/>
    </font>
    <font>
      <b/>
      <sz val="12"/>
      <color rgb="FFFFFFFF"/>
      <name val="Arial"/>
    </font>
    <font>
      <b/>
      <sz val="10"/>
      <name val="Arial"/>
    </font>
    <font>
      <b/>
      <sz val="11"/>
      <name val="Arial"/>
    </font>
    <font>
      <b/>
      <sz val="9"/>
      <color rgb="FF1A1A1A"/>
      <name val="Arial"/>
    </font>
    <font>
      <b/>
      <sz val="9"/>
      <name val="Arial"/>
    </font>
    <font>
      <sz val="9"/>
      <color rgb="FF000080"/>
      <name val="Arial"/>
    </font>
    <font>
      <i/>
      <sz val="10"/>
      <name val="Arial"/>
    </font>
    <font>
      <b/>
      <sz val="9"/>
      <color rgb="FFB71C1C"/>
      <name val="Arial"/>
    </font>
    <font>
      <b/>
      <sz val="11"/>
      <color rgb="FF1A1A1A"/>
      <name val="Arial"/>
    </font>
    <font>
      <b/>
      <sz val="9"/>
      <name val="Arial"/>
      <family val="2"/>
    </font>
    <font>
      <sz val="9"/>
      <name val="Arial"/>
      <family val="2"/>
    </font>
  </fonts>
  <fills count="14">
    <fill>
      <patternFill patternType="none"/>
    </fill>
    <fill>
      <patternFill patternType="gray125"/>
    </fill>
    <fill>
      <patternFill patternType="solid">
        <fgColor rgb="FF196B23"/>
      </patternFill>
    </fill>
    <fill>
      <patternFill patternType="solid">
        <fgColor rgb="FFF0F0F0"/>
      </patternFill>
    </fill>
    <fill>
      <patternFill patternType="solid">
        <fgColor rgb="FFFFF9C4"/>
      </patternFill>
    </fill>
    <fill>
      <patternFill patternType="solid">
        <fgColor rgb="FFE3F2FD"/>
      </patternFill>
    </fill>
    <fill>
      <patternFill patternType="solid">
        <fgColor rgb="FF9DAB3A"/>
      </patternFill>
    </fill>
    <fill>
      <patternFill patternType="solid">
        <fgColor rgb="FFF8F8F8"/>
      </patternFill>
    </fill>
    <fill>
      <patternFill patternType="solid">
        <fgColor rgb="FFE8F5E9"/>
      </patternFill>
    </fill>
    <fill>
      <patternFill patternType="solid">
        <fgColor rgb="FF2C3E50"/>
      </patternFill>
    </fill>
    <fill>
      <patternFill patternType="solid">
        <fgColor rgb="FF8E44AD"/>
      </patternFill>
    </fill>
    <fill>
      <patternFill patternType="solid">
        <fgColor rgb="FFFFFFFF"/>
      </patternFill>
    </fill>
    <fill>
      <patternFill patternType="solid">
        <fgColor rgb="FF6A1B9A"/>
      </patternFill>
    </fill>
    <fill>
      <patternFill patternType="solid">
        <fgColor rgb="FF1565C0"/>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70">
    <xf numFmtId="0" fontId="0" fillId="0" borderId="0" xfId="0"/>
    <xf numFmtId="0" fontId="4"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7" fillId="0" borderId="0" xfId="0" applyFont="1" applyAlignment="1">
      <alignment horizontal="left" vertical="center" wrapText="1"/>
    </xf>
    <xf numFmtId="0" fontId="9" fillId="4"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3" fontId="5" fillId="5" borderId="1" xfId="0" applyNumberFormat="1"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9" fillId="4" borderId="1" xfId="0" applyFont="1" applyFill="1" applyBorder="1"/>
    <xf numFmtId="3" fontId="9" fillId="4" borderId="1" xfId="0" applyNumberFormat="1" applyFont="1" applyFill="1" applyBorder="1" applyAlignment="1">
      <alignment horizontal="left" vertical="center" wrapText="1"/>
    </xf>
    <xf numFmtId="3" fontId="12" fillId="5" borderId="1" xfId="0" applyNumberFormat="1" applyFont="1" applyFill="1" applyBorder="1" applyAlignment="1">
      <alignment horizontal="left" vertical="center" wrapText="1"/>
    </xf>
    <xf numFmtId="9" fontId="9" fillId="4" borderId="1" xfId="0" applyNumberFormat="1" applyFont="1" applyFill="1" applyBorder="1" applyAlignment="1">
      <alignment horizontal="left" vertical="center" wrapText="1"/>
    </xf>
    <xf numFmtId="9" fontId="5" fillId="5" borderId="1" xfId="0" applyNumberFormat="1" applyFont="1" applyFill="1" applyBorder="1" applyAlignment="1">
      <alignment horizontal="left" vertical="center" wrapText="1"/>
    </xf>
    <xf numFmtId="0" fontId="13" fillId="8"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 fillId="0" borderId="0" xfId="0" applyFont="1"/>
    <xf numFmtId="0" fontId="2" fillId="3"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15" fillId="4" borderId="1" xfId="0" applyFont="1" applyFill="1" applyBorder="1" applyAlignment="1">
      <alignment horizontal="center" vertical="center" wrapText="1"/>
    </xf>
    <xf numFmtId="0" fontId="11" fillId="0" borderId="0" xfId="0" applyFont="1"/>
    <xf numFmtId="0" fontId="3" fillId="10" borderId="1" xfId="0" applyFont="1" applyFill="1" applyBorder="1" applyAlignment="1">
      <alignment horizontal="center" vertical="center" wrapText="1"/>
    </xf>
    <xf numFmtId="0" fontId="2" fillId="11"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18" fillId="5" borderId="1" xfId="0" applyFont="1" applyFill="1" applyBorder="1" applyAlignment="1">
      <alignment horizontal="left" vertical="center" wrapText="1"/>
    </xf>
    <xf numFmtId="0" fontId="3" fillId="12" borderId="1" xfId="0" applyFont="1" applyFill="1" applyBorder="1" applyAlignment="1">
      <alignment horizontal="center" vertical="center" wrapText="1"/>
    </xf>
    <xf numFmtId="2" fontId="9" fillId="4" borderId="1" xfId="0" applyNumberFormat="1" applyFont="1" applyFill="1" applyBorder="1" applyAlignment="1">
      <alignment horizontal="left" vertical="center" wrapText="1"/>
    </xf>
    <xf numFmtId="164" fontId="5" fillId="5" borderId="1" xfId="0" applyNumberFormat="1" applyFont="1" applyFill="1" applyBorder="1" applyAlignment="1">
      <alignment horizontal="left" vertical="center" wrapText="1"/>
    </xf>
    <xf numFmtId="164" fontId="4" fillId="5" borderId="1" xfId="0" applyNumberFormat="1" applyFont="1" applyFill="1" applyBorder="1" applyAlignment="1">
      <alignment horizontal="left" vertical="center" wrapText="1"/>
    </xf>
    <xf numFmtId="3" fontId="2" fillId="11" borderId="1" xfId="0" applyNumberFormat="1" applyFont="1" applyFill="1" applyBorder="1" applyAlignment="1">
      <alignment horizontal="center" vertical="center" wrapText="1"/>
    </xf>
    <xf numFmtId="0" fontId="2" fillId="11"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3" fontId="4" fillId="8" borderId="1" xfId="0" applyNumberFormat="1" applyFont="1" applyFill="1" applyBorder="1" applyAlignment="1">
      <alignment horizontal="left" vertical="center" wrapText="1"/>
    </xf>
    <xf numFmtId="165" fontId="4" fillId="8" borderId="1" xfId="0" applyNumberFormat="1" applyFont="1" applyFill="1" applyBorder="1" applyAlignment="1">
      <alignment horizontal="left" vertical="center" wrapText="1"/>
    </xf>
    <xf numFmtId="0" fontId="4" fillId="0" borderId="0" xfId="0" applyFont="1"/>
    <xf numFmtId="0" fontId="9" fillId="4" borderId="1" xfId="0" applyFont="1" applyFill="1" applyBorder="1" applyAlignment="1">
      <alignment horizontal="left" vertical="center"/>
    </xf>
    <xf numFmtId="0" fontId="19" fillId="7"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0" fillId="0" borderId="0" xfId="0" applyFont="1"/>
    <xf numFmtId="0" fontId="1" fillId="2" borderId="0" xfId="0" applyFont="1" applyFill="1" applyAlignment="1">
      <alignment horizontal="center" vertical="center" wrapText="1"/>
    </xf>
    <xf numFmtId="0" fontId="0" fillId="0" borderId="0" xfId="0"/>
    <xf numFmtId="0" fontId="3" fillId="2" borderId="0" xfId="0" applyFont="1" applyFill="1" applyAlignment="1">
      <alignment horizontal="left" vertical="center" wrapText="1"/>
    </xf>
    <xf numFmtId="0" fontId="2" fillId="3" borderId="0" xfId="0" applyFont="1" applyFill="1" applyAlignment="1">
      <alignment horizontal="center" vertical="center" wrapText="1"/>
    </xf>
    <xf numFmtId="0" fontId="8" fillId="2" borderId="0" xfId="0" applyFont="1" applyFill="1" applyAlignment="1">
      <alignment horizontal="left" vertical="center" wrapText="1"/>
    </xf>
    <xf numFmtId="0" fontId="16" fillId="5" borderId="1" xfId="0" applyFont="1" applyFill="1" applyBorder="1" applyAlignment="1">
      <alignment horizontal="left" vertical="center" wrapText="1"/>
    </xf>
    <xf numFmtId="0" fontId="0" fillId="0" borderId="2" xfId="0" applyBorder="1"/>
    <xf numFmtId="0" fontId="0" fillId="0" borderId="3" xfId="0" applyBorder="1"/>
    <xf numFmtId="0" fontId="6" fillId="2" borderId="0" xfId="0" applyFont="1" applyFill="1" applyAlignment="1">
      <alignment horizontal="left" vertical="center" wrapText="1"/>
    </xf>
    <xf numFmtId="0" fontId="7" fillId="0" borderId="0" xfId="0" applyFont="1" applyAlignment="1">
      <alignment horizontal="left" vertical="center" wrapText="1"/>
    </xf>
    <xf numFmtId="0" fontId="10" fillId="2" borderId="0" xfId="0" applyFont="1" applyFill="1" applyAlignment="1">
      <alignment horizontal="left" vertical="center" wrapText="1"/>
    </xf>
    <xf numFmtId="0" fontId="11" fillId="3" borderId="0" xfId="0" applyFont="1" applyFill="1" applyAlignment="1">
      <alignment horizontal="left" vertical="center" wrapText="1"/>
    </xf>
    <xf numFmtId="0" fontId="8" fillId="6" borderId="0" xfId="0" applyFont="1" applyFill="1" applyAlignment="1">
      <alignment horizontal="left" vertical="center" wrapText="1"/>
    </xf>
    <xf numFmtId="0" fontId="6" fillId="6" borderId="0" xfId="0" applyFont="1" applyFill="1" applyAlignment="1">
      <alignment horizontal="left" vertical="center" wrapText="1"/>
    </xf>
    <xf numFmtId="0" fontId="3" fillId="10" borderId="0" xfId="0" applyFont="1" applyFill="1" applyAlignment="1">
      <alignment horizontal="left" vertical="center" wrapText="1"/>
    </xf>
    <xf numFmtId="0" fontId="8" fillId="10" borderId="0" xfId="0" applyFont="1" applyFill="1" applyAlignment="1">
      <alignment horizontal="left" vertical="center" wrapText="1"/>
    </xf>
    <xf numFmtId="0" fontId="7" fillId="0" borderId="0" xfId="0" applyFont="1"/>
    <xf numFmtId="0" fontId="18" fillId="5" borderId="1" xfId="0" applyFont="1" applyFill="1" applyBorder="1" applyAlignment="1">
      <alignment horizontal="left" vertical="center" wrapText="1"/>
    </xf>
    <xf numFmtId="0" fontId="10" fillId="9" borderId="0" xfId="0" applyFont="1" applyFill="1" applyAlignment="1">
      <alignment horizontal="left" vertical="center" wrapText="1"/>
    </xf>
    <xf numFmtId="0" fontId="3" fillId="6" borderId="0" xfId="0" applyFont="1" applyFill="1" applyAlignment="1">
      <alignment horizontal="left" vertical="center" wrapText="1"/>
    </xf>
    <xf numFmtId="0" fontId="3" fillId="9" borderId="0" xfId="0" applyFont="1" applyFill="1" applyAlignment="1">
      <alignment horizontal="left" vertical="center" wrapText="1"/>
    </xf>
    <xf numFmtId="0" fontId="14" fillId="3" borderId="0" xfId="0" applyFont="1" applyFill="1" applyAlignment="1">
      <alignment horizontal="left" vertical="center" wrapText="1"/>
    </xf>
    <xf numFmtId="0" fontId="8" fillId="12" borderId="0" xfId="0" applyFont="1" applyFill="1" applyAlignment="1">
      <alignment horizontal="left" vertical="center" wrapText="1"/>
    </xf>
    <xf numFmtId="0" fontId="4" fillId="3" borderId="1" xfId="0" applyFont="1" applyFill="1" applyBorder="1" applyAlignment="1">
      <alignment horizontal="left" vertical="center" wrapText="1"/>
    </xf>
    <xf numFmtId="0" fontId="6" fillId="12" borderId="0" xfId="0" applyFont="1" applyFill="1" applyAlignment="1">
      <alignment horizontal="left" vertical="center" wrapText="1"/>
    </xf>
    <xf numFmtId="0" fontId="9" fillId="4" borderId="1" xfId="0" applyFont="1" applyFill="1" applyBorder="1" applyAlignment="1">
      <alignment horizontal="left" vertical="center" wrapText="1"/>
    </xf>
    <xf numFmtId="0" fontId="8" fillId="13" borderId="0" xfId="0" applyFont="1" applyFill="1" applyAlignment="1">
      <alignment horizontal="left" vertical="center" wrapText="1"/>
    </xf>
    <xf numFmtId="0" fontId="3" fillId="13" borderId="0" xfId="0" applyFont="1" applyFill="1" applyAlignment="1">
      <alignment horizontal="left" vertical="center" wrapText="1"/>
    </xf>
    <xf numFmtId="0" fontId="10" fillId="13" borderId="0" xfId="0" applyFont="1" applyFill="1" applyAlignment="1">
      <alignment horizontal="left" vertical="center" wrapText="1"/>
    </xf>
    <xf numFmtId="0" fontId="17" fillId="0" borderId="0" xfId="0" applyFont="1" applyAlignment="1">
      <alignment horizontal="left" vertical="center" wrapText="1"/>
    </xf>
  </cellXfs>
  <cellStyles count="1">
    <cellStyle name="Normal" xfId="0" builtinId="0"/>
  </cellStyles>
  <dxfs count="24">
    <dxf>
      <font>
        <b/>
        <sz val="10"/>
        <color rgb="FFE65100"/>
        <name val="Arial"/>
      </font>
      <fill>
        <patternFill patternType="solid">
          <fgColor rgb="FFFFF3E0"/>
        </patternFill>
      </fill>
    </dxf>
    <dxf>
      <font>
        <b/>
        <sz val="10"/>
        <color rgb="FFB71C1C"/>
        <name val="Arial"/>
      </font>
      <fill>
        <patternFill patternType="solid">
          <fgColor rgb="FFFFCDD2"/>
        </patternFill>
      </fill>
    </dxf>
    <dxf>
      <font>
        <b/>
        <sz val="10"/>
        <color rgb="FF1B5E20"/>
        <name val="Arial"/>
      </font>
      <fill>
        <patternFill patternType="solid">
          <fgColor rgb="FFC8E6C9"/>
        </patternFill>
      </fill>
    </dxf>
    <dxf>
      <font>
        <b/>
        <sz val="10"/>
        <color rgb="FFB71C1C"/>
        <name val="Arial"/>
      </font>
      <fill>
        <patternFill patternType="solid">
          <fgColor rgb="FFFFCDD2"/>
        </patternFill>
      </fill>
    </dxf>
    <dxf>
      <font>
        <b/>
        <sz val="10"/>
        <color rgb="FF1B5E20"/>
        <name val="Arial"/>
      </font>
      <fill>
        <patternFill patternType="solid">
          <fgColor rgb="FFC8E6C9"/>
        </patternFill>
      </fill>
    </dxf>
    <dxf>
      <font>
        <b/>
        <sz val="10"/>
        <color rgb="FFE65100"/>
        <name val="Arial"/>
      </font>
      <fill>
        <patternFill patternType="solid">
          <fgColor rgb="FFFFF3E0"/>
        </patternFill>
      </fill>
    </dxf>
    <dxf>
      <font>
        <b/>
        <sz val="10"/>
        <color rgb="FFB71C1C"/>
        <name val="Arial"/>
      </font>
      <fill>
        <patternFill patternType="solid">
          <fgColor rgb="FFFFCDD2"/>
        </patternFill>
      </fill>
    </dxf>
    <dxf>
      <font>
        <b/>
        <sz val="10"/>
        <color rgb="FF1B5E20"/>
        <name val="Arial"/>
      </font>
      <fill>
        <patternFill patternType="solid">
          <fgColor rgb="FFC8E6C9"/>
        </patternFill>
      </fill>
    </dxf>
    <dxf>
      <font>
        <b/>
        <sz val="10"/>
        <color rgb="FFE65100"/>
        <name val="Arial"/>
      </font>
      <fill>
        <patternFill patternType="solid">
          <fgColor rgb="FFFFF3E0"/>
        </patternFill>
      </fill>
    </dxf>
    <dxf>
      <font>
        <b/>
        <sz val="10"/>
        <color rgb="FFB71C1C"/>
        <name val="Arial"/>
      </font>
      <fill>
        <patternFill patternType="solid">
          <fgColor rgb="FFFFCDD2"/>
        </patternFill>
      </fill>
    </dxf>
    <dxf>
      <font>
        <b/>
        <sz val="10"/>
        <color rgb="FF1B5E20"/>
        <name val="Arial"/>
      </font>
      <fill>
        <patternFill patternType="solid">
          <fgColor rgb="FFC8E6C9"/>
        </patternFill>
      </fill>
    </dxf>
    <dxf>
      <font>
        <b/>
        <sz val="10"/>
        <color rgb="FF196B23"/>
        <name val="Arial"/>
      </font>
      <fill>
        <patternFill patternType="solid">
          <fgColor rgb="FFE8F5E9"/>
        </patternFill>
      </fill>
    </dxf>
    <dxf>
      <font>
        <b/>
        <color rgb="FF1B5E20"/>
        <name val="Arial"/>
      </font>
      <fill>
        <patternFill patternType="solid">
          <fgColor rgb="FFC8E6C9"/>
        </patternFill>
      </fill>
    </dxf>
    <dxf>
      <font>
        <b/>
        <color rgb="FFB71C1C"/>
        <name val="Arial"/>
      </font>
      <fill>
        <patternFill patternType="solid">
          <fgColor rgb="FFFFCDD2"/>
        </patternFill>
      </fill>
    </dxf>
    <dxf>
      <font>
        <b/>
        <color rgb="FF1B5E20"/>
        <name val="Arial"/>
      </font>
      <fill>
        <patternFill patternType="solid">
          <fgColor rgb="FFC8E6C9"/>
        </patternFill>
      </fill>
    </dxf>
    <dxf>
      <font>
        <b/>
        <color rgb="FFB71C1C"/>
        <name val="Arial"/>
      </font>
      <fill>
        <patternFill patternType="solid">
          <fgColor rgb="FFFFCDD2"/>
        </patternFill>
      </fill>
    </dxf>
    <dxf>
      <font>
        <b/>
        <color rgb="FFB71C1C"/>
        <name val="Arial"/>
      </font>
      <fill>
        <patternFill patternType="solid">
          <fgColor rgb="FFFFCDD2"/>
        </patternFill>
      </fill>
    </dxf>
    <dxf>
      <font>
        <b/>
        <color rgb="FF1B5E20"/>
        <name val="Arial"/>
      </font>
      <fill>
        <patternFill patternType="solid">
          <fgColor rgb="FFC8E6C9"/>
        </patternFill>
      </fill>
    </dxf>
    <dxf>
      <font>
        <b/>
        <color rgb="FFB71C1C"/>
        <name val="Arial"/>
      </font>
      <fill>
        <patternFill patternType="solid">
          <fgColor rgb="FFFFCDD2"/>
        </patternFill>
      </fill>
    </dxf>
    <dxf>
      <font>
        <b/>
        <color rgb="FF1B5E20"/>
        <name val="Arial"/>
      </font>
      <fill>
        <patternFill patternType="solid">
          <fgColor rgb="FFC8E6C9"/>
        </patternFill>
      </fill>
    </dxf>
    <dxf>
      <font>
        <b/>
        <color rgb="FFB71C1C"/>
        <name val="Arial"/>
      </font>
      <fill>
        <patternFill patternType="solid">
          <fgColor rgb="FFFFCDD2"/>
        </patternFill>
      </fill>
    </dxf>
    <dxf>
      <font>
        <b/>
        <color rgb="FF1B5E20"/>
        <name val="Arial"/>
      </font>
      <fill>
        <patternFill patternType="solid">
          <fgColor rgb="FFC8E6C9"/>
        </patternFill>
      </fill>
    </dxf>
    <dxf>
      <font>
        <b/>
        <color rgb="FFB71C1C"/>
        <name val="Arial"/>
      </font>
      <fill>
        <patternFill patternType="solid">
          <fgColor rgb="FFFFCDD2"/>
        </patternFill>
      </fill>
    </dxf>
    <dxf>
      <font>
        <b/>
        <color rgb="FF1B5E20"/>
        <name val="Arial"/>
      </font>
      <fill>
        <patternFill patternType="solid">
          <fgColor rgb="FFC8E6C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1A1A"/>
  </sheetPr>
  <dimension ref="B1:D46"/>
  <sheetViews>
    <sheetView showGridLines="0" tabSelected="1" workbookViewId="0">
      <selection activeCell="G38" sqref="G38"/>
    </sheetView>
  </sheetViews>
  <sheetFormatPr defaultRowHeight="15" x14ac:dyDescent="0.25"/>
  <cols>
    <col min="1" max="1" width="3" customWidth="1"/>
    <col min="2" max="2" width="28" customWidth="1"/>
    <col min="3" max="3" width="60" customWidth="1"/>
    <col min="4" max="4" width="22" customWidth="1"/>
  </cols>
  <sheetData>
    <row r="1" spans="2:4" ht="30" customHeight="1" x14ac:dyDescent="0.25">
      <c r="B1" s="40" t="s">
        <v>0</v>
      </c>
      <c r="C1" s="41"/>
      <c r="D1" s="41"/>
    </row>
    <row r="2" spans="2:4" x14ac:dyDescent="0.25">
      <c r="B2" s="43" t="s">
        <v>1</v>
      </c>
      <c r="C2" s="41"/>
      <c r="D2" s="41"/>
    </row>
    <row r="4" spans="2:4" ht="20.100000000000001" customHeight="1" x14ac:dyDescent="0.25">
      <c r="B4" s="42" t="s">
        <v>2</v>
      </c>
      <c r="C4" s="41"/>
      <c r="D4" s="41"/>
    </row>
    <row r="5" spans="2:4" ht="30" customHeight="1" x14ac:dyDescent="0.25">
      <c r="B5" s="1" t="s">
        <v>3</v>
      </c>
      <c r="C5" s="2" t="s">
        <v>4</v>
      </c>
    </row>
    <row r="6" spans="2:4" ht="30" customHeight="1" x14ac:dyDescent="0.25">
      <c r="B6" s="1" t="s">
        <v>5</v>
      </c>
      <c r="C6" s="2" t="s">
        <v>6</v>
      </c>
    </row>
    <row r="7" spans="2:4" ht="30" customHeight="1" x14ac:dyDescent="0.25">
      <c r="B7" s="1" t="s">
        <v>7</v>
      </c>
      <c r="C7" s="2" t="s">
        <v>8</v>
      </c>
    </row>
    <row r="8" spans="2:4" ht="30" customHeight="1" x14ac:dyDescent="0.25">
      <c r="B8" s="1" t="s">
        <v>9</v>
      </c>
      <c r="C8" s="2" t="s">
        <v>10</v>
      </c>
    </row>
    <row r="9" spans="2:4" ht="30" customHeight="1" x14ac:dyDescent="0.25">
      <c r="B9" s="1" t="s">
        <v>11</v>
      </c>
      <c r="C9" s="2" t="s">
        <v>12</v>
      </c>
    </row>
    <row r="11" spans="2:4" ht="20.100000000000001" customHeight="1" x14ac:dyDescent="0.25">
      <c r="B11" s="42" t="s">
        <v>13</v>
      </c>
      <c r="C11" s="41"/>
      <c r="D11" s="41"/>
    </row>
    <row r="12" spans="2:4" ht="30" customHeight="1" x14ac:dyDescent="0.25">
      <c r="B12" s="1" t="s">
        <v>14</v>
      </c>
      <c r="C12" s="2" t="s">
        <v>15</v>
      </c>
    </row>
    <row r="13" spans="2:4" ht="30" customHeight="1" x14ac:dyDescent="0.25">
      <c r="B13" s="1" t="s">
        <v>16</v>
      </c>
      <c r="C13" s="2" t="s">
        <v>17</v>
      </c>
    </row>
    <row r="14" spans="2:4" ht="30" customHeight="1" x14ac:dyDescent="0.25">
      <c r="B14" s="1" t="s">
        <v>18</v>
      </c>
      <c r="C14" s="2" t="s">
        <v>19</v>
      </c>
    </row>
    <row r="15" spans="2:4" ht="30" customHeight="1" x14ac:dyDescent="0.25">
      <c r="B15" s="1" t="s">
        <v>20</v>
      </c>
      <c r="C15" s="2" t="s">
        <v>21</v>
      </c>
    </row>
    <row r="16" spans="2:4" ht="30" customHeight="1" x14ac:dyDescent="0.25">
      <c r="B16" s="1" t="s">
        <v>22</v>
      </c>
      <c r="C16" s="2" t="s">
        <v>23</v>
      </c>
    </row>
    <row r="17" spans="2:4" ht="30" customHeight="1" x14ac:dyDescent="0.25">
      <c r="B17" s="1" t="s">
        <v>24</v>
      </c>
      <c r="C17" s="2" t="s">
        <v>25</v>
      </c>
    </row>
    <row r="18" spans="2:4" ht="30" customHeight="1" x14ac:dyDescent="0.25">
      <c r="B18" s="1" t="s">
        <v>26</v>
      </c>
      <c r="C18" s="2" t="s">
        <v>27</v>
      </c>
    </row>
    <row r="19" spans="2:4" ht="30" customHeight="1" x14ac:dyDescent="0.25">
      <c r="B19" s="1" t="s">
        <v>28</v>
      </c>
      <c r="C19" s="2" t="s">
        <v>29</v>
      </c>
    </row>
    <row r="20" spans="2:4" ht="30" customHeight="1" x14ac:dyDescent="0.25">
      <c r="B20" s="1" t="s">
        <v>30</v>
      </c>
      <c r="C20" s="2" t="s">
        <v>31</v>
      </c>
    </row>
    <row r="21" spans="2:4" ht="30" customHeight="1" x14ac:dyDescent="0.25">
      <c r="B21" s="1" t="s">
        <v>32</v>
      </c>
      <c r="C21" s="2" t="s">
        <v>33</v>
      </c>
    </row>
    <row r="22" spans="2:4" ht="30" customHeight="1" x14ac:dyDescent="0.25">
      <c r="B22" s="1" t="s">
        <v>34</v>
      </c>
      <c r="C22" s="2" t="s">
        <v>35</v>
      </c>
    </row>
    <row r="23" spans="2:4" ht="30" customHeight="1" x14ac:dyDescent="0.25">
      <c r="B23" s="1" t="s">
        <v>36</v>
      </c>
      <c r="C23" s="2" t="s">
        <v>37</v>
      </c>
    </row>
    <row r="24" spans="2:4" ht="30" customHeight="1" x14ac:dyDescent="0.25">
      <c r="B24" s="1" t="s">
        <v>38</v>
      </c>
      <c r="C24" s="2" t="s">
        <v>39</v>
      </c>
    </row>
    <row r="25" spans="2:4" ht="30" customHeight="1" x14ac:dyDescent="0.25">
      <c r="B25" s="1" t="s">
        <v>40</v>
      </c>
      <c r="C25" s="2" t="s">
        <v>41</v>
      </c>
    </row>
    <row r="26" spans="2:4" ht="30" customHeight="1" x14ac:dyDescent="0.25">
      <c r="B26" s="1" t="s">
        <v>42</v>
      </c>
      <c r="C26" s="2" t="s">
        <v>43</v>
      </c>
    </row>
    <row r="28" spans="2:4" ht="20.100000000000001" customHeight="1" x14ac:dyDescent="0.25">
      <c r="B28" s="42" t="s">
        <v>44</v>
      </c>
      <c r="C28" s="41"/>
      <c r="D28" s="41"/>
    </row>
    <row r="29" spans="2:4" ht="30" customHeight="1" x14ac:dyDescent="0.25">
      <c r="B29" s="1" t="s">
        <v>45</v>
      </c>
      <c r="C29" s="2" t="s">
        <v>46</v>
      </c>
    </row>
    <row r="30" spans="2:4" ht="30" customHeight="1" x14ac:dyDescent="0.25">
      <c r="B30" s="1" t="s">
        <v>47</v>
      </c>
      <c r="C30" s="2" t="s">
        <v>48</v>
      </c>
    </row>
    <row r="31" spans="2:4" ht="30" customHeight="1" x14ac:dyDescent="0.25">
      <c r="B31" s="1" t="s">
        <v>49</v>
      </c>
      <c r="C31" s="2" t="s">
        <v>50</v>
      </c>
    </row>
    <row r="32" spans="2:4" ht="30" customHeight="1" x14ac:dyDescent="0.25">
      <c r="B32" s="1" t="s">
        <v>51</v>
      </c>
      <c r="C32" s="2" t="s">
        <v>52</v>
      </c>
    </row>
    <row r="33" spans="2:4" ht="30" customHeight="1" x14ac:dyDescent="0.25">
      <c r="B33" s="1" t="s">
        <v>53</v>
      </c>
      <c r="C33" s="2" t="s">
        <v>54</v>
      </c>
    </row>
    <row r="34" spans="2:4" ht="30" customHeight="1" x14ac:dyDescent="0.25">
      <c r="B34" s="1" t="s">
        <v>55</v>
      </c>
      <c r="C34" s="2" t="s">
        <v>56</v>
      </c>
    </row>
    <row r="35" spans="2:4" ht="30" customHeight="1" x14ac:dyDescent="0.25">
      <c r="B35" s="1" t="s">
        <v>57</v>
      </c>
      <c r="C35" s="2" t="s">
        <v>58</v>
      </c>
    </row>
    <row r="37" spans="2:4" ht="20.100000000000001" customHeight="1" x14ac:dyDescent="0.25">
      <c r="B37" s="42" t="s">
        <v>59</v>
      </c>
      <c r="C37" s="41"/>
      <c r="D37" s="41"/>
    </row>
    <row r="38" spans="2:4" ht="51" customHeight="1" x14ac:dyDescent="0.25">
      <c r="B38" s="1" t="s">
        <v>60</v>
      </c>
      <c r="C38" s="2" t="s">
        <v>61</v>
      </c>
    </row>
    <row r="40" spans="2:4" ht="20.100000000000001" customHeight="1" x14ac:dyDescent="0.25">
      <c r="B40" s="42" t="s">
        <v>62</v>
      </c>
      <c r="C40" s="41"/>
      <c r="D40" s="41"/>
    </row>
    <row r="41" spans="2:4" ht="30" customHeight="1" x14ac:dyDescent="0.25">
      <c r="B41" s="1" t="s">
        <v>63</v>
      </c>
      <c r="C41" s="2" t="s">
        <v>64</v>
      </c>
    </row>
    <row r="42" spans="2:4" ht="30" customHeight="1" x14ac:dyDescent="0.25">
      <c r="B42" s="1" t="s">
        <v>65</v>
      </c>
      <c r="C42" s="2" t="s">
        <v>66</v>
      </c>
    </row>
    <row r="43" spans="2:4" ht="30" customHeight="1" x14ac:dyDescent="0.25">
      <c r="B43" s="1" t="s">
        <v>67</v>
      </c>
      <c r="C43" s="2" t="s">
        <v>68</v>
      </c>
    </row>
    <row r="44" spans="2:4" ht="30" customHeight="1" x14ac:dyDescent="0.25">
      <c r="B44" s="1" t="s">
        <v>69</v>
      </c>
      <c r="C44" s="2" t="s">
        <v>70</v>
      </c>
    </row>
    <row r="45" spans="2:4" ht="27.95" customHeight="1" x14ac:dyDescent="0.25">
      <c r="B45" s="1" t="s">
        <v>71</v>
      </c>
      <c r="C45" s="2" t="s">
        <v>72</v>
      </c>
    </row>
    <row r="46" spans="2:4" ht="27.95" customHeight="1" x14ac:dyDescent="0.25">
      <c r="B46" s="1" t="s">
        <v>73</v>
      </c>
      <c r="C46" s="2" t="s">
        <v>74</v>
      </c>
    </row>
  </sheetData>
  <mergeCells count="7">
    <mergeCell ref="B1:D1"/>
    <mergeCell ref="B4:D4"/>
    <mergeCell ref="B40:D40"/>
    <mergeCell ref="B2:D2"/>
    <mergeCell ref="B11:D11"/>
    <mergeCell ref="B28:D28"/>
    <mergeCell ref="B37:D3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96B23"/>
  </sheetPr>
  <dimension ref="B1:E33"/>
  <sheetViews>
    <sheetView showGridLines="0" topLeftCell="A7" workbookViewId="0">
      <selection activeCell="C33" sqref="C33:E33"/>
    </sheetView>
  </sheetViews>
  <sheetFormatPr defaultRowHeight="15" x14ac:dyDescent="0.25"/>
  <cols>
    <col min="1" max="1" width="3" customWidth="1"/>
    <col min="2" max="2" width="30" customWidth="1"/>
    <col min="3" max="3" width="40" customWidth="1"/>
    <col min="4" max="5" width="20" customWidth="1"/>
    <col min="6" max="6" width="3" customWidth="1"/>
  </cols>
  <sheetData>
    <row r="1" spans="2:5" ht="26.1" customHeight="1" x14ac:dyDescent="0.25">
      <c r="B1" s="48" t="s">
        <v>75</v>
      </c>
      <c r="C1" s="41"/>
      <c r="D1" s="41"/>
      <c r="E1" s="41"/>
    </row>
    <row r="2" spans="2:5" x14ac:dyDescent="0.25">
      <c r="B2" s="49" t="s">
        <v>76</v>
      </c>
      <c r="C2" s="41"/>
      <c r="D2" s="41"/>
      <c r="E2" s="41"/>
    </row>
    <row r="4" spans="2:5" ht="21.95" customHeight="1" x14ac:dyDescent="0.25">
      <c r="B4" s="44" t="s">
        <v>77</v>
      </c>
      <c r="C4" s="41"/>
      <c r="D4" s="41"/>
      <c r="E4" s="41"/>
    </row>
    <row r="5" spans="2:5" ht="18" customHeight="1" x14ac:dyDescent="0.25">
      <c r="B5" s="1" t="s">
        <v>78</v>
      </c>
      <c r="C5" s="4"/>
      <c r="D5" s="3" t="s">
        <v>79</v>
      </c>
    </row>
    <row r="6" spans="2:5" ht="18" customHeight="1" x14ac:dyDescent="0.25">
      <c r="B6" s="1" t="s">
        <v>80</v>
      </c>
      <c r="C6" s="4"/>
      <c r="D6" s="3" t="s">
        <v>81</v>
      </c>
    </row>
    <row r="7" spans="2:5" ht="21.95" customHeight="1" x14ac:dyDescent="0.25">
      <c r="B7" s="44" t="s">
        <v>82</v>
      </c>
      <c r="C7" s="41"/>
      <c r="D7" s="41"/>
      <c r="E7" s="41"/>
    </row>
    <row r="8" spans="2:5" ht="18" customHeight="1" x14ac:dyDescent="0.25">
      <c r="B8" s="1" t="s">
        <v>83</v>
      </c>
      <c r="C8" s="4"/>
      <c r="D8" s="3" t="s">
        <v>84</v>
      </c>
    </row>
    <row r="9" spans="2:5" ht="18" customHeight="1" x14ac:dyDescent="0.25">
      <c r="B9" s="1" t="s">
        <v>85</v>
      </c>
      <c r="C9" s="4"/>
      <c r="D9" s="3" t="s">
        <v>86</v>
      </c>
    </row>
    <row r="10" spans="2:5" ht="21.95" customHeight="1" x14ac:dyDescent="0.25">
      <c r="B10" s="44" t="s">
        <v>87</v>
      </c>
      <c r="C10" s="41"/>
      <c r="D10" s="41"/>
      <c r="E10" s="41"/>
    </row>
    <row r="12" spans="2:5" ht="21.95" customHeight="1" x14ac:dyDescent="0.25">
      <c r="B12" s="44" t="s">
        <v>88</v>
      </c>
      <c r="C12" s="41"/>
      <c r="D12" s="41"/>
      <c r="E12" s="41"/>
    </row>
    <row r="13" spans="2:5" ht="18" customHeight="1" x14ac:dyDescent="0.25">
      <c r="B13" s="1" t="s">
        <v>89</v>
      </c>
      <c r="C13" s="4"/>
      <c r="D13" s="3" t="s">
        <v>90</v>
      </c>
    </row>
    <row r="14" spans="2:5" ht="21.95" customHeight="1" x14ac:dyDescent="0.25">
      <c r="B14" s="44" t="s">
        <v>91</v>
      </c>
      <c r="C14" s="41"/>
      <c r="D14" s="41"/>
      <c r="E14" s="41"/>
    </row>
    <row r="15" spans="2:5" ht="18" customHeight="1" x14ac:dyDescent="0.25">
      <c r="B15" s="1" t="s">
        <v>92</v>
      </c>
      <c r="C15" s="4"/>
      <c r="D15" s="3" t="s">
        <v>93</v>
      </c>
    </row>
    <row r="16" spans="2:5" ht="18" customHeight="1" x14ac:dyDescent="0.25">
      <c r="B16" s="1" t="s">
        <v>94</v>
      </c>
      <c r="C16" s="4" t="s">
        <v>95</v>
      </c>
      <c r="D16" s="3" t="s">
        <v>96</v>
      </c>
    </row>
    <row r="17" spans="2:5" ht="18" customHeight="1" x14ac:dyDescent="0.25">
      <c r="B17" s="1" t="s">
        <v>97</v>
      </c>
      <c r="C17" s="4" t="s">
        <v>95</v>
      </c>
      <c r="D17" s="3" t="s">
        <v>98</v>
      </c>
    </row>
    <row r="18" spans="2:5" ht="18" customHeight="1" x14ac:dyDescent="0.25">
      <c r="B18" s="1" t="s">
        <v>99</v>
      </c>
      <c r="C18" s="4" t="s">
        <v>95</v>
      </c>
      <c r="D18" s="3" t="s">
        <v>100</v>
      </c>
    </row>
    <row r="19" spans="2:5" ht="18" customHeight="1" x14ac:dyDescent="0.25">
      <c r="B19" s="1" t="s">
        <v>101</v>
      </c>
      <c r="C19" s="4" t="s">
        <v>95</v>
      </c>
      <c r="D19" s="3"/>
    </row>
    <row r="20" spans="2:5" ht="18" customHeight="1" x14ac:dyDescent="0.25">
      <c r="B20" s="1" t="s">
        <v>102</v>
      </c>
      <c r="C20" s="4" t="s">
        <v>103</v>
      </c>
      <c r="D20" s="3"/>
    </row>
    <row r="21" spans="2:5" ht="18" customHeight="1" x14ac:dyDescent="0.25">
      <c r="B21" s="1" t="s">
        <v>104</v>
      </c>
      <c r="C21" s="4" t="s">
        <v>105</v>
      </c>
      <c r="D21" s="3" t="s">
        <v>106</v>
      </c>
    </row>
    <row r="23" spans="2:5" ht="21.95" customHeight="1" x14ac:dyDescent="0.25">
      <c r="B23" s="44" t="s">
        <v>107</v>
      </c>
      <c r="C23" s="41"/>
      <c r="D23" s="41"/>
      <c r="E23" s="41"/>
    </row>
    <row r="24" spans="2:5" ht="18" customHeight="1" x14ac:dyDescent="0.25">
      <c r="B24" s="1" t="s">
        <v>108</v>
      </c>
      <c r="C24" s="4" t="s">
        <v>109</v>
      </c>
      <c r="D24" s="3" t="s">
        <v>110</v>
      </c>
    </row>
    <row r="25" spans="2:5" ht="18" customHeight="1" x14ac:dyDescent="0.25">
      <c r="B25" s="1" t="s">
        <v>111</v>
      </c>
      <c r="C25" s="4" t="s">
        <v>112</v>
      </c>
      <c r="D25" s="3"/>
    </row>
    <row r="26" spans="2:5" ht="18" customHeight="1" x14ac:dyDescent="0.25">
      <c r="B26" s="1" t="s">
        <v>113</v>
      </c>
      <c r="C26" s="4" t="s">
        <v>114</v>
      </c>
      <c r="D26" s="3" t="s">
        <v>115</v>
      </c>
    </row>
    <row r="28" spans="2:5" ht="21.95" customHeight="1" x14ac:dyDescent="0.25">
      <c r="B28" s="44" t="s">
        <v>116</v>
      </c>
      <c r="C28" s="41"/>
      <c r="D28" s="41"/>
      <c r="E28" s="41"/>
    </row>
    <row r="29" spans="2:5" ht="18" customHeight="1" x14ac:dyDescent="0.25">
      <c r="B29" s="1" t="s">
        <v>117</v>
      </c>
      <c r="C29" s="4" t="s">
        <v>118</v>
      </c>
      <c r="D29" s="3" t="s">
        <v>119</v>
      </c>
    </row>
    <row r="30" spans="2:5" ht="18" customHeight="1" x14ac:dyDescent="0.25">
      <c r="B30" s="1" t="s">
        <v>120</v>
      </c>
      <c r="C30" s="4"/>
      <c r="D30" s="3" t="s">
        <v>121</v>
      </c>
    </row>
    <row r="31" spans="2:5" ht="18" customHeight="1" x14ac:dyDescent="0.25">
      <c r="B31" s="1" t="s">
        <v>122</v>
      </c>
      <c r="C31" s="4" t="s">
        <v>123</v>
      </c>
      <c r="D31" s="3" t="s">
        <v>124</v>
      </c>
    </row>
    <row r="32" spans="2:5" x14ac:dyDescent="0.25">
      <c r="B32" s="42" t="s">
        <v>125</v>
      </c>
      <c r="C32" s="41"/>
      <c r="D32" s="41"/>
      <c r="E32" s="41"/>
    </row>
    <row r="33" spans="2:5" ht="25.5" x14ac:dyDescent="0.25">
      <c r="B33" s="1" t="s">
        <v>126</v>
      </c>
      <c r="C33" s="45" t="str">
        <f>COUNTIF('14_AMENDMENTS'!B:B,C10)&amp;" row(s) found in 14_AMENDMENTS — review before permit"</f>
        <v>0 row(s) found in 14_AMENDMENTS — review before permit</v>
      </c>
      <c r="D33" s="46"/>
      <c r="E33" s="47"/>
    </row>
  </sheetData>
  <mergeCells count="11">
    <mergeCell ref="B23:E23"/>
    <mergeCell ref="C33:E33"/>
    <mergeCell ref="B1:E1"/>
    <mergeCell ref="B4:E4"/>
    <mergeCell ref="B12:E12"/>
    <mergeCell ref="B7:E7"/>
    <mergeCell ref="B2:E2"/>
    <mergeCell ref="B10:E10"/>
    <mergeCell ref="B28:E28"/>
    <mergeCell ref="B14:E14"/>
    <mergeCell ref="B32:E32"/>
  </mergeCells>
  <pageMargins left="0.75" right="0.75" top="1" bottom="1" header="0.5" footer="0.5"/>
  <extLst>
    <ext xmlns:x14="http://schemas.microsoft.com/office/spreadsheetml/2009/9/main" uri="{CCE6A557-97BC-4b89-ADB6-D9C93CAAB3DF}">
      <x14:dataValidations xmlns:xm="http://schemas.microsoft.com/office/excel/2006/main" count="7">
        <x14:dataValidation type="list" allowBlank="1" showInputMessage="1" promptTitle="Jurisdiction" prompt="Select jurisdiction — affects which amendments apply" xr:uid="{00000000-0002-0000-0100-000000000000}">
          <x14:formula1>
            <xm:f>DATA_LISTS!$A$2:$A$12</xm:f>
          </x14:formula1>
          <xm:sqref>C10</xm:sqref>
        </x14:dataValidation>
        <x14:dataValidation type="list" allowBlank="1" showInputMessage="1" promptTitle="IBC Edition" prompt="Select IBC edition in use" xr:uid="{00000000-0002-0000-0100-000001000000}">
          <x14:formula1>
            <xm:f>DATA_LISTS!$E$2:$E$6</xm:f>
          </x14:formula1>
          <xm:sqref>C13</xm:sqref>
        </x14:dataValidation>
        <x14:dataValidation type="list" allowBlank="1" showInputMessage="1" promptTitle="IRC Edition" prompt="Select IRC edition" xr:uid="{00000000-0002-0000-0100-000002000000}">
          <x14:formula1>
            <xm:f>DATA_LISTS!$E$2:$E$6</xm:f>
          </x14:formula1>
          <xm:sqref>C14</xm:sqref>
        </x14:dataValidation>
        <x14:dataValidation type="list" allowBlank="1" showInputMessage="1" promptTitle="Project Type" prompt="Select project type" xr:uid="{00000000-0002-0000-0100-000003000000}">
          <x14:formula1>
            <xm:f>DATA_LISTS!$F$2:$F$13</xm:f>
          </x14:formula1>
          <xm:sqref>C22</xm:sqref>
        </x14:dataValidation>
        <x14:dataValidation type="list" allowBlank="1" showInputMessage="1" promptTitle="Alteration Type" xr:uid="{00000000-0002-0000-0100-000004000000}">
          <x14:formula1>
            <xm:f>DATA_LISTS!$F$2:$F$13</xm:f>
          </x14:formula1>
          <xm:sqref>C23</xm:sqref>
        </x14:dataValidation>
        <x14:dataValidation type="list" allowBlank="1" showInputMessage="1" promptTitle="ALDi Gate" prompt="Select current ALDi gate" xr:uid="{00000000-0002-0000-0100-000005000000}">
          <x14:formula1>
            <xm:f>DATA_LISTS!$G$2:$G$6</xm:f>
          </x14:formula1>
          <xm:sqref>C24</xm:sqref>
        </x14:dataValidation>
        <x14:dataValidation type="list" allowBlank="1" showInputMessage="1" promptTitle="Lead Firm" prompt="Determines fee flow and CA compliance" xr:uid="{00000000-0002-0000-0100-000006000000}">
          <x14:formula1>
            <xm:f>DATA_LISTS!$M$2:$M$3</xm:f>
          </x14:formula1>
          <xm:sqref>C26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96B23"/>
  </sheetPr>
  <dimension ref="B1:F28"/>
  <sheetViews>
    <sheetView showGridLines="0" workbookViewId="0">
      <pane xSplit="1" ySplit="2" topLeftCell="B3" activePane="bottomRight" state="frozen"/>
      <selection pane="topRight"/>
      <selection pane="bottomLeft"/>
      <selection pane="bottomRight"/>
    </sheetView>
  </sheetViews>
  <sheetFormatPr defaultRowHeight="15" x14ac:dyDescent="0.25"/>
  <cols>
    <col min="1" max="1" width="3" customWidth="1"/>
    <col min="2" max="2" width="32" customWidth="1"/>
    <col min="3" max="5" width="18" customWidth="1"/>
    <col min="6" max="6" width="22" customWidth="1"/>
    <col min="7" max="7" width="3" customWidth="1"/>
  </cols>
  <sheetData>
    <row r="1" spans="2:6" ht="26.1" customHeight="1" x14ac:dyDescent="0.25">
      <c r="B1" s="48" t="s">
        <v>127</v>
      </c>
      <c r="C1" s="41"/>
      <c r="D1" s="41"/>
      <c r="E1" s="41"/>
      <c r="F1" s="41"/>
    </row>
    <row r="2" spans="2:6" ht="25.5" x14ac:dyDescent="0.25">
      <c r="B2" s="5" t="s">
        <v>128</v>
      </c>
      <c r="C2" s="5" t="s">
        <v>129</v>
      </c>
      <c r="D2" s="5" t="s">
        <v>130</v>
      </c>
      <c r="E2" s="5" t="s">
        <v>131</v>
      </c>
      <c r="F2" s="5" t="s">
        <v>132</v>
      </c>
    </row>
    <row r="3" spans="2:6" ht="21.95" customHeight="1" x14ac:dyDescent="0.25">
      <c r="B3" s="44" t="s">
        <v>133</v>
      </c>
      <c r="C3" s="41"/>
      <c r="D3" s="41"/>
      <c r="E3" s="41"/>
      <c r="F3" s="41"/>
    </row>
    <row r="4" spans="2:6" ht="18" customHeight="1" x14ac:dyDescent="0.25">
      <c r="B4" s="1" t="s">
        <v>134</v>
      </c>
      <c r="C4" s="4"/>
    </row>
    <row r="5" spans="2:6" ht="18" customHeight="1" x14ac:dyDescent="0.25">
      <c r="B5" s="1" t="s">
        <v>135</v>
      </c>
      <c r="C5" s="4"/>
      <c r="D5" s="4" t="s">
        <v>136</v>
      </c>
    </row>
    <row r="6" spans="2:6" ht="18" customHeight="1" x14ac:dyDescent="0.25">
      <c r="B6" s="1" t="s">
        <v>137</v>
      </c>
      <c r="C6" s="4" t="s">
        <v>138</v>
      </c>
    </row>
    <row r="7" spans="2:6" ht="18" customHeight="1" x14ac:dyDescent="0.25">
      <c r="B7" s="1" t="s">
        <v>139</v>
      </c>
      <c r="C7" s="4" t="s">
        <v>140</v>
      </c>
    </row>
    <row r="8" spans="2:6" ht="18" customHeight="1" x14ac:dyDescent="0.25">
      <c r="B8" s="1" t="s">
        <v>141</v>
      </c>
      <c r="C8" s="4" t="s">
        <v>142</v>
      </c>
    </row>
    <row r="9" spans="2:6" ht="18" customHeight="1" x14ac:dyDescent="0.25">
      <c r="B9" s="1" t="s">
        <v>143</v>
      </c>
      <c r="C9" s="4" t="s">
        <v>144</v>
      </c>
    </row>
    <row r="10" spans="2:6" ht="18" customHeight="1" x14ac:dyDescent="0.25">
      <c r="B10" s="1" t="s">
        <v>145</v>
      </c>
      <c r="C10" s="4" t="s">
        <v>146</v>
      </c>
    </row>
    <row r="11" spans="2:6" ht="18" customHeight="1" x14ac:dyDescent="0.25">
      <c r="B11" s="1" t="s">
        <v>147</v>
      </c>
      <c r="C11" s="4" t="s">
        <v>148</v>
      </c>
    </row>
    <row r="12" spans="2:6" ht="18" customHeight="1" x14ac:dyDescent="0.25">
      <c r="B12" s="1" t="s">
        <v>149</v>
      </c>
      <c r="C12" s="4" t="s">
        <v>150</v>
      </c>
    </row>
    <row r="13" spans="2:6" ht="18" customHeight="1" x14ac:dyDescent="0.25">
      <c r="B13" s="1" t="s">
        <v>151</v>
      </c>
      <c r="C13" s="4" t="s">
        <v>146</v>
      </c>
    </row>
    <row r="14" spans="2:6" ht="18" customHeight="1" x14ac:dyDescent="0.25">
      <c r="B14" s="1" t="s">
        <v>152</v>
      </c>
      <c r="C14" s="4" t="s">
        <v>153</v>
      </c>
    </row>
    <row r="15" spans="2:6" ht="21.95" customHeight="1" x14ac:dyDescent="0.25">
      <c r="B15" s="44" t="s">
        <v>154</v>
      </c>
      <c r="C15" s="41"/>
      <c r="D15" s="41"/>
      <c r="E15" s="41"/>
      <c r="F15" s="41"/>
    </row>
    <row r="16" spans="2:6" ht="18" customHeight="1" x14ac:dyDescent="0.25">
      <c r="B16" s="1" t="s">
        <v>155</v>
      </c>
      <c r="C16" s="6" t="str">
        <f ca="1">C17*C20</f>
        <v/>
      </c>
      <c r="E16" s="7" t="str">
        <f ca="1">IF(D16&gt;C16,"FAIL","PASS")</f>
        <v/>
      </c>
      <c r="F16" s="3" t="s">
        <v>156</v>
      </c>
    </row>
    <row r="17" spans="2:6" ht="18" customHeight="1" x14ac:dyDescent="0.25">
      <c r="B17" s="1" t="s">
        <v>157</v>
      </c>
      <c r="C17" s="6" t="str">
        <f ca="1">C18*C17</f>
        <v/>
      </c>
      <c r="F17" s="3" t="s">
        <v>158</v>
      </c>
    </row>
    <row r="18" spans="2:6" ht="18" customHeight="1" x14ac:dyDescent="0.25">
      <c r="B18" s="1" t="s">
        <v>159</v>
      </c>
      <c r="C18" s="6" t="e">
        <f>INT(C24/C25)</f>
        <v>#DIV/0!</v>
      </c>
      <c r="F18" s="3" t="s">
        <v>160</v>
      </c>
    </row>
    <row r="19" spans="2:6" ht="18" customHeight="1" x14ac:dyDescent="0.25">
      <c r="B19" s="1" t="s">
        <v>161</v>
      </c>
      <c r="C19" s="6">
        <f>MIN(C29,C30)</f>
        <v>0</v>
      </c>
      <c r="F19" s="3" t="s">
        <v>162</v>
      </c>
    </row>
    <row r="20" spans="2:6" ht="21.95" customHeight="1" x14ac:dyDescent="0.25">
      <c r="B20" s="44" t="s">
        <v>163</v>
      </c>
      <c r="C20" s="41"/>
      <c r="D20" s="41"/>
      <c r="E20" s="41"/>
      <c r="F20" s="41"/>
    </row>
    <row r="21" spans="2:6" ht="18" customHeight="1" x14ac:dyDescent="0.25">
      <c r="B21" s="1" t="s">
        <v>164</v>
      </c>
      <c r="C21" s="4" t="s">
        <v>165</v>
      </c>
    </row>
    <row r="22" spans="2:6" ht="18" customHeight="1" x14ac:dyDescent="0.25">
      <c r="B22" s="1" t="s">
        <v>166</v>
      </c>
      <c r="C22" s="4" t="s">
        <v>165</v>
      </c>
    </row>
    <row r="23" spans="2:6" ht="18" customHeight="1" x14ac:dyDescent="0.25">
      <c r="B23" s="1" t="s">
        <v>167</v>
      </c>
      <c r="C23" s="4" t="s">
        <v>168</v>
      </c>
    </row>
    <row r="24" spans="2:6" ht="18" customHeight="1" x14ac:dyDescent="0.25">
      <c r="B24" s="1" t="s">
        <v>169</v>
      </c>
      <c r="C24" s="6" t="e">
        <f>MAX(0,MIN(0.75,(C36/C37-0.25)*(C38/30)))</f>
        <v>#DIV/0!</v>
      </c>
      <c r="F24" s="3" t="s">
        <v>170</v>
      </c>
    </row>
    <row r="25" spans="2:6" ht="18" customHeight="1" x14ac:dyDescent="0.25">
      <c r="B25" s="1" t="s">
        <v>171</v>
      </c>
      <c r="C25" s="4" t="s">
        <v>172</v>
      </c>
    </row>
    <row r="26" spans="2:6" ht="18" customHeight="1" x14ac:dyDescent="0.25">
      <c r="B26" s="1" t="s">
        <v>173</v>
      </c>
      <c r="C26" s="4"/>
    </row>
    <row r="27" spans="2:6" ht="18" customHeight="1" x14ac:dyDescent="0.25">
      <c r="B27" s="1" t="s">
        <v>174</v>
      </c>
      <c r="C27" s="4"/>
    </row>
    <row r="28" spans="2:6" ht="18" customHeight="1" x14ac:dyDescent="0.25">
      <c r="B28" s="1" t="s">
        <v>175</v>
      </c>
      <c r="C28" s="4"/>
      <c r="D28" s="4" t="str">
        <f>IF(D43&gt;=C43,"PASS","FAIL")</f>
        <v>PASS</v>
      </c>
    </row>
  </sheetData>
  <mergeCells count="4">
    <mergeCell ref="B20:F20"/>
    <mergeCell ref="B15:F15"/>
    <mergeCell ref="B1:F1"/>
    <mergeCell ref="B3:F3"/>
  </mergeCells>
  <conditionalFormatting sqref="E3:E45">
    <cfRule type="cellIs" dxfId="23" priority="1" operator="equal">
      <formula>"PASS"</formula>
    </cfRule>
    <cfRule type="cellIs" dxfId="22" priority="2" operator="equal">
      <formula>"FAIL"</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96B23"/>
  </sheetPr>
  <dimension ref="B1:F32"/>
  <sheetViews>
    <sheetView showGridLines="0" workbookViewId="0">
      <pane xSplit="1" ySplit="2" topLeftCell="B3" activePane="bottomRight" state="frozen"/>
      <selection pane="topRight"/>
      <selection pane="bottomLeft"/>
      <selection pane="bottomRight" activeCell="K19" sqref="K19"/>
    </sheetView>
  </sheetViews>
  <sheetFormatPr defaultRowHeight="15" x14ac:dyDescent="0.25"/>
  <cols>
    <col min="1" max="1" width="3" customWidth="1"/>
    <col min="2" max="2" width="34" customWidth="1"/>
    <col min="3" max="4" width="20" customWidth="1"/>
    <col min="5" max="5" width="16" customWidth="1"/>
    <col min="6" max="6" width="24" customWidth="1"/>
    <col min="7" max="7" width="3" customWidth="1"/>
  </cols>
  <sheetData>
    <row r="1" spans="2:6" ht="26.1" customHeight="1" x14ac:dyDescent="0.25">
      <c r="B1" s="50" t="s">
        <v>176</v>
      </c>
      <c r="C1" s="41"/>
      <c r="D1" s="41"/>
      <c r="E1" s="41"/>
      <c r="F1" s="41"/>
    </row>
    <row r="2" spans="2:6" x14ac:dyDescent="0.25">
      <c r="B2" s="5" t="s">
        <v>128</v>
      </c>
      <c r="C2" s="5" t="s">
        <v>177</v>
      </c>
      <c r="D2" s="5" t="s">
        <v>178</v>
      </c>
      <c r="E2" s="5" t="s">
        <v>131</v>
      </c>
      <c r="F2" s="5" t="s">
        <v>179</v>
      </c>
    </row>
    <row r="3" spans="2:6" ht="21.95" customHeight="1" x14ac:dyDescent="0.25">
      <c r="B3" s="44" t="s">
        <v>180</v>
      </c>
      <c r="C3" s="41"/>
      <c r="D3" s="41"/>
      <c r="E3" s="41"/>
      <c r="F3" s="41"/>
    </row>
    <row r="4" spans="2:6" ht="18" customHeight="1" x14ac:dyDescent="0.25">
      <c r="B4" s="1" t="s">
        <v>181</v>
      </c>
      <c r="D4" s="4" t="s">
        <v>182</v>
      </c>
    </row>
    <row r="5" spans="2:6" ht="18" customHeight="1" x14ac:dyDescent="0.25">
      <c r="B5" s="1" t="s">
        <v>183</v>
      </c>
    </row>
    <row r="6" spans="2:6" ht="18" customHeight="1" x14ac:dyDescent="0.25">
      <c r="B6" s="1" t="s">
        <v>184</v>
      </c>
      <c r="D6" s="4" t="s">
        <v>185</v>
      </c>
    </row>
    <row r="7" spans="2:6" ht="18" customHeight="1" x14ac:dyDescent="0.25">
      <c r="B7" s="1" t="s">
        <v>186</v>
      </c>
      <c r="D7" s="4" t="s">
        <v>187</v>
      </c>
    </row>
    <row r="8" spans="2:6" ht="18" customHeight="1" x14ac:dyDescent="0.25">
      <c r="B8" s="1" t="s">
        <v>188</v>
      </c>
      <c r="D8" s="4" t="s">
        <v>189</v>
      </c>
    </row>
    <row r="9" spans="2:6" ht="18" customHeight="1" x14ac:dyDescent="0.25">
      <c r="B9" s="1" t="s">
        <v>190</v>
      </c>
      <c r="D9" s="4" t="s">
        <v>191</v>
      </c>
    </row>
    <row r="10" spans="2:6" ht="21.95" customHeight="1" x14ac:dyDescent="0.25">
      <c r="B10" s="44" t="s">
        <v>192</v>
      </c>
      <c r="C10" s="41"/>
      <c r="D10" s="41"/>
      <c r="E10" s="41"/>
      <c r="F10" s="41"/>
    </row>
    <row r="11" spans="2:6" ht="18" customHeight="1" x14ac:dyDescent="0.25">
      <c r="B11" s="1" t="s">
        <v>193</v>
      </c>
      <c r="E11" s="7" t="str">
        <f>IF(D12&lt;=C12,"PASS","FAIL")</f>
        <v>PASS</v>
      </c>
      <c r="F11" s="3" t="s">
        <v>194</v>
      </c>
    </row>
    <row r="12" spans="2:6" ht="18" customHeight="1" x14ac:dyDescent="0.25">
      <c r="B12" s="1" t="s">
        <v>195</v>
      </c>
      <c r="E12" s="7" t="str">
        <f>IF(D13&lt;=C13,"PASS","FAIL")</f>
        <v>PASS</v>
      </c>
      <c r="F12" s="3" t="s">
        <v>196</v>
      </c>
    </row>
    <row r="13" spans="2:6" ht="18" customHeight="1" x14ac:dyDescent="0.25">
      <c r="B13" s="1" t="s">
        <v>197</v>
      </c>
    </row>
    <row r="14" spans="2:6" ht="18" customHeight="1" x14ac:dyDescent="0.25">
      <c r="B14" s="1" t="s">
        <v>198</v>
      </c>
    </row>
    <row r="15" spans="2:6" ht="21.95" customHeight="1" x14ac:dyDescent="0.25">
      <c r="B15" s="44" t="s">
        <v>199</v>
      </c>
      <c r="C15" s="41"/>
      <c r="D15" s="41"/>
      <c r="E15" s="41"/>
      <c r="F15" s="41"/>
    </row>
    <row r="16" spans="2:6" ht="18" customHeight="1" x14ac:dyDescent="0.25">
      <c r="B16" s="1" t="s">
        <v>200</v>
      </c>
      <c r="D16" s="4" t="s">
        <v>201</v>
      </c>
    </row>
    <row r="17" spans="2:6" ht="18" customHeight="1" x14ac:dyDescent="0.25">
      <c r="B17" s="1" t="s">
        <v>202</v>
      </c>
      <c r="D17" s="4" t="s">
        <v>201</v>
      </c>
    </row>
    <row r="18" spans="2:6" ht="18" customHeight="1" x14ac:dyDescent="0.25">
      <c r="B18" s="1" t="s">
        <v>203</v>
      </c>
      <c r="C18" s="6">
        <f>'02_ZONING'!C39</f>
        <v>0</v>
      </c>
      <c r="F18" s="3" t="s">
        <v>204</v>
      </c>
    </row>
    <row r="19" spans="2:6" ht="18" customHeight="1" x14ac:dyDescent="0.25">
      <c r="B19" s="1" t="s">
        <v>205</v>
      </c>
    </row>
    <row r="20" spans="2:6" ht="18" customHeight="1" x14ac:dyDescent="0.25">
      <c r="B20" s="1" t="s">
        <v>206</v>
      </c>
      <c r="C20" s="6">
        <f>C17+(C18*C19)</f>
        <v>0</v>
      </c>
      <c r="F20" s="3" t="s">
        <v>207</v>
      </c>
    </row>
    <row r="21" spans="2:6" ht="18" customHeight="1" x14ac:dyDescent="0.25">
      <c r="B21" s="1" t="s">
        <v>208</v>
      </c>
      <c r="C21" s="6" t="str">
        <f ca="1">C22*C21</f>
        <v/>
      </c>
      <c r="F21" s="3" t="s">
        <v>209</v>
      </c>
    </row>
    <row r="22" spans="2:6" ht="18" customHeight="1" x14ac:dyDescent="0.25">
      <c r="B22" s="1" t="s">
        <v>210</v>
      </c>
    </row>
    <row r="23" spans="2:6" ht="18" customHeight="1" x14ac:dyDescent="0.25">
      <c r="B23" s="1" t="s">
        <v>211</v>
      </c>
    </row>
    <row r="24" spans="2:6" ht="21.95" customHeight="1" x14ac:dyDescent="0.25">
      <c r="B24" s="44" t="s">
        <v>212</v>
      </c>
      <c r="C24" s="41"/>
      <c r="D24" s="41"/>
      <c r="E24" s="41"/>
      <c r="F24" s="41"/>
    </row>
    <row r="25" spans="2:6" ht="18" customHeight="1" x14ac:dyDescent="0.25">
      <c r="B25" s="1" t="s">
        <v>213</v>
      </c>
      <c r="C25" s="6">
        <f>C22</f>
        <v>0</v>
      </c>
      <c r="D25" s="4">
        <f>'03_IBC_AREA_HEIGHT'!D26</f>
        <v>0</v>
      </c>
      <c r="E25" s="7" t="str">
        <f>IF(D28&lt;=C28,"PASS","FAIL")</f>
        <v>PASS</v>
      </c>
    </row>
    <row r="26" spans="2:6" ht="18" customHeight="1" x14ac:dyDescent="0.25">
      <c r="B26" s="1" t="s">
        <v>214</v>
      </c>
      <c r="C26" s="6">
        <f>C23</f>
        <v>0</v>
      </c>
      <c r="D26" s="4">
        <f>'03_IBC_AREA_HEIGHT'!D24</f>
        <v>0</v>
      </c>
      <c r="E26" s="7" t="str">
        <f>IF(D29&lt;=C29,"PASS","FAIL")</f>
        <v>PASS</v>
      </c>
    </row>
    <row r="27" spans="2:6" ht="18" customHeight="1" x14ac:dyDescent="0.25">
      <c r="B27" s="1" t="s">
        <v>215</v>
      </c>
      <c r="C27" s="6">
        <f>C9</f>
        <v>0</v>
      </c>
      <c r="D27" s="4">
        <f>'03_IBC_AREA_HEIGHT'!D11</f>
        <v>0</v>
      </c>
      <c r="E27" s="7" t="str">
        <f>IF(D30&lt;=C30,"PASS","FAIL")</f>
        <v>PASS</v>
      </c>
    </row>
    <row r="28" spans="2:6" ht="18" customHeight="1" x14ac:dyDescent="0.25">
      <c r="B28" s="1" t="s">
        <v>216</v>
      </c>
      <c r="C28" s="6">
        <f>C10</f>
        <v>0</v>
      </c>
      <c r="D28" s="4">
        <f>'03_IBC_AREA_HEIGHT'!D12</f>
        <v>0</v>
      </c>
      <c r="E28" s="7" t="str">
        <f>IF(D31&lt;=C31,"PASS","FAIL")</f>
        <v>PASS</v>
      </c>
    </row>
    <row r="29" spans="2:6" ht="21.95" customHeight="1" x14ac:dyDescent="0.25">
      <c r="B29" s="44" t="s">
        <v>217</v>
      </c>
      <c r="C29" s="41"/>
      <c r="D29" s="41"/>
      <c r="E29" s="41"/>
      <c r="F29" s="41"/>
    </row>
    <row r="30" spans="2:6" ht="18" customHeight="1" x14ac:dyDescent="0.25">
      <c r="B30" s="1" t="s">
        <v>218</v>
      </c>
      <c r="F30" s="3" t="s">
        <v>219</v>
      </c>
    </row>
    <row r="31" spans="2:6" ht="18" customHeight="1" x14ac:dyDescent="0.25">
      <c r="B31" s="1" t="s">
        <v>220</v>
      </c>
    </row>
    <row r="32" spans="2:6" ht="18" customHeight="1" x14ac:dyDescent="0.25">
      <c r="B32" s="1" t="s">
        <v>221</v>
      </c>
      <c r="E32" s="7" t="str">
        <f>IF(D34+D35&lt;=1,"PASS","FAIL")</f>
        <v>PASS</v>
      </c>
      <c r="F32" s="3" t="s">
        <v>222</v>
      </c>
    </row>
  </sheetData>
  <mergeCells count="6">
    <mergeCell ref="B1:F1"/>
    <mergeCell ref="B29:F29"/>
    <mergeCell ref="B24:F24"/>
    <mergeCell ref="B15:F15"/>
    <mergeCell ref="B10:F10"/>
    <mergeCell ref="B3:F3"/>
  </mergeCells>
  <conditionalFormatting sqref="E3:E40">
    <cfRule type="cellIs" dxfId="21" priority="1" operator="equal">
      <formula>"PASS"</formula>
    </cfRule>
    <cfRule type="cellIs" dxfId="20" priority="2" operator="equal">
      <formula>"FAIL"</formula>
    </cfRule>
  </conditionalFormatting>
  <pageMargins left="0.75" right="0.75" top="1" bottom="1" header="0.5" footer="0.5"/>
  <extLst>
    <ext xmlns:x14="http://schemas.microsoft.com/office/spreadsheetml/2009/9/main" uri="{CCE6A557-97BC-4b89-ADB6-D9C93CAAB3DF}">
      <x14:dataValidations xmlns:xm="http://schemas.microsoft.com/office/excel/2006/main" count="5">
        <x14:dataValidation type="list" allowBlank="1" showInputMessage="1" promptTitle="Occupancy Group" prompt="Primary occupancy per IBC Ch. 3" xr:uid="{00000000-0002-0000-0300-000000000000}">
          <x14:formula1>
            <xm:f>DATA_LISTS!$B$2:$B$27</xm:f>
          </x14:formula1>
          <xm:sqref>C4</xm:sqref>
        </x14:dataValidation>
        <x14:dataValidation type="list" allowBlank="1" showInputMessage="1" promptTitle="Secondary Occupancy" xr:uid="{00000000-0002-0000-0300-000001000000}">
          <x14:formula1>
            <xm:f>DATA_LISTS!$B$2:$B$27</xm:f>
          </x14:formula1>
          <xm:sqref>C5</xm:sqref>
        </x14:dataValidation>
        <x14:dataValidation type="list" allowBlank="1" showInputMessage="1" promptTitle="Construction Type" prompt="IBC Ch. 6" xr:uid="{00000000-0002-0000-0300-000002000000}">
          <x14:formula1>
            <xm:f>DATA_LISTS!$C$2:$C$13</xm:f>
          </x14:formula1>
          <xm:sqref>C7</xm:sqref>
        </x14:dataValidation>
        <x14:dataValidation type="list" allowBlank="1" showInputMessage="1" promptTitle="Sprinkler System" xr:uid="{00000000-0002-0000-0300-000003000000}">
          <x14:formula1>
            <xm:f>DATA_LISTS!$D$2:$D$5</xm:f>
          </x14:formula1>
          <xm:sqref>C8</xm:sqref>
        </x14:dataValidation>
        <x14:dataValidation type="list" allowBlank="1" showInputMessage="1" promptTitle="Risk Category" prompt="ASCE 7 / IBC Table 1604.5" xr:uid="{00000000-0002-0000-0300-000004000000}">
          <x14:formula1>
            <xm:f>DATA_LISTS!$H$2:$H$5</xm:f>
          </x14:formula1>
          <xm:sqref>C9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392B"/>
  </sheetPr>
  <dimension ref="B1:G41"/>
  <sheetViews>
    <sheetView showGridLines="0" workbookViewId="0">
      <pane xSplit="1" ySplit="2" topLeftCell="B19" activePane="bottomRight" state="frozen"/>
      <selection pane="topRight"/>
      <selection pane="bottomLeft"/>
      <selection pane="bottomRight" activeCell="K39" sqref="K39"/>
    </sheetView>
  </sheetViews>
  <sheetFormatPr defaultRowHeight="15" x14ac:dyDescent="0.25"/>
  <cols>
    <col min="1" max="1" width="3" customWidth="1"/>
    <col min="2" max="2" width="35.7109375" customWidth="1"/>
    <col min="3" max="4" width="16" customWidth="1"/>
    <col min="5" max="5" width="17.5703125" customWidth="1"/>
    <col min="6" max="6" width="16" customWidth="1"/>
    <col min="7" max="7" width="20" customWidth="1"/>
    <col min="8" max="8" width="3" customWidth="1"/>
  </cols>
  <sheetData>
    <row r="1" spans="2:7" x14ac:dyDescent="0.25">
      <c r="B1" s="50" t="s">
        <v>223</v>
      </c>
      <c r="C1" s="41"/>
      <c r="D1" s="41"/>
      <c r="E1" s="41"/>
      <c r="F1" s="41"/>
      <c r="G1" s="41"/>
    </row>
    <row r="2" spans="2:7" ht="25.5" x14ac:dyDescent="0.25">
      <c r="B2" s="5" t="s">
        <v>224</v>
      </c>
      <c r="C2" s="5" t="s">
        <v>225</v>
      </c>
      <c r="D2" s="5" t="s">
        <v>226</v>
      </c>
      <c r="E2" s="5" t="s">
        <v>227</v>
      </c>
      <c r="F2" s="5" t="s">
        <v>228</v>
      </c>
      <c r="G2" s="5" t="s">
        <v>229</v>
      </c>
    </row>
    <row r="3" spans="2:7" ht="21.95" customHeight="1" x14ac:dyDescent="0.25">
      <c r="B3" s="44" t="s">
        <v>230</v>
      </c>
      <c r="C3" s="41"/>
      <c r="D3" s="41"/>
      <c r="E3" s="41"/>
      <c r="F3" s="41"/>
      <c r="G3" s="41"/>
    </row>
    <row r="4" spans="2:7" ht="18" customHeight="1" x14ac:dyDescent="0.25">
      <c r="B4" s="8" t="s">
        <v>231</v>
      </c>
      <c r="C4" s="9"/>
      <c r="D4" s="9"/>
      <c r="E4" s="9"/>
      <c r="F4" s="9"/>
      <c r="G4" s="9"/>
    </row>
    <row r="5" spans="2:7" ht="18" customHeight="1" x14ac:dyDescent="0.25">
      <c r="B5" s="8" t="s">
        <v>232</v>
      </c>
      <c r="C5" s="9"/>
      <c r="D5" s="9"/>
      <c r="E5" s="9"/>
      <c r="F5" s="9"/>
      <c r="G5" s="9"/>
    </row>
    <row r="6" spans="2:7" ht="18" customHeight="1" x14ac:dyDescent="0.25">
      <c r="B6" s="8" t="s">
        <v>233</v>
      </c>
      <c r="C6" s="9"/>
      <c r="D6" s="9"/>
      <c r="E6" s="9"/>
      <c r="F6" s="9"/>
      <c r="G6" s="9"/>
    </row>
    <row r="7" spans="2:7" ht="18" customHeight="1" x14ac:dyDescent="0.25">
      <c r="B7" s="8" t="s">
        <v>234</v>
      </c>
      <c r="C7" s="9"/>
      <c r="D7" s="9"/>
      <c r="E7" s="9"/>
      <c r="F7" s="9"/>
      <c r="G7" s="9"/>
    </row>
    <row r="8" spans="2:7" ht="18" customHeight="1" x14ac:dyDescent="0.25">
      <c r="B8" s="8" t="s">
        <v>235</v>
      </c>
      <c r="C8" s="9"/>
      <c r="D8" s="9"/>
      <c r="E8" s="9"/>
      <c r="F8" s="9"/>
      <c r="G8" s="9"/>
    </row>
    <row r="9" spans="2:7" ht="18" customHeight="1" x14ac:dyDescent="0.25">
      <c r="B9" s="8" t="s">
        <v>236</v>
      </c>
      <c r="C9" s="9"/>
      <c r="D9" s="9"/>
      <c r="E9" s="9"/>
      <c r="F9" s="9"/>
      <c r="G9" s="9"/>
    </row>
    <row r="10" spans="2:7" ht="18" customHeight="1" x14ac:dyDescent="0.25">
      <c r="B10" s="8" t="s">
        <v>237</v>
      </c>
      <c r="C10" s="9"/>
      <c r="D10" s="9"/>
      <c r="E10" s="9"/>
      <c r="F10" s="9"/>
      <c r="G10" s="9"/>
    </row>
    <row r="11" spans="2:7" ht="18" customHeight="1" x14ac:dyDescent="0.25">
      <c r="B11" s="8" t="s">
        <v>238</v>
      </c>
      <c r="C11" s="9"/>
      <c r="D11" s="9"/>
      <c r="E11" s="9"/>
      <c r="F11" s="9"/>
      <c r="G11" s="9"/>
    </row>
    <row r="12" spans="2:7" ht="18" customHeight="1" x14ac:dyDescent="0.25">
      <c r="B12" s="8" t="s">
        <v>239</v>
      </c>
      <c r="C12" s="9"/>
      <c r="D12" s="9"/>
      <c r="E12" s="9"/>
      <c r="F12" s="9"/>
      <c r="G12" s="9"/>
    </row>
    <row r="13" spans="2:7" ht="18" customHeight="1" x14ac:dyDescent="0.25">
      <c r="B13" s="8" t="s">
        <v>240</v>
      </c>
      <c r="C13" s="9"/>
      <c r="D13" s="9"/>
      <c r="E13" s="9"/>
      <c r="F13" s="9"/>
      <c r="G13" s="9"/>
    </row>
    <row r="14" spans="2:7" ht="18" customHeight="1" x14ac:dyDescent="0.25">
      <c r="B14" s="8" t="s">
        <v>241</v>
      </c>
      <c r="C14" s="9"/>
      <c r="D14" s="9"/>
      <c r="E14" s="9"/>
      <c r="F14" s="9"/>
      <c r="G14" s="9"/>
    </row>
    <row r="15" spans="2:7" ht="18" customHeight="1" x14ac:dyDescent="0.25">
      <c r="B15" s="8" t="s">
        <v>242</v>
      </c>
      <c r="C15" s="9"/>
      <c r="D15" s="9"/>
      <c r="E15" s="9"/>
      <c r="F15" s="9"/>
      <c r="G15" s="9"/>
    </row>
    <row r="16" spans="2:7" ht="18" customHeight="1" x14ac:dyDescent="0.25">
      <c r="B16" s="8" t="s">
        <v>243</v>
      </c>
      <c r="C16" s="9"/>
      <c r="D16" s="9"/>
      <c r="E16" s="9"/>
      <c r="F16" s="9"/>
      <c r="G16" s="9"/>
    </row>
    <row r="17" spans="2:7" ht="18" customHeight="1" x14ac:dyDescent="0.25">
      <c r="B17" s="8" t="s">
        <v>244</v>
      </c>
      <c r="C17" s="9"/>
      <c r="D17" s="9"/>
      <c r="E17" s="9"/>
      <c r="F17" s="9"/>
      <c r="G17" s="9"/>
    </row>
    <row r="18" spans="2:7" ht="18" customHeight="1" x14ac:dyDescent="0.25">
      <c r="B18" s="8" t="s">
        <v>245</v>
      </c>
      <c r="C18" s="9"/>
      <c r="D18" s="9"/>
      <c r="E18" s="9"/>
      <c r="F18" s="9"/>
      <c r="G18" s="9"/>
    </row>
    <row r="19" spans="2:7" ht="18" customHeight="1" x14ac:dyDescent="0.25">
      <c r="B19" s="8" t="s">
        <v>246</v>
      </c>
      <c r="C19" s="9"/>
      <c r="D19" s="9"/>
      <c r="E19" s="9"/>
      <c r="F19" s="9"/>
      <c r="G19" s="9"/>
    </row>
    <row r="20" spans="2:7" ht="18" customHeight="1" x14ac:dyDescent="0.25">
      <c r="B20" s="8" t="s">
        <v>247</v>
      </c>
      <c r="C20" s="9"/>
      <c r="D20" s="9"/>
      <c r="E20" s="9"/>
      <c r="F20" s="9"/>
      <c r="G20" s="9"/>
    </row>
    <row r="21" spans="2:7" ht="18" customHeight="1" x14ac:dyDescent="0.25">
      <c r="B21" s="8" t="s">
        <v>248</v>
      </c>
      <c r="C21" s="9"/>
      <c r="D21" s="9"/>
      <c r="E21" s="9"/>
      <c r="F21" s="9"/>
      <c r="G21" s="9"/>
    </row>
    <row r="22" spans="2:7" ht="18" customHeight="1" x14ac:dyDescent="0.25">
      <c r="B22" s="8" t="s">
        <v>249</v>
      </c>
      <c r="C22" s="9"/>
      <c r="D22" s="9"/>
      <c r="E22" s="9"/>
      <c r="F22" s="9"/>
      <c r="G22" s="9"/>
    </row>
    <row r="23" spans="2:7" ht="18" customHeight="1" x14ac:dyDescent="0.25">
      <c r="B23" s="8" t="s">
        <v>250</v>
      </c>
      <c r="C23" s="9"/>
      <c r="D23" s="9"/>
      <c r="E23" s="9"/>
      <c r="F23" s="9"/>
      <c r="G23" s="9"/>
    </row>
    <row r="24" spans="2:7" ht="18" customHeight="1" x14ac:dyDescent="0.25">
      <c r="B24" s="8" t="s">
        <v>251</v>
      </c>
      <c r="C24" s="9"/>
      <c r="D24" s="9"/>
      <c r="E24" s="9"/>
      <c r="F24" s="9"/>
      <c r="G24" s="9"/>
    </row>
    <row r="25" spans="2:7" ht="18" customHeight="1" x14ac:dyDescent="0.25">
      <c r="B25" s="8" t="s">
        <v>252</v>
      </c>
      <c r="C25" s="9"/>
      <c r="D25" s="9"/>
      <c r="E25" s="9"/>
      <c r="F25" s="9"/>
      <c r="G25" s="9"/>
    </row>
    <row r="26" spans="2:7" ht="18" customHeight="1" x14ac:dyDescent="0.25">
      <c r="B26" s="8" t="s">
        <v>253</v>
      </c>
      <c r="C26" s="9"/>
      <c r="D26" s="9"/>
      <c r="E26" s="9"/>
      <c r="F26" s="9"/>
      <c r="G26" s="9"/>
    </row>
    <row r="27" spans="2:7" ht="21.95" customHeight="1" x14ac:dyDescent="0.25">
      <c r="B27" s="44" t="s">
        <v>254</v>
      </c>
      <c r="C27" s="41"/>
      <c r="D27" s="41"/>
      <c r="E27" s="41"/>
      <c r="F27" s="41"/>
      <c r="G27" s="41"/>
    </row>
    <row r="28" spans="2:7" ht="25.5" x14ac:dyDescent="0.25">
      <c r="B28" s="5" t="s">
        <v>255</v>
      </c>
      <c r="C28" s="5" t="s">
        <v>256</v>
      </c>
      <c r="D28" s="5" t="s">
        <v>257</v>
      </c>
      <c r="E28" s="5" t="s">
        <v>258</v>
      </c>
      <c r="F28" s="5" t="s">
        <v>131</v>
      </c>
      <c r="G28" s="5" t="s">
        <v>259</v>
      </c>
    </row>
    <row r="29" spans="2:7" ht="18" customHeight="1" x14ac:dyDescent="0.25">
      <c r="B29" s="8" t="s">
        <v>260</v>
      </c>
      <c r="C29" s="4"/>
      <c r="D29" s="4"/>
      <c r="E29" s="4"/>
      <c r="F29" s="7" t="str">
        <f>IF(E29&lt;="","-",IF(E29&lt;=D29,"PASS","FAIL"))</f>
        <v>-</v>
      </c>
    </row>
    <row r="30" spans="2:7" ht="18" customHeight="1" x14ac:dyDescent="0.25">
      <c r="B30" s="8" t="s">
        <v>261</v>
      </c>
      <c r="C30" s="4"/>
      <c r="D30" s="4"/>
      <c r="E30" s="4"/>
      <c r="F30" s="7" t="str">
        <f>IF(E30&lt;="","-",IF(E30&lt;=D30,"PASS","FAIL"))</f>
        <v>-</v>
      </c>
    </row>
    <row r="31" spans="2:7" ht="18" customHeight="1" x14ac:dyDescent="0.25">
      <c r="B31" s="8" t="s">
        <v>262</v>
      </c>
      <c r="C31" s="4"/>
      <c r="D31" s="4"/>
      <c r="E31" s="4"/>
      <c r="F31" s="7" t="str">
        <f>IF(E31&lt;="","-",IF(E31&lt;=D31,"PASS","FAIL"))</f>
        <v>-</v>
      </c>
    </row>
    <row r="32" spans="2:7" ht="18" customHeight="1" x14ac:dyDescent="0.25">
      <c r="B32" s="8" t="s">
        <v>263</v>
      </c>
      <c r="C32" s="4"/>
      <c r="D32" s="4"/>
      <c r="E32" s="4"/>
      <c r="F32" s="7" t="str">
        <f>IF(E32&lt;="","-",IF(E32&lt;=D32,"PASS","FAIL"))</f>
        <v>-</v>
      </c>
    </row>
    <row r="33" spans="2:7" ht="21.95" customHeight="1" x14ac:dyDescent="0.25">
      <c r="B33" s="44" t="s">
        <v>264</v>
      </c>
      <c r="C33" s="41"/>
      <c r="D33" s="41"/>
      <c r="E33" s="41"/>
      <c r="F33" s="41"/>
      <c r="G33" s="41"/>
    </row>
    <row r="34" spans="2:7" x14ac:dyDescent="0.25">
      <c r="B34" s="5" t="s">
        <v>265</v>
      </c>
      <c r="C34" s="5" t="s">
        <v>266</v>
      </c>
      <c r="D34" s="5" t="s">
        <v>267</v>
      </c>
      <c r="E34" s="5" t="s">
        <v>268</v>
      </c>
      <c r="F34" s="5" t="s">
        <v>131</v>
      </c>
      <c r="G34" s="5" t="s">
        <v>259</v>
      </c>
    </row>
    <row r="35" spans="2:7" ht="18" customHeight="1" x14ac:dyDescent="0.25">
      <c r="B35" s="8" t="s">
        <v>269</v>
      </c>
      <c r="C35" s="4"/>
      <c r="D35" s="4"/>
      <c r="E35" s="4" t="s">
        <v>270</v>
      </c>
      <c r="F35" s="7" t="str">
        <f t="shared" ref="F35:F41" si="0">IF(C35="No","-",IF(D35="Yes","PASS","FAIL"))</f>
        <v>FAIL</v>
      </c>
    </row>
    <row r="36" spans="2:7" ht="18" customHeight="1" x14ac:dyDescent="0.25">
      <c r="B36" s="8" t="s">
        <v>271</v>
      </c>
      <c r="C36" s="4"/>
      <c r="D36" s="4"/>
      <c r="E36" s="36" t="s">
        <v>272</v>
      </c>
      <c r="F36" s="7" t="str">
        <f t="shared" si="0"/>
        <v>FAIL</v>
      </c>
    </row>
    <row r="37" spans="2:7" ht="18" customHeight="1" x14ac:dyDescent="0.25">
      <c r="B37" s="8" t="s">
        <v>273</v>
      </c>
      <c r="C37" s="4"/>
      <c r="D37" s="4"/>
      <c r="E37" s="4"/>
      <c r="F37" s="7" t="str">
        <f t="shared" si="0"/>
        <v>FAIL</v>
      </c>
    </row>
    <row r="38" spans="2:7" ht="18" customHeight="1" x14ac:dyDescent="0.25">
      <c r="B38" s="8" t="s">
        <v>274</v>
      </c>
      <c r="C38" s="4"/>
      <c r="D38" s="4"/>
      <c r="E38" s="4"/>
      <c r="F38" s="7" t="str">
        <f t="shared" si="0"/>
        <v>FAIL</v>
      </c>
    </row>
    <row r="39" spans="2:7" ht="18" customHeight="1" x14ac:dyDescent="0.25">
      <c r="B39" s="8" t="s">
        <v>275</v>
      </c>
      <c r="C39" s="4"/>
      <c r="D39" s="4"/>
      <c r="E39" s="4"/>
      <c r="F39" s="7" t="str">
        <f t="shared" si="0"/>
        <v>FAIL</v>
      </c>
    </row>
    <row r="40" spans="2:7" ht="18" customHeight="1" x14ac:dyDescent="0.25">
      <c r="B40" s="8" t="s">
        <v>276</v>
      </c>
      <c r="C40" s="4"/>
      <c r="D40" s="4"/>
      <c r="E40" s="4"/>
      <c r="F40" s="7" t="str">
        <f t="shared" si="0"/>
        <v>FAIL</v>
      </c>
    </row>
    <row r="41" spans="2:7" ht="18" customHeight="1" x14ac:dyDescent="0.25">
      <c r="B41" s="8" t="s">
        <v>277</v>
      </c>
      <c r="C41" s="4"/>
      <c r="D41" s="4"/>
      <c r="E41" s="4" t="s">
        <v>278</v>
      </c>
      <c r="F41" s="7" t="str">
        <f t="shared" si="0"/>
        <v>FAIL</v>
      </c>
    </row>
  </sheetData>
  <mergeCells count="4">
    <mergeCell ref="B3:G3"/>
    <mergeCell ref="B33:G33"/>
    <mergeCell ref="B27:G27"/>
    <mergeCell ref="B1:G1"/>
  </mergeCells>
  <conditionalFormatting sqref="F3:F50">
    <cfRule type="cellIs" dxfId="19" priority="1" operator="equal">
      <formula>"PASS"</formula>
    </cfRule>
    <cfRule type="cellIs" dxfId="18" priority="2" operator="equal">
      <formula>"FAIL"</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392B"/>
  </sheetPr>
  <dimension ref="B1:F28"/>
  <sheetViews>
    <sheetView showGridLines="0" workbookViewId="0">
      <pane xSplit="1" ySplit="3" topLeftCell="B4" activePane="bottomRight" state="frozen"/>
      <selection pane="topRight"/>
      <selection pane="bottomLeft"/>
      <selection pane="bottomRight"/>
    </sheetView>
  </sheetViews>
  <sheetFormatPr defaultRowHeight="15" x14ac:dyDescent="0.25"/>
  <cols>
    <col min="1" max="1" width="3" customWidth="1"/>
    <col min="2" max="2" width="36" customWidth="1"/>
    <col min="3" max="5" width="16" customWidth="1"/>
    <col min="6" max="6" width="20" customWidth="1"/>
    <col min="7" max="7" width="3" customWidth="1"/>
  </cols>
  <sheetData>
    <row r="1" spans="2:6" ht="26.1" customHeight="1" x14ac:dyDescent="0.25">
      <c r="B1" s="50" t="s">
        <v>279</v>
      </c>
      <c r="C1" s="41"/>
      <c r="D1" s="41"/>
      <c r="E1" s="41"/>
      <c r="F1" s="41"/>
    </row>
    <row r="2" spans="2:6" ht="21.95" customHeight="1" x14ac:dyDescent="0.25">
      <c r="B2" s="44" t="s">
        <v>280</v>
      </c>
      <c r="C2" s="41"/>
      <c r="D2" s="41"/>
      <c r="E2" s="41"/>
      <c r="F2" s="41"/>
    </row>
    <row r="3" spans="2:6" ht="25.5" x14ac:dyDescent="0.25">
      <c r="B3" s="5" t="s">
        <v>281</v>
      </c>
      <c r="C3" s="5" t="s">
        <v>282</v>
      </c>
      <c r="D3" s="5" t="s">
        <v>283</v>
      </c>
      <c r="E3" s="5" t="s">
        <v>284</v>
      </c>
      <c r="F3" s="5" t="s">
        <v>285</v>
      </c>
    </row>
    <row r="4" spans="2:6" ht="18" customHeight="1" x14ac:dyDescent="0.25">
      <c r="B4" s="8" t="s">
        <v>286</v>
      </c>
      <c r="C4" s="4"/>
      <c r="D4" s="10"/>
      <c r="E4" s="4"/>
      <c r="F4" s="6" t="str">
        <f t="shared" ref="F4:F11" si="0">IF(OR(D4="",E4=""),"-",CEILING(D4/E4,1))</f>
        <v>-</v>
      </c>
    </row>
    <row r="5" spans="2:6" ht="18" customHeight="1" x14ac:dyDescent="0.25">
      <c r="B5" s="8" t="s">
        <v>287</v>
      </c>
      <c r="C5" s="4"/>
      <c r="D5" s="10"/>
      <c r="E5" s="4"/>
      <c r="F5" s="6" t="str">
        <f t="shared" si="0"/>
        <v>-</v>
      </c>
    </row>
    <row r="6" spans="2:6" ht="18" customHeight="1" x14ac:dyDescent="0.25">
      <c r="B6" s="8" t="s">
        <v>288</v>
      </c>
      <c r="C6" s="4"/>
      <c r="D6" s="10"/>
      <c r="E6" s="4"/>
      <c r="F6" s="6" t="str">
        <f t="shared" si="0"/>
        <v>-</v>
      </c>
    </row>
    <row r="7" spans="2:6" ht="18" customHeight="1" x14ac:dyDescent="0.25">
      <c r="B7" s="8" t="s">
        <v>289</v>
      </c>
      <c r="C7" s="4"/>
      <c r="D7" s="10"/>
      <c r="E7" s="4"/>
      <c r="F7" s="6" t="str">
        <f t="shared" si="0"/>
        <v>-</v>
      </c>
    </row>
    <row r="8" spans="2:6" ht="18" customHeight="1" x14ac:dyDescent="0.25">
      <c r="B8" s="8" t="s">
        <v>290</v>
      </c>
      <c r="C8" s="4"/>
      <c r="D8" s="10"/>
      <c r="E8" s="4"/>
      <c r="F8" s="6" t="str">
        <f t="shared" si="0"/>
        <v>-</v>
      </c>
    </row>
    <row r="9" spans="2:6" ht="18" customHeight="1" x14ac:dyDescent="0.25">
      <c r="B9" s="8" t="s">
        <v>291</v>
      </c>
      <c r="C9" s="4"/>
      <c r="D9" s="10"/>
      <c r="E9" s="4"/>
      <c r="F9" s="6" t="str">
        <f t="shared" si="0"/>
        <v>-</v>
      </c>
    </row>
    <row r="10" spans="2:6" ht="18" customHeight="1" x14ac:dyDescent="0.25">
      <c r="B10" s="8" t="s">
        <v>292</v>
      </c>
      <c r="C10" s="4"/>
      <c r="D10" s="10"/>
      <c r="E10" s="4"/>
      <c r="F10" s="6" t="str">
        <f t="shared" si="0"/>
        <v>-</v>
      </c>
    </row>
    <row r="11" spans="2:6" ht="18" customHeight="1" x14ac:dyDescent="0.25">
      <c r="B11" s="8" t="s">
        <v>293</v>
      </c>
      <c r="C11" s="4"/>
      <c r="D11" s="10"/>
      <c r="E11" s="4"/>
      <c r="F11" s="6" t="str">
        <f t="shared" si="0"/>
        <v>-</v>
      </c>
    </row>
    <row r="12" spans="2:6" ht="21.95" customHeight="1" x14ac:dyDescent="0.25">
      <c r="B12" s="51" t="s">
        <v>294</v>
      </c>
      <c r="C12" s="41"/>
      <c r="D12" s="41"/>
      <c r="E12" s="41"/>
      <c r="F12" s="11">
        <f>SUM(F4:F11)</f>
        <v>0</v>
      </c>
    </row>
    <row r="14" spans="2:6" ht="21.95" customHeight="1" x14ac:dyDescent="0.25">
      <c r="B14" s="44" t="s">
        <v>295</v>
      </c>
      <c r="C14" s="41"/>
      <c r="D14" s="41"/>
      <c r="E14" s="41"/>
      <c r="F14" s="41"/>
    </row>
    <row r="15" spans="2:6" ht="25.5" x14ac:dyDescent="0.25">
      <c r="B15" s="5" t="s">
        <v>128</v>
      </c>
      <c r="C15" s="5" t="s">
        <v>296</v>
      </c>
      <c r="D15" s="5" t="s">
        <v>297</v>
      </c>
      <c r="E15" s="5" t="s">
        <v>131</v>
      </c>
      <c r="F15" s="5" t="s">
        <v>298</v>
      </c>
    </row>
    <row r="16" spans="2:6" ht="18" customHeight="1" x14ac:dyDescent="0.25">
      <c r="B16" s="8" t="s">
        <v>299</v>
      </c>
      <c r="D16" s="4"/>
      <c r="F16" s="3" t="s">
        <v>300</v>
      </c>
    </row>
    <row r="17" spans="2:6" ht="18" customHeight="1" x14ac:dyDescent="0.25">
      <c r="B17" s="8" t="s">
        <v>301</v>
      </c>
      <c r="D17" s="4"/>
      <c r="E17" s="7" t="str">
        <f>IF(D17&gt;=C17,"PASS","FAIL")</f>
        <v>PASS</v>
      </c>
    </row>
    <row r="18" spans="2:6" ht="18" customHeight="1" x14ac:dyDescent="0.25">
      <c r="B18" s="8" t="s">
        <v>302</v>
      </c>
      <c r="D18" s="4"/>
      <c r="E18" s="7" t="str">
        <f>IF(D18&gt;=C18,"PASS","FAIL")</f>
        <v>PASS</v>
      </c>
      <c r="F18" s="3" t="s">
        <v>303</v>
      </c>
    </row>
    <row r="19" spans="2:6" ht="18" customHeight="1" x14ac:dyDescent="0.25">
      <c r="B19" s="8" t="s">
        <v>304</v>
      </c>
      <c r="C19" s="4" t="s">
        <v>305</v>
      </c>
      <c r="D19" s="4"/>
      <c r="E19" s="7" t="str">
        <f>IF(D19&gt;=C19,"PASS","FAIL")</f>
        <v>FAIL</v>
      </c>
      <c r="F19" s="3" t="s">
        <v>306</v>
      </c>
    </row>
    <row r="20" spans="2:6" ht="18" customHeight="1" x14ac:dyDescent="0.25">
      <c r="B20" s="8" t="s">
        <v>307</v>
      </c>
      <c r="C20" s="4" t="s">
        <v>305</v>
      </c>
      <c r="D20" s="4"/>
      <c r="E20" s="7" t="str">
        <f>IF(D20&gt;=C20,"PASS","FAIL")</f>
        <v>FAIL</v>
      </c>
      <c r="F20" s="3" t="s">
        <v>308</v>
      </c>
    </row>
    <row r="21" spans="2:6" ht="18" customHeight="1" x14ac:dyDescent="0.25">
      <c r="B21" s="8" t="s">
        <v>309</v>
      </c>
      <c r="C21" s="4" t="s">
        <v>310</v>
      </c>
      <c r="D21" s="4"/>
      <c r="E21" s="7" t="str">
        <f>IF(D21&gt;=C21,"PASS","FAIL")</f>
        <v>FAIL</v>
      </c>
      <c r="F21" s="3" t="s">
        <v>311</v>
      </c>
    </row>
    <row r="22" spans="2:6" ht="18" customHeight="1" x14ac:dyDescent="0.25">
      <c r="B22" s="8" t="s">
        <v>312</v>
      </c>
      <c r="D22" s="4"/>
      <c r="E22" s="7" t="str">
        <f>IF(D22&lt;=C22,"PASS","FAIL")</f>
        <v>PASS</v>
      </c>
      <c r="F22" s="3" t="s">
        <v>313</v>
      </c>
    </row>
    <row r="23" spans="2:6" ht="18" customHeight="1" x14ac:dyDescent="0.25">
      <c r="B23" s="8" t="s">
        <v>314</v>
      </c>
      <c r="D23" s="4"/>
      <c r="E23" s="7" t="str">
        <f>IF(D23&lt;=C23,"PASS","FAIL")</f>
        <v>PASS</v>
      </c>
    </row>
    <row r="24" spans="2:6" ht="18" customHeight="1" x14ac:dyDescent="0.25">
      <c r="B24" s="8" t="s">
        <v>315</v>
      </c>
      <c r="C24" s="4" t="s">
        <v>148</v>
      </c>
      <c r="D24" s="4"/>
      <c r="E24" s="7" t="str">
        <f>IF(D24&lt;=C24,"PASS","FAIL")</f>
        <v>PASS</v>
      </c>
      <c r="F24" s="3" t="s">
        <v>316</v>
      </c>
    </row>
    <row r="25" spans="2:6" ht="18" customHeight="1" x14ac:dyDescent="0.25">
      <c r="B25" s="8" t="s">
        <v>317</v>
      </c>
      <c r="D25" s="4"/>
      <c r="F25" s="3" t="s">
        <v>318</v>
      </c>
    </row>
    <row r="26" spans="2:6" ht="18" customHeight="1" x14ac:dyDescent="0.25">
      <c r="B26" s="8" t="s">
        <v>319</v>
      </c>
      <c r="D26" s="4"/>
    </row>
    <row r="27" spans="2:6" ht="18" customHeight="1" x14ac:dyDescent="0.25">
      <c r="B27" s="8" t="s">
        <v>320</v>
      </c>
      <c r="D27" s="4"/>
    </row>
    <row r="28" spans="2:6" ht="18" customHeight="1" x14ac:dyDescent="0.25">
      <c r="B28" s="8" t="s">
        <v>321</v>
      </c>
      <c r="D28" s="4"/>
    </row>
  </sheetData>
  <mergeCells count="4">
    <mergeCell ref="B2:F2"/>
    <mergeCell ref="B12:E12"/>
    <mergeCell ref="B1:F1"/>
    <mergeCell ref="B14:F14"/>
  </mergeCells>
  <conditionalFormatting sqref="E14:E35">
    <cfRule type="cellIs" dxfId="17" priority="1" operator="equal">
      <formula>"PASS"</formula>
    </cfRule>
    <cfRule type="cellIs" dxfId="16" priority="2" operator="equal">
      <formula>"FAIL"</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DAB3A"/>
  </sheetPr>
  <dimension ref="B1:D35"/>
  <sheetViews>
    <sheetView showGridLines="0" workbookViewId="0">
      <pane xSplit="1" ySplit="2" topLeftCell="B3" activePane="bottomRight" state="frozen"/>
      <selection pane="topRight"/>
      <selection pane="bottomLeft"/>
      <selection pane="bottomRight"/>
    </sheetView>
  </sheetViews>
  <sheetFormatPr defaultRowHeight="15" x14ac:dyDescent="0.25"/>
  <cols>
    <col min="1" max="1" width="3" customWidth="1"/>
    <col min="2" max="2" width="59.7109375" customWidth="1"/>
    <col min="3" max="3" width="16" customWidth="1"/>
    <col min="4" max="4" width="20" customWidth="1"/>
    <col min="5" max="5" width="3" customWidth="1"/>
  </cols>
  <sheetData>
    <row r="1" spans="2:4" ht="26.1" customHeight="1" x14ac:dyDescent="0.25">
      <c r="B1" s="53" t="s">
        <v>322</v>
      </c>
      <c r="C1" s="41"/>
      <c r="D1" s="41"/>
    </row>
    <row r="2" spans="2:4" ht="25.5" x14ac:dyDescent="0.25">
      <c r="B2" s="5" t="s">
        <v>323</v>
      </c>
      <c r="C2" s="5" t="s">
        <v>324</v>
      </c>
      <c r="D2" s="5" t="s">
        <v>325</v>
      </c>
    </row>
    <row r="3" spans="2:4" ht="21.95" customHeight="1" x14ac:dyDescent="0.25">
      <c r="B3" s="52" t="s">
        <v>326</v>
      </c>
      <c r="C3" s="41"/>
      <c r="D3" s="41"/>
    </row>
    <row r="4" spans="2:4" ht="18" customHeight="1" x14ac:dyDescent="0.25">
      <c r="B4" s="8" t="s">
        <v>327</v>
      </c>
      <c r="C4" s="4" t="s">
        <v>328</v>
      </c>
      <c r="D4" s="3"/>
    </row>
    <row r="5" spans="2:4" ht="18" customHeight="1" x14ac:dyDescent="0.25">
      <c r="B5" s="8" t="s">
        <v>329</v>
      </c>
      <c r="C5" s="4"/>
      <c r="D5" s="3"/>
    </row>
    <row r="6" spans="2:4" ht="18" customHeight="1" x14ac:dyDescent="0.25">
      <c r="B6" s="8" t="s">
        <v>330</v>
      </c>
      <c r="C6" s="4"/>
      <c r="D6" s="3" t="s">
        <v>331</v>
      </c>
    </row>
    <row r="7" spans="2:4" ht="18" customHeight="1" x14ac:dyDescent="0.25">
      <c r="B7" s="8" t="s">
        <v>332</v>
      </c>
      <c r="C7" s="4"/>
      <c r="D7" s="3"/>
    </row>
    <row r="8" spans="2:4" ht="18" customHeight="1" x14ac:dyDescent="0.25">
      <c r="B8" s="8" t="s">
        <v>333</v>
      </c>
      <c r="C8" s="4"/>
      <c r="D8" s="3"/>
    </row>
    <row r="9" spans="2:4" ht="18" customHeight="1" x14ac:dyDescent="0.25">
      <c r="B9" s="8" t="s">
        <v>334</v>
      </c>
      <c r="C9" s="4"/>
      <c r="D9" s="3"/>
    </row>
    <row r="10" spans="2:4" ht="21.95" customHeight="1" x14ac:dyDescent="0.25">
      <c r="B10" s="52" t="s">
        <v>335</v>
      </c>
      <c r="C10" s="41"/>
      <c r="D10" s="41"/>
    </row>
    <row r="11" spans="2:4" ht="18" customHeight="1" x14ac:dyDescent="0.25">
      <c r="B11" s="8" t="s">
        <v>336</v>
      </c>
      <c r="C11" s="4"/>
      <c r="D11" s="3"/>
    </row>
    <row r="12" spans="2:4" ht="18" customHeight="1" x14ac:dyDescent="0.25">
      <c r="B12" s="8" t="s">
        <v>337</v>
      </c>
      <c r="C12" s="4"/>
      <c r="D12" s="3"/>
    </row>
    <row r="13" spans="2:4" ht="18" customHeight="1" x14ac:dyDescent="0.25">
      <c r="B13" s="8" t="s">
        <v>338</v>
      </c>
      <c r="C13" s="4"/>
      <c r="D13" s="3"/>
    </row>
    <row r="14" spans="2:4" ht="18" customHeight="1" x14ac:dyDescent="0.25">
      <c r="B14" s="8" t="s">
        <v>339</v>
      </c>
      <c r="C14" s="4"/>
      <c r="D14" s="3"/>
    </row>
    <row r="15" spans="2:4" ht="18" customHeight="1" x14ac:dyDescent="0.25">
      <c r="B15" s="8" t="s">
        <v>340</v>
      </c>
      <c r="C15" s="4"/>
      <c r="D15" s="3"/>
    </row>
    <row r="16" spans="2:4" ht="18" customHeight="1" x14ac:dyDescent="0.25">
      <c r="B16" s="8" t="s">
        <v>341</v>
      </c>
      <c r="C16" s="4"/>
      <c r="D16" s="3"/>
    </row>
    <row r="17" spans="2:4" ht="18" customHeight="1" x14ac:dyDescent="0.25">
      <c r="B17" s="8" t="s">
        <v>342</v>
      </c>
      <c r="C17" s="4"/>
      <c r="D17" s="3"/>
    </row>
    <row r="18" spans="2:4" ht="21.95" customHeight="1" x14ac:dyDescent="0.25">
      <c r="B18" s="52" t="s">
        <v>343</v>
      </c>
      <c r="C18" s="41"/>
      <c r="D18" s="41"/>
    </row>
    <row r="19" spans="2:4" ht="18" customHeight="1" x14ac:dyDescent="0.25">
      <c r="B19" s="8" t="s">
        <v>344</v>
      </c>
      <c r="C19" s="4"/>
      <c r="D19" s="3"/>
    </row>
    <row r="20" spans="2:4" ht="18" customHeight="1" x14ac:dyDescent="0.25">
      <c r="B20" s="8" t="s">
        <v>345</v>
      </c>
      <c r="C20" s="4"/>
      <c r="D20" s="3"/>
    </row>
    <row r="21" spans="2:4" ht="18" customHeight="1" x14ac:dyDescent="0.25">
      <c r="B21" s="8" t="s">
        <v>346</v>
      </c>
      <c r="C21" s="4"/>
      <c r="D21" s="3"/>
    </row>
    <row r="22" spans="2:4" ht="18" customHeight="1" x14ac:dyDescent="0.25">
      <c r="B22" s="8" t="s">
        <v>347</v>
      </c>
      <c r="C22" s="4"/>
      <c r="D22" s="3"/>
    </row>
    <row r="23" spans="2:4" ht="18" customHeight="1" x14ac:dyDescent="0.25">
      <c r="B23" s="8" t="s">
        <v>348</v>
      </c>
      <c r="C23" s="4"/>
      <c r="D23" s="3"/>
    </row>
    <row r="24" spans="2:4" ht="18" customHeight="1" x14ac:dyDescent="0.25">
      <c r="B24" s="8" t="s">
        <v>349</v>
      </c>
      <c r="C24" s="4"/>
      <c r="D24" s="3"/>
    </row>
    <row r="25" spans="2:4" ht="18" customHeight="1" x14ac:dyDescent="0.25">
      <c r="B25" s="8" t="s">
        <v>350</v>
      </c>
      <c r="C25" s="4"/>
      <c r="D25" s="3"/>
    </row>
    <row r="26" spans="2:4" ht="21.95" customHeight="1" x14ac:dyDescent="0.25">
      <c r="B26" s="52" t="s">
        <v>351</v>
      </c>
      <c r="C26" s="41"/>
      <c r="D26" s="41"/>
    </row>
    <row r="27" spans="2:4" ht="18" customHeight="1" x14ac:dyDescent="0.25">
      <c r="B27" s="8" t="s">
        <v>352</v>
      </c>
      <c r="C27" s="4"/>
      <c r="D27" s="3"/>
    </row>
    <row r="28" spans="2:4" ht="18" customHeight="1" x14ac:dyDescent="0.25">
      <c r="B28" s="8" t="s">
        <v>353</v>
      </c>
      <c r="C28" s="4"/>
      <c r="D28" s="3" t="s">
        <v>278</v>
      </c>
    </row>
    <row r="29" spans="2:4" ht="18" customHeight="1" x14ac:dyDescent="0.25">
      <c r="B29" s="8" t="s">
        <v>354</v>
      </c>
      <c r="C29" s="4"/>
      <c r="D29" s="3" t="s">
        <v>278</v>
      </c>
    </row>
    <row r="30" spans="2:4" ht="21.95" customHeight="1" x14ac:dyDescent="0.25">
      <c r="B30" s="52" t="s">
        <v>355</v>
      </c>
      <c r="C30" s="41"/>
      <c r="D30" s="41"/>
    </row>
    <row r="31" spans="2:4" ht="18" customHeight="1" x14ac:dyDescent="0.25">
      <c r="B31" s="8" t="s">
        <v>356</v>
      </c>
      <c r="C31" s="4"/>
      <c r="D31" s="3" t="s">
        <v>357</v>
      </c>
    </row>
    <row r="32" spans="2:4" ht="18" customHeight="1" x14ac:dyDescent="0.25">
      <c r="B32" s="8" t="s">
        <v>358</v>
      </c>
      <c r="C32" s="4"/>
      <c r="D32" s="3" t="s">
        <v>278</v>
      </c>
    </row>
    <row r="33" spans="2:4" ht="21.95" customHeight="1" x14ac:dyDescent="0.25">
      <c r="B33" s="52" t="s">
        <v>359</v>
      </c>
      <c r="C33" s="41"/>
      <c r="D33" s="41"/>
    </row>
    <row r="34" spans="2:4" ht="18" customHeight="1" x14ac:dyDescent="0.25">
      <c r="B34" s="8" t="s">
        <v>360</v>
      </c>
      <c r="C34" s="4"/>
      <c r="D34" s="3"/>
    </row>
    <row r="35" spans="2:4" ht="18" customHeight="1" x14ac:dyDescent="0.25">
      <c r="B35" s="8" t="s">
        <v>361</v>
      </c>
      <c r="C35" s="4"/>
      <c r="D35" s="3"/>
    </row>
  </sheetData>
  <mergeCells count="7">
    <mergeCell ref="B10:D10"/>
    <mergeCell ref="B33:D33"/>
    <mergeCell ref="B3:D3"/>
    <mergeCell ref="B1:D1"/>
    <mergeCell ref="B26:D26"/>
    <mergeCell ref="B18:D18"/>
    <mergeCell ref="B30:D30"/>
  </mergeCells>
  <conditionalFormatting sqref="C3:C60">
    <cfRule type="cellIs" dxfId="15" priority="1" operator="equal">
      <formula>"N"</formula>
    </cfRule>
    <cfRule type="cellIs" dxfId="14" priority="2" operator="equal">
      <formula>"Y"</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980B9"/>
  </sheetPr>
  <dimension ref="B1:E30"/>
  <sheetViews>
    <sheetView showGridLines="0" workbookViewId="0">
      <pane xSplit="1" ySplit="2" topLeftCell="B3" activePane="bottomRight" state="frozen"/>
      <selection pane="topRight"/>
      <selection pane="bottomLeft"/>
      <selection pane="bottomRight"/>
    </sheetView>
  </sheetViews>
  <sheetFormatPr defaultRowHeight="15" x14ac:dyDescent="0.25"/>
  <cols>
    <col min="1" max="1" width="3" customWidth="1"/>
    <col min="2" max="2" width="50.7109375" customWidth="1"/>
    <col min="3" max="4" width="16" customWidth="1"/>
    <col min="5" max="5" width="20" customWidth="1"/>
    <col min="6" max="6" width="3" customWidth="1"/>
  </cols>
  <sheetData>
    <row r="1" spans="2:5" ht="26.1" customHeight="1" x14ac:dyDescent="0.25">
      <c r="B1" s="50" t="s">
        <v>362</v>
      </c>
      <c r="C1" s="41"/>
      <c r="D1" s="41"/>
      <c r="E1" s="41"/>
    </row>
    <row r="2" spans="2:5" ht="25.5" x14ac:dyDescent="0.25">
      <c r="B2" s="5" t="s">
        <v>363</v>
      </c>
      <c r="C2" s="5" t="s">
        <v>324</v>
      </c>
      <c r="D2" s="5" t="s">
        <v>364</v>
      </c>
      <c r="E2" s="5" t="s">
        <v>365</v>
      </c>
    </row>
    <row r="3" spans="2:5" ht="21.95" customHeight="1" x14ac:dyDescent="0.25">
      <c r="B3" s="44" t="s">
        <v>366</v>
      </c>
      <c r="C3" s="41"/>
      <c r="D3" s="41"/>
      <c r="E3" s="41"/>
    </row>
    <row r="4" spans="2:5" ht="18" customHeight="1" x14ac:dyDescent="0.25">
      <c r="B4" s="8" t="s">
        <v>367</v>
      </c>
      <c r="C4" s="4"/>
      <c r="D4" s="4"/>
      <c r="E4" s="3" t="s">
        <v>368</v>
      </c>
    </row>
    <row r="5" spans="2:5" ht="18" customHeight="1" x14ac:dyDescent="0.25">
      <c r="B5" s="8" t="s">
        <v>369</v>
      </c>
      <c r="C5" s="4"/>
      <c r="D5" s="4"/>
      <c r="E5" s="3" t="s">
        <v>370</v>
      </c>
    </row>
    <row r="6" spans="2:5" ht="18" customHeight="1" x14ac:dyDescent="0.25">
      <c r="B6" s="8" t="s">
        <v>371</v>
      </c>
      <c r="C6" s="4"/>
      <c r="D6" s="4"/>
      <c r="E6" s="3"/>
    </row>
    <row r="7" spans="2:5" ht="21.95" customHeight="1" x14ac:dyDescent="0.25">
      <c r="B7" s="44" t="s">
        <v>372</v>
      </c>
      <c r="C7" s="41"/>
      <c r="D7" s="41"/>
      <c r="E7" s="41"/>
    </row>
    <row r="8" spans="2:5" ht="18" customHeight="1" x14ac:dyDescent="0.25">
      <c r="B8" s="8" t="s">
        <v>373</v>
      </c>
      <c r="C8" s="4"/>
      <c r="D8" s="4"/>
      <c r="E8" s="3"/>
    </row>
    <row r="9" spans="2:5" ht="18" customHeight="1" x14ac:dyDescent="0.25">
      <c r="B9" s="8" t="s">
        <v>374</v>
      </c>
      <c r="C9" s="4"/>
      <c r="D9" s="4"/>
      <c r="E9" s="3" t="s">
        <v>375</v>
      </c>
    </row>
    <row r="10" spans="2:5" ht="18" customHeight="1" x14ac:dyDescent="0.25">
      <c r="B10" s="8" t="s">
        <v>376</v>
      </c>
      <c r="C10" s="4"/>
      <c r="D10" s="4"/>
      <c r="E10" s="3" t="s">
        <v>377</v>
      </c>
    </row>
    <row r="11" spans="2:5" ht="18" customHeight="1" x14ac:dyDescent="0.25">
      <c r="B11" s="8" t="s">
        <v>378</v>
      </c>
      <c r="C11" s="4"/>
      <c r="D11" s="4"/>
      <c r="E11" s="3"/>
    </row>
    <row r="12" spans="2:5" ht="21.95" customHeight="1" x14ac:dyDescent="0.25">
      <c r="B12" s="44" t="s">
        <v>379</v>
      </c>
      <c r="C12" s="41"/>
      <c r="D12" s="41"/>
      <c r="E12" s="41"/>
    </row>
    <row r="13" spans="2:5" ht="18" customHeight="1" x14ac:dyDescent="0.25">
      <c r="B13" s="8" t="s">
        <v>380</v>
      </c>
      <c r="C13" s="4"/>
      <c r="D13" s="4"/>
      <c r="E13" s="3" t="s">
        <v>381</v>
      </c>
    </row>
    <row r="14" spans="2:5" ht="18" customHeight="1" x14ac:dyDescent="0.25">
      <c r="B14" s="8" t="s">
        <v>382</v>
      </c>
      <c r="C14" s="4"/>
      <c r="D14" s="4"/>
      <c r="E14" s="3"/>
    </row>
    <row r="15" spans="2:5" ht="18" customHeight="1" x14ac:dyDescent="0.25">
      <c r="B15" s="8" t="s">
        <v>383</v>
      </c>
      <c r="C15" s="4"/>
      <c r="D15" s="4"/>
      <c r="E15" s="3"/>
    </row>
    <row r="16" spans="2:5" ht="18" customHeight="1" x14ac:dyDescent="0.25">
      <c r="B16" s="8" t="s">
        <v>384</v>
      </c>
      <c r="C16" s="4"/>
      <c r="D16" s="4"/>
      <c r="E16" s="3"/>
    </row>
    <row r="17" spans="2:5" ht="21.95" customHeight="1" x14ac:dyDescent="0.25">
      <c r="B17" s="44" t="s">
        <v>385</v>
      </c>
      <c r="C17" s="41"/>
      <c r="D17" s="41"/>
      <c r="E17" s="41"/>
    </row>
    <row r="18" spans="2:5" ht="18" customHeight="1" x14ac:dyDescent="0.25">
      <c r="B18" s="8" t="s">
        <v>386</v>
      </c>
      <c r="C18" s="4"/>
      <c r="D18" s="4"/>
      <c r="E18" s="3" t="s">
        <v>387</v>
      </c>
    </row>
    <row r="19" spans="2:5" ht="18" customHeight="1" x14ac:dyDescent="0.25">
      <c r="B19" s="8" t="s">
        <v>388</v>
      </c>
      <c r="C19" s="4"/>
      <c r="D19" s="4"/>
      <c r="E19" s="3"/>
    </row>
    <row r="20" spans="2:5" ht="18" customHeight="1" x14ac:dyDescent="0.25">
      <c r="B20" s="8" t="s">
        <v>389</v>
      </c>
      <c r="C20" s="4"/>
      <c r="D20" s="4"/>
      <c r="E20" s="3" t="s">
        <v>278</v>
      </c>
    </row>
    <row r="21" spans="2:5" ht="21.95" customHeight="1" x14ac:dyDescent="0.25">
      <c r="B21" s="44" t="s">
        <v>390</v>
      </c>
      <c r="C21" s="41"/>
      <c r="D21" s="41"/>
      <c r="E21" s="41"/>
    </row>
    <row r="22" spans="2:5" ht="18" customHeight="1" x14ac:dyDescent="0.25">
      <c r="B22" s="8" t="s">
        <v>391</v>
      </c>
      <c r="C22" s="4"/>
      <c r="D22" s="4"/>
      <c r="E22" s="3"/>
    </row>
    <row r="23" spans="2:5" ht="18" customHeight="1" x14ac:dyDescent="0.25">
      <c r="B23" s="8" t="s">
        <v>392</v>
      </c>
      <c r="C23" s="4"/>
      <c r="D23" s="4"/>
      <c r="E23" s="3" t="s">
        <v>393</v>
      </c>
    </row>
    <row r="24" spans="2:5" ht="18" customHeight="1" x14ac:dyDescent="0.25">
      <c r="B24" s="8" t="s">
        <v>394</v>
      </c>
      <c r="C24" s="4"/>
      <c r="D24" s="4"/>
      <c r="E24" s="3"/>
    </row>
    <row r="25" spans="2:5" ht="18" customHeight="1" x14ac:dyDescent="0.25">
      <c r="B25" s="8" t="s">
        <v>395</v>
      </c>
      <c r="C25" s="4"/>
      <c r="D25" s="4"/>
      <c r="E25" s="3" t="s">
        <v>393</v>
      </c>
    </row>
    <row r="26" spans="2:5" ht="18" customHeight="1" x14ac:dyDescent="0.25">
      <c r="B26" s="8" t="s">
        <v>396</v>
      </c>
      <c r="C26" s="4"/>
      <c r="D26" s="4"/>
      <c r="E26" s="3"/>
    </row>
    <row r="27" spans="2:5" ht="21.95" customHeight="1" x14ac:dyDescent="0.25">
      <c r="B27" s="44" t="s">
        <v>397</v>
      </c>
      <c r="C27" s="41"/>
      <c r="D27" s="41"/>
      <c r="E27" s="41"/>
    </row>
    <row r="28" spans="2:5" ht="18" customHeight="1" x14ac:dyDescent="0.25">
      <c r="B28" s="8" t="s">
        <v>398</v>
      </c>
      <c r="C28" s="4"/>
      <c r="D28" s="4"/>
      <c r="E28" s="3"/>
    </row>
    <row r="29" spans="2:5" ht="18" customHeight="1" x14ac:dyDescent="0.25">
      <c r="B29" s="8" t="s">
        <v>399</v>
      </c>
      <c r="C29" s="4"/>
      <c r="D29" s="4"/>
      <c r="E29" s="3"/>
    </row>
    <row r="30" spans="2:5" ht="18" customHeight="1" x14ac:dyDescent="0.25">
      <c r="B30" s="8" t="s">
        <v>400</v>
      </c>
      <c r="C30" s="4"/>
      <c r="D30" s="4"/>
      <c r="E30" s="3" t="s">
        <v>278</v>
      </c>
    </row>
  </sheetData>
  <mergeCells count="7">
    <mergeCell ref="B17:E17"/>
    <mergeCell ref="B27:E27"/>
    <mergeCell ref="B1:E1"/>
    <mergeCell ref="B12:E12"/>
    <mergeCell ref="B21:E21"/>
    <mergeCell ref="B7:E7"/>
    <mergeCell ref="B3:E3"/>
  </mergeCells>
  <conditionalFormatting sqref="C3:C40">
    <cfRule type="cellIs" dxfId="13" priority="1" operator="equal">
      <formula>"N"</formula>
    </cfRule>
    <cfRule type="cellIs" dxfId="12" priority="2" operator="equal">
      <formula>"Y"</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700-000000000000}">
          <x14:formula1>
            <xm:f>DATA_LISTS!$I$2:$I$4</xm:f>
          </x14:formula1>
          <xm:sqref>C3 C4 C5 C6 C7 C8 C9 C10 C11 C12 C13 C14 C15 C16 C17 C18 C19 C20 C21 C22 C23 C24 C25 C26 C27 C28 C29 C30 C31 C32 C33 C34 C35 C36 C37 C38 C39 C40 C41 C42 C43 C44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980B9"/>
  </sheetPr>
  <dimension ref="B1:G27"/>
  <sheetViews>
    <sheetView showGridLines="0" workbookViewId="0">
      <pane xSplit="1" ySplit="3" topLeftCell="B4" activePane="bottomRight" state="frozen"/>
      <selection pane="topRight"/>
      <selection pane="bottomLeft"/>
      <selection pane="bottomRight"/>
    </sheetView>
  </sheetViews>
  <sheetFormatPr defaultRowHeight="15" x14ac:dyDescent="0.25"/>
  <cols>
    <col min="1" max="1" width="3" customWidth="1"/>
    <col min="2" max="2" width="32" customWidth="1"/>
    <col min="3" max="7" width="16" customWidth="1"/>
    <col min="8" max="8" width="3" customWidth="1"/>
  </cols>
  <sheetData>
    <row r="1" spans="2:7" ht="26.1" customHeight="1" x14ac:dyDescent="0.25">
      <c r="B1" s="50" t="s">
        <v>401</v>
      </c>
      <c r="C1" s="41"/>
      <c r="D1" s="41"/>
      <c r="E1" s="41"/>
      <c r="F1" s="41"/>
      <c r="G1" s="41"/>
    </row>
    <row r="2" spans="2:7" x14ac:dyDescent="0.25">
      <c r="B2" s="49" t="s">
        <v>402</v>
      </c>
      <c r="C2" s="41"/>
      <c r="D2" s="41"/>
      <c r="E2" s="41"/>
      <c r="F2" s="41"/>
      <c r="G2" s="41"/>
    </row>
    <row r="3" spans="2:7" ht="21.95" customHeight="1" x14ac:dyDescent="0.25">
      <c r="B3" s="44" t="s">
        <v>403</v>
      </c>
      <c r="C3" s="41"/>
      <c r="D3" s="41"/>
      <c r="E3" s="41"/>
      <c r="F3" s="41"/>
      <c r="G3" s="41"/>
    </row>
    <row r="4" spans="2:7" ht="25.5" x14ac:dyDescent="0.25">
      <c r="B4" s="1" t="s">
        <v>404</v>
      </c>
      <c r="C4" s="6">
        <f>'05_LIFE_SAFETY_IBC'!F12</f>
        <v>0</v>
      </c>
      <c r="D4" s="8" t="s">
        <v>405</v>
      </c>
      <c r="E4" s="10"/>
      <c r="F4" s="6">
        <f>IF(E4&lt;&gt;"",E4,C4)</f>
        <v>0</v>
      </c>
      <c r="G4" s="3" t="s">
        <v>406</v>
      </c>
    </row>
    <row r="5" spans="2:7" x14ac:dyDescent="0.25">
      <c r="B5" s="1" t="s">
        <v>407</v>
      </c>
      <c r="C5" s="12">
        <v>0.5</v>
      </c>
      <c r="D5" s="13">
        <f>1-C5</f>
        <v>0.5</v>
      </c>
      <c r="E5" s="3" t="s">
        <v>408</v>
      </c>
    </row>
    <row r="6" spans="2:7" ht="25.5" x14ac:dyDescent="0.25">
      <c r="B6" s="8" t="s">
        <v>409</v>
      </c>
      <c r="C6" s="6">
        <f>ROUND(F4*C5,0)</f>
        <v>0</v>
      </c>
      <c r="D6" s="6">
        <f>ROUND(F4*D5,0)</f>
        <v>0</v>
      </c>
      <c r="E6" s="8" t="s">
        <v>410</v>
      </c>
    </row>
    <row r="8" spans="2:7" ht="21.95" customHeight="1" x14ac:dyDescent="0.25">
      <c r="B8" s="44" t="s">
        <v>411</v>
      </c>
      <c r="C8" s="41"/>
      <c r="D8" s="41"/>
      <c r="E8" s="41"/>
      <c r="F8" s="41"/>
      <c r="G8" s="41"/>
    </row>
    <row r="9" spans="2:7" x14ac:dyDescent="0.25">
      <c r="B9" s="5" t="s">
        <v>412</v>
      </c>
      <c r="C9" s="5" t="s">
        <v>413</v>
      </c>
      <c r="D9" s="5" t="s">
        <v>414</v>
      </c>
      <c r="E9" s="5" t="s">
        <v>415</v>
      </c>
      <c r="F9" s="5" t="s">
        <v>416</v>
      </c>
      <c r="G9" s="5" t="s">
        <v>417</v>
      </c>
    </row>
    <row r="10" spans="2:7" ht="18" customHeight="1" x14ac:dyDescent="0.25">
      <c r="B10" s="8" t="s">
        <v>418</v>
      </c>
      <c r="C10" s="10">
        <v>100</v>
      </c>
      <c r="D10" s="10">
        <v>100</v>
      </c>
      <c r="E10" s="10">
        <v>100</v>
      </c>
      <c r="F10" s="10">
        <v>100</v>
      </c>
      <c r="G10" s="10">
        <v>500</v>
      </c>
    </row>
    <row r="11" spans="2:7" ht="18" customHeight="1" x14ac:dyDescent="0.25">
      <c r="B11" s="8" t="s">
        <v>419</v>
      </c>
      <c r="C11" s="10">
        <v>125</v>
      </c>
      <c r="D11" s="10">
        <v>65</v>
      </c>
      <c r="E11" s="10">
        <v>200</v>
      </c>
      <c r="F11" s="10">
        <v>200</v>
      </c>
      <c r="G11" s="10">
        <v>1000</v>
      </c>
    </row>
    <row r="12" spans="2:7" ht="18" customHeight="1" x14ac:dyDescent="0.25">
      <c r="B12" s="8" t="s">
        <v>420</v>
      </c>
      <c r="C12" s="10">
        <v>75</v>
      </c>
      <c r="D12" s="10">
        <v>75</v>
      </c>
      <c r="E12" s="10">
        <v>200</v>
      </c>
      <c r="F12" s="10">
        <v>200</v>
      </c>
      <c r="G12" s="10">
        <v>500</v>
      </c>
    </row>
    <row r="13" spans="2:7" ht="18" customHeight="1" x14ac:dyDescent="0.25">
      <c r="B13" s="8" t="s">
        <v>421</v>
      </c>
      <c r="C13" s="10">
        <v>50</v>
      </c>
      <c r="D13" s="10">
        <v>50</v>
      </c>
      <c r="E13" s="10">
        <v>50</v>
      </c>
      <c r="F13" s="10">
        <v>50</v>
      </c>
      <c r="G13" s="10">
        <v>100</v>
      </c>
    </row>
    <row r="14" spans="2:7" ht="18" customHeight="1" x14ac:dyDescent="0.25">
      <c r="B14" s="8" t="s">
        <v>422</v>
      </c>
      <c r="C14" s="10">
        <v>1</v>
      </c>
      <c r="D14" s="10">
        <v>1</v>
      </c>
      <c r="E14" s="10">
        <v>1</v>
      </c>
      <c r="F14" s="10">
        <v>1</v>
      </c>
      <c r="G14" s="10">
        <v>100</v>
      </c>
    </row>
    <row r="15" spans="2:7" ht="18" customHeight="1" x14ac:dyDescent="0.25">
      <c r="B15" s="8" t="s">
        <v>423</v>
      </c>
      <c r="C15" s="10">
        <v>500</v>
      </c>
      <c r="D15" s="10">
        <v>500</v>
      </c>
      <c r="E15" s="10">
        <v>750</v>
      </c>
      <c r="F15" s="10">
        <v>750</v>
      </c>
      <c r="G15" s="10">
        <v>1000</v>
      </c>
    </row>
    <row r="16" spans="2:7" ht="18" customHeight="1" x14ac:dyDescent="0.25">
      <c r="B16" s="8" t="s">
        <v>424</v>
      </c>
      <c r="C16" s="10">
        <v>1</v>
      </c>
      <c r="D16" s="10">
        <v>1</v>
      </c>
      <c r="E16" s="10">
        <v>1</v>
      </c>
      <c r="F16" s="10">
        <v>1</v>
      </c>
      <c r="G16" s="10">
        <v>1</v>
      </c>
    </row>
    <row r="17" spans="2:7" ht="18" customHeight="1" x14ac:dyDescent="0.25">
      <c r="B17" s="8" t="s">
        <v>425</v>
      </c>
      <c r="C17" s="10">
        <v>100</v>
      </c>
      <c r="D17" s="10">
        <v>100</v>
      </c>
      <c r="E17" s="10">
        <v>100</v>
      </c>
      <c r="F17" s="10">
        <v>100</v>
      </c>
      <c r="G17" s="10">
        <v>1000</v>
      </c>
    </row>
    <row r="19" spans="2:7" ht="21.95" customHeight="1" x14ac:dyDescent="0.25">
      <c r="B19" s="44" t="s">
        <v>426</v>
      </c>
      <c r="C19" s="41"/>
      <c r="D19" s="41"/>
      <c r="E19" s="41"/>
      <c r="F19" s="41"/>
      <c r="G19" s="41"/>
    </row>
    <row r="20" spans="2:7" ht="36" x14ac:dyDescent="0.25">
      <c r="B20" s="1" t="s">
        <v>427</v>
      </c>
      <c r="C20" s="4">
        <v>1</v>
      </c>
      <c r="D20" s="3" t="s">
        <v>428</v>
      </c>
    </row>
    <row r="21" spans="2:7" x14ac:dyDescent="0.25">
      <c r="B21" s="5" t="s">
        <v>429</v>
      </c>
      <c r="C21" s="5" t="s">
        <v>430</v>
      </c>
      <c r="D21" s="5" t="s">
        <v>431</v>
      </c>
      <c r="E21" s="5" t="s">
        <v>432</v>
      </c>
      <c r="F21" s="5" t="s">
        <v>433</v>
      </c>
      <c r="G21" s="5" t="s">
        <v>297</v>
      </c>
    </row>
    <row r="22" spans="2:7" ht="18" customHeight="1" x14ac:dyDescent="0.25">
      <c r="B22" s="8" t="s">
        <v>434</v>
      </c>
      <c r="C22" s="6">
        <f>INDEX(C10:C17,C20)</f>
        <v>100</v>
      </c>
      <c r="D22" s="6">
        <f>C6</f>
        <v>0</v>
      </c>
      <c r="F22" s="6">
        <f>CEILING(D22/C22,1)</f>
        <v>0</v>
      </c>
      <c r="G22" s="10"/>
    </row>
    <row r="23" spans="2:7" ht="18" customHeight="1" x14ac:dyDescent="0.25">
      <c r="B23" s="8" t="s">
        <v>435</v>
      </c>
      <c r="C23" s="6">
        <f>INDEX(D10:D17,C20)</f>
        <v>100</v>
      </c>
      <c r="E23" s="6">
        <f>D6</f>
        <v>0</v>
      </c>
      <c r="F23" s="6">
        <f>CEILING(E23/C23,1)</f>
        <v>0</v>
      </c>
      <c r="G23" s="10"/>
    </row>
    <row r="24" spans="2:7" ht="18" customHeight="1" x14ac:dyDescent="0.25">
      <c r="B24" s="8" t="s">
        <v>436</v>
      </c>
      <c r="C24" s="6">
        <f>INDEX(E10:E17,C20)</f>
        <v>100</v>
      </c>
      <c r="D24" s="6">
        <f>C6</f>
        <v>0</v>
      </c>
      <c r="F24" s="6">
        <f>CEILING(D24/C24,1)</f>
        <v>0</v>
      </c>
      <c r="G24" s="10"/>
    </row>
    <row r="25" spans="2:7" ht="18" customHeight="1" x14ac:dyDescent="0.25">
      <c r="B25" s="8" t="s">
        <v>437</v>
      </c>
      <c r="C25" s="6">
        <f>INDEX(F10:F17,C20)</f>
        <v>100</v>
      </c>
      <c r="E25" s="6">
        <f>D6</f>
        <v>0</v>
      </c>
      <c r="F25" s="6">
        <f>CEILING(E25/C25,1)</f>
        <v>0</v>
      </c>
      <c r="G25" s="10"/>
    </row>
    <row r="26" spans="2:7" ht="18" customHeight="1" x14ac:dyDescent="0.25">
      <c r="B26" s="8" t="s">
        <v>438</v>
      </c>
      <c r="C26" s="6">
        <f>INDEX(G10:G17,C20)</f>
        <v>500</v>
      </c>
      <c r="D26" s="6">
        <f>F4</f>
        <v>0</v>
      </c>
      <c r="F26" s="6">
        <f>CEILING(D26/C26,1)</f>
        <v>0</v>
      </c>
      <c r="G26" s="10"/>
    </row>
    <row r="27" spans="2:7" ht="48" x14ac:dyDescent="0.25">
      <c r="B27" s="3" t="s">
        <v>439</v>
      </c>
    </row>
  </sheetData>
  <mergeCells count="5">
    <mergeCell ref="B3:G3"/>
    <mergeCell ref="B2:G2"/>
    <mergeCell ref="B19:G19"/>
    <mergeCell ref="B1:G1"/>
    <mergeCell ref="B8:G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6A085"/>
  </sheetPr>
  <dimension ref="B1:D29"/>
  <sheetViews>
    <sheetView showGridLines="0" workbookViewId="0">
      <pane xSplit="1" ySplit="2" topLeftCell="B7" activePane="bottomRight" state="frozen"/>
      <selection pane="topRight"/>
      <selection pane="bottomLeft"/>
      <selection pane="bottomRight"/>
    </sheetView>
  </sheetViews>
  <sheetFormatPr defaultRowHeight="15" x14ac:dyDescent="0.25"/>
  <cols>
    <col min="1" max="1" width="3" customWidth="1"/>
    <col min="2" max="2" width="45.7109375" customWidth="1"/>
    <col min="3" max="4" width="28" customWidth="1"/>
    <col min="5" max="5" width="3" customWidth="1"/>
  </cols>
  <sheetData>
    <row r="1" spans="2:4" ht="26.1" customHeight="1" x14ac:dyDescent="0.25">
      <c r="B1" s="50" t="s">
        <v>440</v>
      </c>
      <c r="C1" s="41"/>
      <c r="D1" s="41"/>
    </row>
    <row r="3" spans="2:4" ht="21.95" customHeight="1" x14ac:dyDescent="0.25">
      <c r="B3" s="44" t="s">
        <v>441</v>
      </c>
      <c r="C3" s="41"/>
      <c r="D3" s="41"/>
    </row>
    <row r="4" spans="2:4" ht="18" customHeight="1" x14ac:dyDescent="0.25">
      <c r="B4" s="1" t="s">
        <v>442</v>
      </c>
      <c r="C4" s="4" t="s">
        <v>443</v>
      </c>
      <c r="D4" s="3" t="s">
        <v>444</v>
      </c>
    </row>
    <row r="5" spans="2:4" ht="18" customHeight="1" x14ac:dyDescent="0.25">
      <c r="B5" s="1" t="s">
        <v>445</v>
      </c>
      <c r="C5" s="4" t="s">
        <v>446</v>
      </c>
      <c r="D5" s="3" t="s">
        <v>447</v>
      </c>
    </row>
    <row r="6" spans="2:4" ht="18" customHeight="1" x14ac:dyDescent="0.25">
      <c r="B6" s="1" t="s">
        <v>448</v>
      </c>
      <c r="C6" s="4" t="s">
        <v>105</v>
      </c>
      <c r="D6" s="3" t="s">
        <v>449</v>
      </c>
    </row>
    <row r="7" spans="2:4" ht="21.95" customHeight="1" x14ac:dyDescent="0.25">
      <c r="B7" s="44" t="s">
        <v>450</v>
      </c>
      <c r="C7" s="41"/>
      <c r="D7" s="41"/>
    </row>
    <row r="8" spans="2:4" ht="18" customHeight="1" x14ac:dyDescent="0.25">
      <c r="B8" s="1" t="s">
        <v>451</v>
      </c>
      <c r="C8" s="4"/>
      <c r="D8" s="3"/>
    </row>
    <row r="9" spans="2:4" ht="18" customHeight="1" x14ac:dyDescent="0.25">
      <c r="B9" s="1" t="s">
        <v>452</v>
      </c>
      <c r="C9" s="4"/>
      <c r="D9" s="3" t="s">
        <v>453</v>
      </c>
    </row>
    <row r="10" spans="2:4" ht="18" customHeight="1" x14ac:dyDescent="0.25">
      <c r="B10" s="1" t="s">
        <v>454</v>
      </c>
      <c r="C10" s="4"/>
      <c r="D10" s="3"/>
    </row>
    <row r="11" spans="2:4" ht="18" customHeight="1" x14ac:dyDescent="0.25">
      <c r="B11" s="1" t="s">
        <v>455</v>
      </c>
      <c r="C11" s="4"/>
      <c r="D11" s="3"/>
    </row>
    <row r="12" spans="2:4" ht="18" customHeight="1" x14ac:dyDescent="0.25">
      <c r="B12" s="1" t="s">
        <v>456</v>
      </c>
      <c r="C12" s="4"/>
      <c r="D12" s="3"/>
    </row>
    <row r="13" spans="2:4" ht="18" customHeight="1" x14ac:dyDescent="0.25">
      <c r="B13" s="1" t="s">
        <v>457</v>
      </c>
      <c r="C13" s="4"/>
      <c r="D13" s="3"/>
    </row>
    <row r="14" spans="2:4" ht="18" customHeight="1" x14ac:dyDescent="0.25">
      <c r="B14" s="1" t="s">
        <v>458</v>
      </c>
      <c r="C14" s="4"/>
      <c r="D14" s="3"/>
    </row>
    <row r="15" spans="2:4" ht="18" customHeight="1" x14ac:dyDescent="0.25">
      <c r="B15" s="1" t="s">
        <v>459</v>
      </c>
      <c r="C15" s="4"/>
      <c r="D15" s="3"/>
    </row>
    <row r="16" spans="2:4" ht="21.95" customHeight="1" x14ac:dyDescent="0.25">
      <c r="B16" s="44" t="s">
        <v>460</v>
      </c>
      <c r="C16" s="41"/>
      <c r="D16" s="41"/>
    </row>
    <row r="17" spans="2:4" ht="18" customHeight="1" x14ac:dyDescent="0.25">
      <c r="B17" s="1" t="s">
        <v>461</v>
      </c>
      <c r="C17" s="4" t="s">
        <v>462</v>
      </c>
      <c r="D17" s="3" t="s">
        <v>463</v>
      </c>
    </row>
    <row r="18" spans="2:4" ht="18" customHeight="1" x14ac:dyDescent="0.25">
      <c r="B18" s="1" t="s">
        <v>464</v>
      </c>
      <c r="C18" s="4" t="s">
        <v>462</v>
      </c>
      <c r="D18" s="3"/>
    </row>
    <row r="19" spans="2:4" ht="18" customHeight="1" x14ac:dyDescent="0.25">
      <c r="B19" s="1" t="s">
        <v>465</v>
      </c>
      <c r="C19" s="4" t="s">
        <v>462</v>
      </c>
      <c r="D19" s="3"/>
    </row>
    <row r="20" spans="2:4" ht="18" customHeight="1" x14ac:dyDescent="0.25">
      <c r="B20" s="1" t="s">
        <v>466</v>
      </c>
      <c r="C20" s="4" t="s">
        <v>462</v>
      </c>
      <c r="D20" s="3"/>
    </row>
    <row r="21" spans="2:4" ht="21.95" customHeight="1" x14ac:dyDescent="0.25">
      <c r="B21" s="44" t="s">
        <v>467</v>
      </c>
      <c r="C21" s="41"/>
      <c r="D21" s="41"/>
    </row>
    <row r="22" spans="2:4" ht="18" customHeight="1" x14ac:dyDescent="0.25">
      <c r="B22" s="1" t="s">
        <v>468</v>
      </c>
      <c r="C22" s="4" t="s">
        <v>469</v>
      </c>
      <c r="D22" s="3" t="s">
        <v>470</v>
      </c>
    </row>
    <row r="23" spans="2:4" ht="18" customHeight="1" x14ac:dyDescent="0.25">
      <c r="B23" s="1" t="s">
        <v>471</v>
      </c>
      <c r="C23" s="4" t="s">
        <v>472</v>
      </c>
      <c r="D23" s="3" t="s">
        <v>473</v>
      </c>
    </row>
    <row r="24" spans="2:4" ht="18" customHeight="1" x14ac:dyDescent="0.25">
      <c r="B24" s="1" t="s">
        <v>474</v>
      </c>
      <c r="C24" s="4" t="s">
        <v>475</v>
      </c>
      <c r="D24" s="3"/>
    </row>
    <row r="25" spans="2:4" ht="18" customHeight="1" x14ac:dyDescent="0.25">
      <c r="B25" s="1" t="s">
        <v>476</v>
      </c>
      <c r="C25" s="4" t="s">
        <v>477</v>
      </c>
      <c r="D25" s="3" t="s">
        <v>278</v>
      </c>
    </row>
    <row r="26" spans="2:4" ht="18" customHeight="1" x14ac:dyDescent="0.25">
      <c r="B26" s="1" t="s">
        <v>478</v>
      </c>
      <c r="C26" s="4" t="s">
        <v>479</v>
      </c>
      <c r="D26" s="3" t="s">
        <v>480</v>
      </c>
    </row>
    <row r="27" spans="2:4" ht="18" customHeight="1" x14ac:dyDescent="0.25">
      <c r="B27" s="1" t="s">
        <v>481</v>
      </c>
      <c r="C27" s="4" t="s">
        <v>482</v>
      </c>
      <c r="D27" s="3" t="s">
        <v>483</v>
      </c>
    </row>
    <row r="28" spans="2:4" ht="18" customHeight="1" x14ac:dyDescent="0.25">
      <c r="B28" s="1" t="s">
        <v>484</v>
      </c>
      <c r="C28" s="4" t="s">
        <v>105</v>
      </c>
      <c r="D28" s="3" t="s">
        <v>485</v>
      </c>
    </row>
    <row r="29" spans="2:4" ht="18" customHeight="1" x14ac:dyDescent="0.25">
      <c r="B29" s="1" t="s">
        <v>486</v>
      </c>
      <c r="C29" s="4"/>
      <c r="D29" s="3"/>
    </row>
  </sheetData>
  <mergeCells count="5">
    <mergeCell ref="B3:D3"/>
    <mergeCell ref="B1:D1"/>
    <mergeCell ref="B21:D21"/>
    <mergeCell ref="B7:D7"/>
    <mergeCell ref="B16:D1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E44AD"/>
  </sheetPr>
  <dimension ref="B1:F77"/>
  <sheetViews>
    <sheetView showGridLines="0" workbookViewId="0">
      <pane xSplit="1" ySplit="2" topLeftCell="B3" activePane="bottomRight" state="frozen"/>
      <selection pane="topRight"/>
      <selection pane="bottomLeft"/>
      <selection pane="bottomRight"/>
    </sheetView>
  </sheetViews>
  <sheetFormatPr defaultRowHeight="15" x14ac:dyDescent="0.25"/>
  <cols>
    <col min="1" max="1" width="3" customWidth="1"/>
    <col min="2" max="2" width="46" customWidth="1"/>
    <col min="3" max="5" width="16" customWidth="1"/>
    <col min="6" max="6" width="18" customWidth="1"/>
    <col min="7" max="7" width="3" customWidth="1"/>
  </cols>
  <sheetData>
    <row r="1" spans="2:4" ht="26.1" customHeight="1" x14ac:dyDescent="0.25">
      <c r="B1" s="50" t="s">
        <v>487</v>
      </c>
      <c r="C1" s="41"/>
      <c r="D1" s="41"/>
    </row>
    <row r="3" spans="2:4" ht="21.95" customHeight="1" x14ac:dyDescent="0.25">
      <c r="B3" s="44" t="s">
        <v>488</v>
      </c>
      <c r="C3" s="41"/>
      <c r="D3" s="41"/>
    </row>
    <row r="4" spans="2:4" ht="18" customHeight="1" x14ac:dyDescent="0.25">
      <c r="B4" s="1" t="s">
        <v>489</v>
      </c>
      <c r="C4" s="4" t="s">
        <v>490</v>
      </c>
      <c r="D4" s="3" t="s">
        <v>191</v>
      </c>
    </row>
    <row r="5" spans="2:4" ht="18" customHeight="1" x14ac:dyDescent="0.25">
      <c r="B5" s="1" t="s">
        <v>491</v>
      </c>
      <c r="C5" s="4" t="s">
        <v>148</v>
      </c>
      <c r="D5" s="3"/>
    </row>
    <row r="6" spans="2:4" ht="18" customHeight="1" x14ac:dyDescent="0.25">
      <c r="B6" s="1" t="s">
        <v>492</v>
      </c>
      <c r="C6" s="4" t="s">
        <v>493</v>
      </c>
      <c r="D6" s="3" t="s">
        <v>494</v>
      </c>
    </row>
    <row r="7" spans="2:4" ht="18" customHeight="1" x14ac:dyDescent="0.25">
      <c r="B7" s="1" t="s">
        <v>495</v>
      </c>
      <c r="C7" s="4" t="s">
        <v>496</v>
      </c>
      <c r="D7" s="3" t="s">
        <v>497</v>
      </c>
    </row>
    <row r="8" spans="2:4" ht="18" customHeight="1" x14ac:dyDescent="0.25">
      <c r="B8" s="1" t="s">
        <v>498</v>
      </c>
      <c r="C8" s="4"/>
      <c r="D8" s="3"/>
    </row>
    <row r="9" spans="2:4" ht="18" customHeight="1" x14ac:dyDescent="0.25">
      <c r="B9" s="1" t="s">
        <v>499</v>
      </c>
      <c r="C9" s="4" t="s">
        <v>500</v>
      </c>
      <c r="D9" s="3" t="s">
        <v>501</v>
      </c>
    </row>
    <row r="10" spans="2:4" ht="18" customHeight="1" x14ac:dyDescent="0.25">
      <c r="B10" s="1" t="s">
        <v>502</v>
      </c>
      <c r="C10" s="4" t="s">
        <v>503</v>
      </c>
      <c r="D10" s="3"/>
    </row>
    <row r="11" spans="2:4" ht="18" customHeight="1" x14ac:dyDescent="0.25">
      <c r="B11" s="1" t="s">
        <v>504</v>
      </c>
      <c r="C11" s="4" t="s">
        <v>503</v>
      </c>
      <c r="D11" s="3"/>
    </row>
    <row r="12" spans="2:4" ht="21.95" customHeight="1" x14ac:dyDescent="0.25">
      <c r="B12" s="44" t="s">
        <v>505</v>
      </c>
      <c r="C12" s="41"/>
      <c r="D12" s="41"/>
    </row>
    <row r="13" spans="2:4" ht="18" customHeight="1" x14ac:dyDescent="0.25">
      <c r="B13" s="1" t="s">
        <v>506</v>
      </c>
      <c r="C13" s="4" t="s">
        <v>500</v>
      </c>
      <c r="D13" s="3" t="s">
        <v>507</v>
      </c>
    </row>
    <row r="14" spans="2:4" ht="18" customHeight="1" x14ac:dyDescent="0.25">
      <c r="B14" s="1" t="s">
        <v>508</v>
      </c>
      <c r="C14" s="4"/>
      <c r="D14" s="3" t="s">
        <v>509</v>
      </c>
    </row>
    <row r="15" spans="2:4" ht="18" customHeight="1" x14ac:dyDescent="0.25">
      <c r="B15" s="1" t="s">
        <v>510</v>
      </c>
      <c r="C15" s="4"/>
      <c r="D15" s="3"/>
    </row>
    <row r="16" spans="2:4" ht="18" customHeight="1" x14ac:dyDescent="0.25">
      <c r="B16" s="1" t="s">
        <v>511</v>
      </c>
      <c r="C16" s="4" t="s">
        <v>512</v>
      </c>
      <c r="D16" s="3" t="s">
        <v>513</v>
      </c>
    </row>
    <row r="17" spans="2:4" ht="18" customHeight="1" x14ac:dyDescent="0.25">
      <c r="B17" s="1" t="s">
        <v>514</v>
      </c>
      <c r="C17" s="4" t="s">
        <v>515</v>
      </c>
      <c r="D17" s="3" t="s">
        <v>516</v>
      </c>
    </row>
    <row r="18" spans="2:4" ht="18" customHeight="1" x14ac:dyDescent="0.25">
      <c r="B18" s="1" t="s">
        <v>517</v>
      </c>
      <c r="C18" s="4" t="s">
        <v>518</v>
      </c>
      <c r="D18" s="3" t="s">
        <v>519</v>
      </c>
    </row>
    <row r="19" spans="2:4" ht="21.95" customHeight="1" x14ac:dyDescent="0.25">
      <c r="B19" s="44" t="s">
        <v>520</v>
      </c>
      <c r="C19" s="41"/>
      <c r="D19" s="41"/>
    </row>
    <row r="20" spans="2:4" ht="18" customHeight="1" x14ac:dyDescent="0.25">
      <c r="B20" s="1" t="s">
        <v>521</v>
      </c>
      <c r="C20" s="4"/>
      <c r="D20" s="3" t="s">
        <v>522</v>
      </c>
    </row>
    <row r="21" spans="2:4" ht="18" customHeight="1" x14ac:dyDescent="0.25">
      <c r="B21" s="1" t="s">
        <v>523</v>
      </c>
      <c r="C21" s="4" t="s">
        <v>105</v>
      </c>
      <c r="D21" s="3" t="s">
        <v>524</v>
      </c>
    </row>
    <row r="22" spans="2:4" ht="18" customHeight="1" x14ac:dyDescent="0.25">
      <c r="B22" s="1" t="s">
        <v>525</v>
      </c>
      <c r="C22" s="4"/>
      <c r="D22" s="3" t="s">
        <v>526</v>
      </c>
    </row>
    <row r="23" spans="2:4" ht="21.95" customHeight="1" x14ac:dyDescent="0.25">
      <c r="B23" s="44" t="s">
        <v>527</v>
      </c>
      <c r="C23" s="41"/>
      <c r="D23" s="41"/>
    </row>
    <row r="24" spans="2:4" ht="18" customHeight="1" x14ac:dyDescent="0.25">
      <c r="B24" s="1" t="s">
        <v>528</v>
      </c>
      <c r="C24" s="4" t="s">
        <v>462</v>
      </c>
      <c r="D24" s="3" t="s">
        <v>463</v>
      </c>
    </row>
    <row r="25" spans="2:4" ht="18" customHeight="1" x14ac:dyDescent="0.25">
      <c r="B25" s="1" t="s">
        <v>529</v>
      </c>
      <c r="C25" s="4" t="s">
        <v>462</v>
      </c>
      <c r="D25" s="3" t="s">
        <v>463</v>
      </c>
    </row>
    <row r="26" spans="2:4" ht="18" customHeight="1" x14ac:dyDescent="0.25">
      <c r="B26" s="1" t="s">
        <v>530</v>
      </c>
      <c r="C26" s="4" t="s">
        <v>462</v>
      </c>
      <c r="D26" s="3" t="s">
        <v>463</v>
      </c>
    </row>
    <row r="27" spans="2:4" ht="18" customHeight="1" x14ac:dyDescent="0.25">
      <c r="B27" s="1" t="s">
        <v>531</v>
      </c>
      <c r="C27" s="4" t="s">
        <v>462</v>
      </c>
      <c r="D27" s="3" t="s">
        <v>463</v>
      </c>
    </row>
    <row r="28" spans="2:4" ht="18" customHeight="1" x14ac:dyDescent="0.25">
      <c r="B28" s="1" t="s">
        <v>532</v>
      </c>
      <c r="C28" s="4" t="s">
        <v>462</v>
      </c>
      <c r="D28" s="3" t="s">
        <v>463</v>
      </c>
    </row>
    <row r="29" spans="2:4" ht="18" customHeight="1" x14ac:dyDescent="0.25">
      <c r="B29" s="1" t="s">
        <v>533</v>
      </c>
      <c r="C29" s="4" t="s">
        <v>462</v>
      </c>
      <c r="D29" s="3" t="s">
        <v>463</v>
      </c>
    </row>
    <row r="30" spans="2:4" ht="18" customHeight="1" x14ac:dyDescent="0.25">
      <c r="B30" s="1" t="s">
        <v>534</v>
      </c>
      <c r="C30" s="4" t="s">
        <v>462</v>
      </c>
      <c r="D30" s="3" t="s">
        <v>463</v>
      </c>
    </row>
    <row r="31" spans="2:4" ht="18" customHeight="1" x14ac:dyDescent="0.25">
      <c r="B31" s="1" t="s">
        <v>535</v>
      </c>
      <c r="C31" s="4" t="s">
        <v>462</v>
      </c>
      <c r="D31" s="3" t="s">
        <v>463</v>
      </c>
    </row>
    <row r="32" spans="2:4" ht="18" customHeight="1" x14ac:dyDescent="0.25">
      <c r="B32" s="1" t="s">
        <v>536</v>
      </c>
      <c r="C32" s="4" t="s">
        <v>462</v>
      </c>
      <c r="D32" s="3" t="s">
        <v>463</v>
      </c>
    </row>
    <row r="33" spans="2:6" ht="18" customHeight="1" x14ac:dyDescent="0.25">
      <c r="B33" s="1" t="s">
        <v>537</v>
      </c>
      <c r="C33" s="4" t="s">
        <v>462</v>
      </c>
      <c r="D33" s="3" t="s">
        <v>463</v>
      </c>
    </row>
    <row r="34" spans="2:6" ht="18" customHeight="1" x14ac:dyDescent="0.25">
      <c r="B34" s="1" t="s">
        <v>538</v>
      </c>
      <c r="C34" s="4"/>
      <c r="D34" s="3" t="s">
        <v>539</v>
      </c>
    </row>
    <row r="36" spans="2:6" ht="24" customHeight="1" x14ac:dyDescent="0.25">
      <c r="B36" s="55" t="s">
        <v>540</v>
      </c>
      <c r="C36" s="41"/>
      <c r="D36" s="41"/>
      <c r="E36" s="41"/>
      <c r="F36" s="41"/>
    </row>
    <row r="37" spans="2:6" x14ac:dyDescent="0.25">
      <c r="B37" s="49" t="s">
        <v>541</v>
      </c>
      <c r="C37" s="41"/>
      <c r="D37" s="41"/>
      <c r="E37" s="41"/>
      <c r="F37" s="41"/>
    </row>
    <row r="38" spans="2:6" ht="25.5" x14ac:dyDescent="0.25">
      <c r="B38" s="22" t="s">
        <v>542</v>
      </c>
      <c r="C38" s="22" t="s">
        <v>543</v>
      </c>
      <c r="D38" s="22" t="s">
        <v>544</v>
      </c>
      <c r="E38" s="22" t="s">
        <v>545</v>
      </c>
      <c r="F38" s="22" t="s">
        <v>546</v>
      </c>
    </row>
    <row r="39" spans="2:6" ht="21.95" customHeight="1" x14ac:dyDescent="0.25">
      <c r="B39" s="54" t="s">
        <v>547</v>
      </c>
      <c r="C39" s="41"/>
      <c r="D39" s="41"/>
      <c r="E39" s="41"/>
      <c r="F39" s="41"/>
    </row>
    <row r="40" spans="2:6" ht="18" customHeight="1" x14ac:dyDescent="0.25">
      <c r="B40" s="23" t="s">
        <v>548</v>
      </c>
      <c r="C40" s="24"/>
      <c r="D40" s="24"/>
      <c r="E40" s="24"/>
      <c r="F40" s="3"/>
    </row>
    <row r="41" spans="2:6" ht="18" customHeight="1" x14ac:dyDescent="0.25">
      <c r="B41" s="23" t="s">
        <v>549</v>
      </c>
      <c r="C41" s="24"/>
      <c r="D41" s="24"/>
      <c r="E41" s="24"/>
      <c r="F41" s="3"/>
    </row>
    <row r="42" spans="2:6" ht="18" customHeight="1" x14ac:dyDescent="0.25">
      <c r="B42" s="23" t="s">
        <v>550</v>
      </c>
      <c r="C42" s="24"/>
      <c r="D42" s="24"/>
      <c r="E42" s="24"/>
      <c r="F42" s="3"/>
    </row>
    <row r="43" spans="2:6" ht="18" customHeight="1" x14ac:dyDescent="0.25">
      <c r="B43" s="23" t="s">
        <v>551</v>
      </c>
      <c r="C43" s="24"/>
      <c r="D43" s="24"/>
      <c r="E43" s="24"/>
      <c r="F43" s="3"/>
    </row>
    <row r="44" spans="2:6" ht="18" customHeight="1" x14ac:dyDescent="0.25">
      <c r="B44" s="23" t="s">
        <v>552</v>
      </c>
      <c r="C44" s="24"/>
      <c r="D44" s="24"/>
      <c r="E44" s="24"/>
      <c r="F44" s="3"/>
    </row>
    <row r="45" spans="2:6" ht="18" customHeight="1" x14ac:dyDescent="0.25">
      <c r="B45" s="23" t="s">
        <v>553</v>
      </c>
      <c r="C45" s="24"/>
      <c r="D45" s="24"/>
      <c r="E45" s="24"/>
      <c r="F45" s="3"/>
    </row>
    <row r="46" spans="2:6" ht="18" customHeight="1" x14ac:dyDescent="0.25">
      <c r="B46" s="23" t="s">
        <v>554</v>
      </c>
      <c r="C46" s="24"/>
      <c r="D46" s="24"/>
      <c r="E46" s="24"/>
      <c r="F46" s="3"/>
    </row>
    <row r="47" spans="2:6" ht="18" customHeight="1" x14ac:dyDescent="0.25">
      <c r="B47" s="23" t="s">
        <v>555</v>
      </c>
      <c r="C47" s="24"/>
      <c r="D47" s="24"/>
      <c r="E47" s="24"/>
      <c r="F47" s="3"/>
    </row>
    <row r="48" spans="2:6" ht="18" customHeight="1" x14ac:dyDescent="0.25">
      <c r="B48" s="23" t="s">
        <v>556</v>
      </c>
      <c r="C48" s="24"/>
      <c r="D48" s="24"/>
      <c r="E48" s="24"/>
      <c r="F48" s="3"/>
    </row>
    <row r="49" spans="2:6" ht="18" customHeight="1" x14ac:dyDescent="0.25">
      <c r="B49" s="23" t="s">
        <v>557</v>
      </c>
      <c r="C49" s="24"/>
      <c r="D49" s="24"/>
      <c r="E49" s="24"/>
      <c r="F49" s="3"/>
    </row>
    <row r="50" spans="2:6" ht="18" customHeight="1" x14ac:dyDescent="0.25">
      <c r="B50" s="23" t="s">
        <v>558</v>
      </c>
      <c r="C50" s="24"/>
      <c r="D50" s="24"/>
      <c r="E50" s="24"/>
      <c r="F50" s="3"/>
    </row>
    <row r="51" spans="2:6" ht="18" customHeight="1" x14ac:dyDescent="0.25">
      <c r="B51" s="23" t="s">
        <v>559</v>
      </c>
      <c r="C51" s="24"/>
      <c r="D51" s="24"/>
      <c r="E51" s="24"/>
      <c r="F51" s="3"/>
    </row>
    <row r="52" spans="2:6" ht="21.95" customHeight="1" x14ac:dyDescent="0.25">
      <c r="B52" s="54" t="s">
        <v>560</v>
      </c>
      <c r="C52" s="41"/>
      <c r="D52" s="41"/>
      <c r="E52" s="41"/>
      <c r="F52" s="41"/>
    </row>
    <row r="53" spans="2:6" ht="18" customHeight="1" x14ac:dyDescent="0.25">
      <c r="B53" s="23" t="s">
        <v>561</v>
      </c>
      <c r="C53" s="24"/>
      <c r="D53" s="24"/>
      <c r="E53" s="24"/>
      <c r="F53" s="3"/>
    </row>
    <row r="54" spans="2:6" ht="18" customHeight="1" x14ac:dyDescent="0.25">
      <c r="B54" s="23" t="s">
        <v>562</v>
      </c>
      <c r="C54" s="24"/>
      <c r="D54" s="24"/>
      <c r="E54" s="24"/>
      <c r="F54" s="3"/>
    </row>
    <row r="55" spans="2:6" ht="18" customHeight="1" x14ac:dyDescent="0.25">
      <c r="B55" s="23" t="s">
        <v>563</v>
      </c>
      <c r="C55" s="24"/>
      <c r="D55" s="24"/>
      <c r="E55" s="24"/>
      <c r="F55" s="3"/>
    </row>
    <row r="56" spans="2:6" ht="18" customHeight="1" x14ac:dyDescent="0.25">
      <c r="B56" s="23" t="s">
        <v>564</v>
      </c>
      <c r="C56" s="24"/>
      <c r="D56" s="24"/>
      <c r="E56" s="24"/>
      <c r="F56" s="3"/>
    </row>
    <row r="57" spans="2:6" ht="18" customHeight="1" x14ac:dyDescent="0.25">
      <c r="B57" s="23" t="s">
        <v>565</v>
      </c>
      <c r="C57" s="24"/>
      <c r="D57" s="24"/>
      <c r="E57" s="24"/>
      <c r="F57" s="3"/>
    </row>
    <row r="58" spans="2:6" ht="18" customHeight="1" x14ac:dyDescent="0.25">
      <c r="B58" s="23" t="s">
        <v>566</v>
      </c>
      <c r="C58" s="24"/>
      <c r="D58" s="24"/>
      <c r="E58" s="24"/>
      <c r="F58" s="3"/>
    </row>
    <row r="59" spans="2:6" ht="18" customHeight="1" x14ac:dyDescent="0.25">
      <c r="B59" s="23" t="s">
        <v>567</v>
      </c>
      <c r="C59" s="24"/>
      <c r="D59" s="24"/>
      <c r="E59" s="24"/>
      <c r="F59" s="3"/>
    </row>
    <row r="60" spans="2:6" ht="18" customHeight="1" x14ac:dyDescent="0.25">
      <c r="B60" s="23" t="s">
        <v>568</v>
      </c>
      <c r="C60" s="24"/>
      <c r="D60" s="24"/>
      <c r="E60" s="24"/>
      <c r="F60" s="3"/>
    </row>
    <row r="61" spans="2:6" ht="18" customHeight="1" x14ac:dyDescent="0.25">
      <c r="B61" s="23" t="s">
        <v>569</v>
      </c>
      <c r="C61" s="24"/>
      <c r="D61" s="24"/>
      <c r="E61" s="24"/>
      <c r="F61" s="3"/>
    </row>
    <row r="62" spans="2:6" ht="18" customHeight="1" x14ac:dyDescent="0.25">
      <c r="B62" s="23" t="s">
        <v>570</v>
      </c>
      <c r="C62" s="24"/>
      <c r="D62" s="24"/>
      <c r="E62" s="24"/>
      <c r="F62" s="3"/>
    </row>
    <row r="63" spans="2:6" ht="18" customHeight="1" x14ac:dyDescent="0.25">
      <c r="B63" s="23" t="s">
        <v>571</v>
      </c>
      <c r="C63" s="24"/>
      <c r="D63" s="24"/>
      <c r="E63" s="24"/>
      <c r="F63" s="3"/>
    </row>
    <row r="64" spans="2:6" ht="18" customHeight="1" x14ac:dyDescent="0.25">
      <c r="B64" s="23" t="s">
        <v>572</v>
      </c>
      <c r="C64" s="24"/>
      <c r="D64" s="24"/>
      <c r="E64" s="24"/>
      <c r="F64" s="3"/>
    </row>
    <row r="65" spans="2:6" ht="18" customHeight="1" x14ac:dyDescent="0.25">
      <c r="B65" s="23" t="s">
        <v>573</v>
      </c>
      <c r="C65" s="24"/>
      <c r="D65" s="24"/>
      <c r="E65" s="24"/>
      <c r="F65" s="3"/>
    </row>
    <row r="66" spans="2:6" ht="18" customHeight="1" x14ac:dyDescent="0.25">
      <c r="B66" s="23" t="s">
        <v>574</v>
      </c>
      <c r="C66" s="24"/>
      <c r="D66" s="24"/>
      <c r="E66" s="24"/>
      <c r="F66" s="3"/>
    </row>
    <row r="67" spans="2:6" ht="18" customHeight="1" x14ac:dyDescent="0.25">
      <c r="B67" s="23" t="s">
        <v>575</v>
      </c>
      <c r="C67" s="24"/>
      <c r="D67" s="24"/>
      <c r="E67" s="24"/>
      <c r="F67" s="3"/>
    </row>
    <row r="68" spans="2:6" ht="18" customHeight="1" x14ac:dyDescent="0.25">
      <c r="B68" s="23" t="s">
        <v>576</v>
      </c>
      <c r="C68" s="24"/>
      <c r="D68" s="24"/>
      <c r="E68" s="24"/>
      <c r="F68" s="3"/>
    </row>
    <row r="69" spans="2:6" ht="21.95" customHeight="1" x14ac:dyDescent="0.25">
      <c r="B69" s="54" t="s">
        <v>577</v>
      </c>
      <c r="C69" s="41"/>
      <c r="D69" s="41"/>
      <c r="E69" s="41"/>
      <c r="F69" s="41"/>
    </row>
    <row r="70" spans="2:6" ht="18" customHeight="1" x14ac:dyDescent="0.25">
      <c r="B70" s="23" t="s">
        <v>578</v>
      </c>
      <c r="C70" s="24"/>
      <c r="D70" s="24"/>
      <c r="E70" s="24"/>
      <c r="F70" s="3"/>
    </row>
    <row r="71" spans="2:6" ht="18" customHeight="1" x14ac:dyDescent="0.25">
      <c r="B71" s="23" t="s">
        <v>579</v>
      </c>
      <c r="C71" s="24"/>
      <c r="D71" s="24"/>
      <c r="E71" s="24"/>
      <c r="F71" s="3"/>
    </row>
    <row r="72" spans="2:6" ht="18" customHeight="1" x14ac:dyDescent="0.25">
      <c r="B72" s="23" t="s">
        <v>580</v>
      </c>
      <c r="C72" s="24"/>
      <c r="D72" s="24"/>
      <c r="E72" s="24"/>
      <c r="F72" s="3"/>
    </row>
    <row r="73" spans="2:6" ht="18" customHeight="1" x14ac:dyDescent="0.25">
      <c r="B73" s="23" t="s">
        <v>581</v>
      </c>
      <c r="C73" s="24"/>
      <c r="D73" s="24"/>
      <c r="E73" s="24"/>
      <c r="F73" s="3"/>
    </row>
    <row r="74" spans="2:6" ht="18" customHeight="1" x14ac:dyDescent="0.25">
      <c r="B74" s="23" t="s">
        <v>582</v>
      </c>
      <c r="C74" s="24"/>
      <c r="D74" s="24"/>
      <c r="E74" s="24"/>
      <c r="F74" s="3"/>
    </row>
    <row r="75" spans="2:6" ht="18" customHeight="1" x14ac:dyDescent="0.25">
      <c r="B75" s="23" t="s">
        <v>583</v>
      </c>
      <c r="C75" s="24"/>
      <c r="D75" s="24"/>
      <c r="E75" s="24"/>
      <c r="F75" s="3"/>
    </row>
    <row r="76" spans="2:6" ht="18" customHeight="1" x14ac:dyDescent="0.25">
      <c r="B76" s="23" t="s">
        <v>584</v>
      </c>
      <c r="C76" s="24"/>
      <c r="D76" s="24"/>
      <c r="E76" s="24"/>
      <c r="F76" s="3"/>
    </row>
    <row r="77" spans="2:6" ht="27.95" customHeight="1" x14ac:dyDescent="0.25">
      <c r="B77" s="49" t="s">
        <v>585</v>
      </c>
      <c r="C77" s="41"/>
      <c r="D77" s="41"/>
      <c r="E77" s="41"/>
      <c r="F77" s="41"/>
    </row>
  </sheetData>
  <mergeCells count="11">
    <mergeCell ref="B69:F69"/>
    <mergeCell ref="B77:F77"/>
    <mergeCell ref="B23:D23"/>
    <mergeCell ref="B1:D1"/>
    <mergeCell ref="B37:F37"/>
    <mergeCell ref="B36:F36"/>
    <mergeCell ref="B12:D12"/>
    <mergeCell ref="B52:F52"/>
    <mergeCell ref="B3:D3"/>
    <mergeCell ref="B19:D19"/>
    <mergeCell ref="B39:F39"/>
  </mergeCells>
  <dataValidations count="1">
    <dataValidation type="list" allowBlank="1" sqref="C40 C41 C42 C43 C44 C45 C46 C47 C48 C49 C50 C51 C53 C54 C55 C56 C57 C58 C59 C60 C61 C62 C63 C64 C65 C66 C67 C68 C70 C71 C72 C73 C74 C75 C76 D40 D41 D42 D43 D44 D45 D46 D47 D48 D49 D50 D51 D53 D54 D55 D56 D57 D58 D59 D60 D61 D62 D63 D64 D65 D66 D67 D68 D70 D71 D72 D73 D74 D75 D76 E40 E41 E42 E43 E44 E45 E46 E47 E48 E49 E50 E51 E53 E54 E55 E56 E57 E58 E59 E60 E61 E62 E63 E64 E65 E66 E67 E68 E70 E71 E72 E73 E74 E75 E76" xr:uid="{00000000-0002-0000-0A00-000003000000}">
      <formula1>"ON CD,DEF,NR,N/A"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InputMessage="1" promptTitle="Risk Category" xr:uid="{00000000-0002-0000-0A00-000000000000}">
          <x14:formula1>
            <xm:f>DATA_LISTS!$H$2:$H$5</xm:f>
          </x14:formula1>
          <xm:sqref>C5</xm:sqref>
        </x14:dataValidation>
        <x14:dataValidation type="list" allowBlank="1" showInputMessage="1" promptTitle="Exposure Category" prompt="ASCE 7" xr:uid="{00000000-0002-0000-0A00-000001000000}">
          <x14:formula1>
            <xm:f>DATA_LISTS!$K$2:$K$4</xm:f>
          </x14:formula1>
          <xm:sqref>C11</xm:sqref>
        </x14:dataValidation>
        <x14:dataValidation type="list" allowBlank="1" showInputMessage="1" promptTitle="Seismic Design Category" prompt="IBC §1613" xr:uid="{00000000-0002-0000-0A00-000002000000}">
          <x14:formula1>
            <xm:f>DATA_LISTS!$L$2:$L$7</xm:f>
          </x14:formula1>
          <xm:sqref>C16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96B23"/>
  </sheetPr>
  <dimension ref="B1:C45"/>
  <sheetViews>
    <sheetView showGridLines="0" workbookViewId="0">
      <pane xSplit="1" ySplit="3" topLeftCell="B19" activePane="bottomRight" state="frozen"/>
      <selection pane="topRight"/>
      <selection pane="bottomLeft"/>
      <selection pane="bottomRight" activeCell="C9" sqref="C9"/>
    </sheetView>
  </sheetViews>
  <sheetFormatPr defaultRowHeight="15" x14ac:dyDescent="0.25"/>
  <cols>
    <col min="1" max="1" width="3" customWidth="1"/>
    <col min="2" max="2" width="31.5703125" customWidth="1"/>
    <col min="3" max="3" width="55.7109375" customWidth="1"/>
    <col min="4" max="4" width="3" customWidth="1"/>
  </cols>
  <sheetData>
    <row r="1" spans="2:3" ht="26.1" customHeight="1" x14ac:dyDescent="0.25">
      <c r="B1" s="50" t="s">
        <v>586</v>
      </c>
      <c r="C1" s="41"/>
    </row>
    <row r="2" spans="2:3" x14ac:dyDescent="0.25">
      <c r="B2" s="49" t="s">
        <v>587</v>
      </c>
      <c r="C2" s="41"/>
    </row>
    <row r="3" spans="2:3" ht="21.95" customHeight="1" x14ac:dyDescent="0.25">
      <c r="B3" s="44" t="s">
        <v>588</v>
      </c>
      <c r="C3" s="41"/>
    </row>
    <row r="4" spans="2:3" ht="27.95" customHeight="1" x14ac:dyDescent="0.25">
      <c r="B4" s="37" t="s">
        <v>589</v>
      </c>
      <c r="C4" s="38"/>
    </row>
    <row r="5" spans="2:3" ht="27.95" customHeight="1" x14ac:dyDescent="0.25">
      <c r="B5" s="37" t="s">
        <v>590</v>
      </c>
      <c r="C5" s="38" t="str">
        <f>'01_PROJECT_ID'!C13&amp;" INTERNATIONAL BUILDING CODE (IBC)"</f>
        <v xml:space="preserve"> INTERNATIONAL BUILDING CODE (IBC)</v>
      </c>
    </row>
    <row r="6" spans="2:3" ht="27.95" customHeight="1" x14ac:dyDescent="0.25">
      <c r="B6" s="37" t="s">
        <v>591</v>
      </c>
      <c r="C6" s="38" t="str">
        <f>"INTERNATIONAL EXISTING BUILDING CODE (IEBC), "&amp;'01_PROJECT_ID'!C13</f>
        <v xml:space="preserve">INTERNATIONAL EXISTING BUILDING CODE (IEBC), </v>
      </c>
    </row>
    <row r="7" spans="2:3" ht="27.95" customHeight="1" x14ac:dyDescent="0.25">
      <c r="B7" s="37" t="s">
        <v>592</v>
      </c>
      <c r="C7" s="38" t="str">
        <f>"DELAWARE STATE FIRE PREVENTION REGULATIONS INCL. NFPA 1, NFPA 101"</f>
        <v>DELAWARE STATE FIRE PREVENTION REGULATIONS INCL. NFPA 1, NFPA 101</v>
      </c>
    </row>
    <row r="8" spans="2:3" ht="27.95" customHeight="1" x14ac:dyDescent="0.25">
      <c r="B8" s="37" t="s">
        <v>593</v>
      </c>
      <c r="C8" s="38" t="str">
        <f>"STATE OF DELAWARE PLUMBING CODE (IPC "&amp;'01_PROJECT_ID'!C15&amp;" WITH DE AMENDMENTS)"</f>
        <v>STATE OF DELAWARE PLUMBING CODE (IPC  WITH DE AMENDMENTS)</v>
      </c>
    </row>
    <row r="9" spans="2:3" ht="27.95" customHeight="1" x14ac:dyDescent="0.25">
      <c r="B9" s="37" t="s">
        <v>594</v>
      </c>
      <c r="C9" s="38" t="str">
        <f>"INTERNATIONAL MECHANICAL CODE (IMC), "&amp;'01_PROJECT_ID'!C13</f>
        <v xml:space="preserve">INTERNATIONAL MECHANICAL CODE (IMC), </v>
      </c>
    </row>
    <row r="10" spans="2:3" ht="27.95" customHeight="1" x14ac:dyDescent="0.25">
      <c r="B10" s="37" t="s">
        <v>595</v>
      </c>
      <c r="C10" s="38" t="str">
        <f>"INTERNATIONAL FUEL GAS CODE (IFGC), "&amp;'01_PROJECT_ID'!C13</f>
        <v xml:space="preserve">INTERNATIONAL FUEL GAS CODE (IFGC), </v>
      </c>
    </row>
    <row r="11" spans="2:3" ht="27.95" customHeight="1" x14ac:dyDescent="0.25">
      <c r="B11" s="37" t="s">
        <v>596</v>
      </c>
      <c r="C11" s="38" t="str">
        <f>"DELAWARE STATE ENERGY CONSERVATION CODE — "&amp;'01_PROJECT_ID'!C16&amp;" IECC WITH DE AMENDMENTS"</f>
        <v>DELAWARE STATE ENERGY CONSERVATION CODE — 2021 IECC WITH DE AMENDMENTS</v>
      </c>
    </row>
    <row r="12" spans="2:3" ht="27.95" customHeight="1" x14ac:dyDescent="0.25">
      <c r="B12" s="37" t="s">
        <v>597</v>
      </c>
      <c r="C12" s="38" t="str">
        <f>"IBC CHAPTER 11 AND ICC A117.1 (2010 EDITION) — ADA STANDARDS 2010"</f>
        <v>IBC CHAPTER 11 AND ICC A117.1 (2010 EDITION) — ADA STANDARDS 2010</v>
      </c>
    </row>
    <row r="13" spans="2:3" ht="27.95" customHeight="1" x14ac:dyDescent="0.25">
      <c r="B13" s="37" t="s">
        <v>598</v>
      </c>
      <c r="C13" s="38" t="str">
        <f>IF('01_PROJECT_ID'!C18="Yes","YES — SEE 14_AMENDMENTS TAB","NONE NOTED")</f>
        <v>NONE NOTED</v>
      </c>
    </row>
    <row r="14" spans="2:3" x14ac:dyDescent="0.25">
      <c r="B14" s="39"/>
      <c r="C14" s="39"/>
    </row>
    <row r="15" spans="2:3" ht="18" customHeight="1" x14ac:dyDescent="0.25">
      <c r="B15" s="37" t="s">
        <v>599</v>
      </c>
      <c r="C15" s="38"/>
    </row>
    <row r="16" spans="2:3" ht="18" customHeight="1" x14ac:dyDescent="0.25">
      <c r="B16" s="37" t="s">
        <v>600</v>
      </c>
      <c r="C16" s="38">
        <f>'01_PROJECT_ID'!C4</f>
        <v>0</v>
      </c>
    </row>
    <row r="17" spans="2:3" ht="18" customHeight="1" x14ac:dyDescent="0.25">
      <c r="B17" s="37" t="s">
        <v>601</v>
      </c>
      <c r="C17" s="38">
        <f>'01_PROJECT_ID'!C5</f>
        <v>0</v>
      </c>
    </row>
    <row r="18" spans="2:3" ht="18" customHeight="1" x14ac:dyDescent="0.25">
      <c r="B18" s="37" t="s">
        <v>602</v>
      </c>
      <c r="C18" s="38">
        <f>'03_IBC_AREA_HEIGHT'!C4</f>
        <v>0</v>
      </c>
    </row>
    <row r="19" spans="2:3" ht="24" customHeight="1" x14ac:dyDescent="0.25">
      <c r="B19" s="37" t="s">
        <v>603</v>
      </c>
      <c r="C19" s="38">
        <f>'03_IBC_AREA_HEIGHT'!C7</f>
        <v>0</v>
      </c>
    </row>
    <row r="20" spans="2:3" ht="21" customHeight="1" x14ac:dyDescent="0.25">
      <c r="B20" s="37" t="s">
        <v>604</v>
      </c>
      <c r="C20" s="38">
        <f>'03_IBC_AREA_HEIGHT'!C9</f>
        <v>0</v>
      </c>
    </row>
    <row r="21" spans="2:3" ht="18" customHeight="1" x14ac:dyDescent="0.25">
      <c r="B21" s="37" t="s">
        <v>605</v>
      </c>
      <c r="C21" s="38">
        <f>'03_IBC_AREA_HEIGHT'!C8</f>
        <v>0</v>
      </c>
    </row>
    <row r="22" spans="2:3" ht="18" customHeight="1" x14ac:dyDescent="0.25">
      <c r="B22" s="37" t="s">
        <v>606</v>
      </c>
      <c r="C22" s="38" t="str">
        <f>'03_IBC_AREA_HEIGHT'!D24&amp;" SF TOTAL"</f>
        <v xml:space="preserve"> SF TOTAL</v>
      </c>
    </row>
    <row r="23" spans="2:3" ht="18" customHeight="1" x14ac:dyDescent="0.25">
      <c r="B23" s="37" t="s">
        <v>607</v>
      </c>
      <c r="C23" s="38" t="str">
        <f>'03_IBC_AREA_HEIGHT'!D11&amp;" FT / "&amp;'03_IBC_AREA_HEIGHT'!D12&amp;" STORIES"</f>
        <v xml:space="preserve"> FT /  STORIES</v>
      </c>
    </row>
    <row r="24" spans="2:3" ht="18" customHeight="1" x14ac:dyDescent="0.25">
      <c r="B24" s="37" t="s">
        <v>608</v>
      </c>
      <c r="C24" s="38" t="str">
        <f>'03_IBC_AREA_HEIGHT'!C9&amp;" FT / "&amp;'03_IBC_AREA_HEIGHT'!C10&amp;" STORIES"</f>
        <v xml:space="preserve"> FT /  STORIES</v>
      </c>
    </row>
    <row r="25" spans="2:3" ht="18" customHeight="1" x14ac:dyDescent="0.25">
      <c r="B25" s="37" t="s">
        <v>609</v>
      </c>
      <c r="C25" s="38" t="str">
        <f>'03_IBC_AREA_HEIGHT'!C22&amp;" SF/STORY; "&amp;'03_IBC_AREA_HEIGHT'!C23&amp;" SF TOTAL"</f>
        <v xml:space="preserve"> SF/STORY;  SF TOTAL</v>
      </c>
    </row>
    <row r="26" spans="2:3" x14ac:dyDescent="0.25">
      <c r="B26" s="39"/>
      <c r="C26" s="39"/>
    </row>
    <row r="27" spans="2:3" ht="18" customHeight="1" x14ac:dyDescent="0.25">
      <c r="B27" s="37" t="s">
        <v>610</v>
      </c>
      <c r="C27" s="38"/>
    </row>
    <row r="28" spans="2:3" ht="18" customHeight="1" x14ac:dyDescent="0.25">
      <c r="B28" s="37" t="s">
        <v>611</v>
      </c>
      <c r="C28" s="38" t="str">
        <f>'05_LIFE_SAFETY_IBC'!F12&amp;" OCC"</f>
        <v>0 OCC</v>
      </c>
    </row>
    <row r="29" spans="2:3" ht="18" customHeight="1" x14ac:dyDescent="0.25">
      <c r="B29" s="37" t="s">
        <v>612</v>
      </c>
      <c r="C29" s="38" t="str">
        <f>'05_LIFE_SAFETY_IBC'!D17&amp;" EXITS PROVIDED"</f>
        <v xml:space="preserve"> EXITS PROVIDED</v>
      </c>
    </row>
    <row r="30" spans="2:3" ht="18" customHeight="1" x14ac:dyDescent="0.25">
      <c r="B30" s="37" t="s">
        <v>613</v>
      </c>
      <c r="C30" s="38" t="str">
        <f>'05_LIFE_SAFETY_IBC'!D19&amp;" INCHES MIN. (PROVIDED)"</f>
        <v xml:space="preserve"> INCHES MIN. (PROVIDED)</v>
      </c>
    </row>
    <row r="31" spans="2:3" ht="18" customHeight="1" x14ac:dyDescent="0.25">
      <c r="B31" s="37" t="s">
        <v>614</v>
      </c>
      <c r="C31" s="38" t="str">
        <f>'05_LIFE_SAFETY_IBC'!C22&amp;" FT ALLOWED / "&amp;'05_LIFE_SAFETY_IBC'!D22&amp;" FT PROVIDED"</f>
        <v xml:space="preserve"> FT ALLOWED /  FT PROVIDED</v>
      </c>
    </row>
    <row r="32" spans="2:3" ht="24" customHeight="1" x14ac:dyDescent="0.25">
      <c r="B32" s="37" t="s">
        <v>615</v>
      </c>
      <c r="C32" s="38"/>
    </row>
    <row r="33" spans="2:3" ht="18" customHeight="1" x14ac:dyDescent="0.25">
      <c r="B33" s="37" t="s">
        <v>616</v>
      </c>
      <c r="C33" s="38">
        <f>'04_FIRE_PROTECTION'!D4</f>
        <v>0</v>
      </c>
    </row>
    <row r="34" spans="2:3" ht="18" customHeight="1" x14ac:dyDescent="0.25">
      <c r="B34" s="37" t="s">
        <v>617</v>
      </c>
      <c r="C34" s="38">
        <f>'04_FIRE_PROTECTION'!D5</f>
        <v>0</v>
      </c>
    </row>
    <row r="35" spans="2:3" ht="18" customHeight="1" x14ac:dyDescent="0.25">
      <c r="B35" s="37" t="s">
        <v>618</v>
      </c>
      <c r="C35" s="38">
        <f>'04_FIRE_PROTECTION'!D10</f>
        <v>0</v>
      </c>
    </row>
    <row r="36" spans="2:3" ht="18" customHeight="1" x14ac:dyDescent="0.25">
      <c r="B36" s="37" t="s">
        <v>619</v>
      </c>
      <c r="C36" s="38">
        <f>'04_FIRE_PROTECTION'!D11</f>
        <v>0</v>
      </c>
    </row>
    <row r="37" spans="2:3" ht="18" customHeight="1" x14ac:dyDescent="0.25">
      <c r="B37" s="37" t="s">
        <v>620</v>
      </c>
      <c r="C37" s="38">
        <f>'04_FIRE_PROTECTION'!D13</f>
        <v>0</v>
      </c>
    </row>
    <row r="38" spans="2:3" ht="18" customHeight="1" x14ac:dyDescent="0.25">
      <c r="B38" s="37" t="s">
        <v>621</v>
      </c>
      <c r="C38" s="38">
        <f>'04_FIRE_PROTECTION'!D15</f>
        <v>0</v>
      </c>
    </row>
    <row r="39" spans="2:3" x14ac:dyDescent="0.25">
      <c r="B39" s="39"/>
      <c r="C39" s="39"/>
    </row>
    <row r="40" spans="2:3" ht="24" customHeight="1" x14ac:dyDescent="0.25">
      <c r="B40" s="37" t="s">
        <v>622</v>
      </c>
      <c r="C40" s="38"/>
    </row>
    <row r="41" spans="2:3" ht="18" customHeight="1" x14ac:dyDescent="0.25">
      <c r="B41" s="37" t="s">
        <v>623</v>
      </c>
      <c r="C41" s="38">
        <f>'08_PLUMBING_CALC'!F22</f>
        <v>0</v>
      </c>
    </row>
    <row r="42" spans="2:3" ht="18" customHeight="1" x14ac:dyDescent="0.25">
      <c r="B42" s="37" t="s">
        <v>624</v>
      </c>
      <c r="C42" s="38">
        <f>'08_PLUMBING_CALC'!F23</f>
        <v>0</v>
      </c>
    </row>
    <row r="43" spans="2:3" ht="18" customHeight="1" x14ac:dyDescent="0.25">
      <c r="B43" s="37" t="s">
        <v>625</v>
      </c>
      <c r="C43" s="38">
        <f>'08_PLUMBING_CALC'!F24</f>
        <v>0</v>
      </c>
    </row>
    <row r="44" spans="2:3" ht="18" customHeight="1" x14ac:dyDescent="0.25">
      <c r="B44" s="37" t="s">
        <v>626</v>
      </c>
      <c r="C44" s="38">
        <f>'08_PLUMBING_CALC'!F25</f>
        <v>0</v>
      </c>
    </row>
    <row r="45" spans="2:3" ht="18" customHeight="1" x14ac:dyDescent="0.25">
      <c r="B45" s="37" t="s">
        <v>627</v>
      </c>
      <c r="C45" s="38">
        <f>'08_PLUMBING_CALC'!F26</f>
        <v>0</v>
      </c>
    </row>
  </sheetData>
  <mergeCells count="3">
    <mergeCell ref="B1:C1"/>
    <mergeCell ref="B3:C3"/>
    <mergeCell ref="B2:C2"/>
  </mergeCells>
  <pageMargins left="0.75" right="0.75" top="1" bottom="1"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67E22"/>
  </sheetPr>
  <dimension ref="B1:F36"/>
  <sheetViews>
    <sheetView showGridLines="0" workbookViewId="0">
      <pane xSplit="1" ySplit="2" topLeftCell="B3" activePane="bottomRight" state="frozen"/>
      <selection pane="topRight"/>
      <selection pane="bottomLeft"/>
      <selection pane="bottomRight"/>
    </sheetView>
  </sheetViews>
  <sheetFormatPr defaultRowHeight="15" x14ac:dyDescent="0.25"/>
  <cols>
    <col min="1" max="1" width="3" customWidth="1"/>
    <col min="2" max="2" width="38" customWidth="1"/>
    <col min="3" max="3" width="16" customWidth="1"/>
    <col min="4" max="4" width="22" customWidth="1"/>
    <col min="5" max="6" width="14" customWidth="1"/>
    <col min="7" max="7" width="3" customWidth="1"/>
  </cols>
  <sheetData>
    <row r="1" spans="2:6" ht="26.1" customHeight="1" x14ac:dyDescent="0.25">
      <c r="B1" s="50" t="s">
        <v>628</v>
      </c>
      <c r="C1" s="41"/>
      <c r="D1" s="41"/>
      <c r="E1" s="41"/>
      <c r="F1" s="41"/>
    </row>
    <row r="2" spans="2:6" x14ac:dyDescent="0.25">
      <c r="B2" s="5" t="s">
        <v>629</v>
      </c>
      <c r="C2" s="5" t="s">
        <v>630</v>
      </c>
      <c r="D2" s="5" t="s">
        <v>631</v>
      </c>
      <c r="E2" s="5" t="s">
        <v>632</v>
      </c>
      <c r="F2" s="5" t="s">
        <v>633</v>
      </c>
    </row>
    <row r="3" spans="2:6" ht="21.95" customHeight="1" x14ac:dyDescent="0.25">
      <c r="B3" s="44" t="s">
        <v>634</v>
      </c>
      <c r="C3" s="41"/>
      <c r="D3" s="41"/>
      <c r="E3" s="41"/>
      <c r="F3" s="41"/>
    </row>
    <row r="4" spans="2:6" ht="18" customHeight="1" x14ac:dyDescent="0.25">
      <c r="B4" s="8" t="s">
        <v>635</v>
      </c>
      <c r="C4" s="14" t="s">
        <v>636</v>
      </c>
      <c r="D4" s="4"/>
      <c r="E4" s="4"/>
      <c r="F4" s="4"/>
    </row>
    <row r="5" spans="2:6" ht="18" customHeight="1" x14ac:dyDescent="0.25">
      <c r="B5" s="8" t="s">
        <v>637</v>
      </c>
      <c r="C5" s="14" t="s">
        <v>636</v>
      </c>
      <c r="D5" s="4"/>
      <c r="E5" s="4"/>
      <c r="F5" s="4"/>
    </row>
    <row r="6" spans="2:6" ht="18" customHeight="1" x14ac:dyDescent="0.25">
      <c r="B6" s="8" t="s">
        <v>638</v>
      </c>
      <c r="C6" s="14" t="s">
        <v>636</v>
      </c>
      <c r="D6" s="4"/>
      <c r="E6" s="4"/>
      <c r="F6" s="4"/>
    </row>
    <row r="7" spans="2:6" ht="18" customHeight="1" x14ac:dyDescent="0.25">
      <c r="B7" s="8" t="s">
        <v>639</v>
      </c>
      <c r="C7" s="14" t="s">
        <v>636</v>
      </c>
      <c r="D7" s="4"/>
      <c r="E7" s="4"/>
      <c r="F7" s="4"/>
    </row>
    <row r="8" spans="2:6" ht="18" customHeight="1" x14ac:dyDescent="0.25">
      <c r="B8" s="8" t="s">
        <v>640</v>
      </c>
      <c r="C8" s="14" t="s">
        <v>636</v>
      </c>
      <c r="D8" s="4"/>
      <c r="E8" s="4"/>
      <c r="F8" s="4"/>
    </row>
    <row r="9" spans="2:6" ht="21.95" customHeight="1" x14ac:dyDescent="0.25">
      <c r="B9" s="44" t="s">
        <v>641</v>
      </c>
      <c r="C9" s="41"/>
      <c r="D9" s="41"/>
      <c r="E9" s="41"/>
      <c r="F9" s="41"/>
    </row>
    <row r="10" spans="2:6" ht="18" customHeight="1" x14ac:dyDescent="0.25">
      <c r="B10" s="8" t="s">
        <v>642</v>
      </c>
      <c r="C10" s="14" t="s">
        <v>643</v>
      </c>
      <c r="D10" s="4"/>
      <c r="E10" s="4"/>
      <c r="F10" s="4"/>
    </row>
    <row r="11" spans="2:6" ht="18" customHeight="1" x14ac:dyDescent="0.25">
      <c r="B11" s="8" t="s">
        <v>644</v>
      </c>
      <c r="C11" s="14" t="s">
        <v>643</v>
      </c>
      <c r="D11" s="4"/>
      <c r="E11" s="4"/>
      <c r="F11" s="4"/>
    </row>
    <row r="12" spans="2:6" ht="18" customHeight="1" x14ac:dyDescent="0.25">
      <c r="B12" s="8" t="s">
        <v>645</v>
      </c>
      <c r="C12" s="14" t="s">
        <v>643</v>
      </c>
      <c r="D12" s="4"/>
      <c r="E12" s="4"/>
      <c r="F12" s="4"/>
    </row>
    <row r="13" spans="2:6" ht="18" customHeight="1" x14ac:dyDescent="0.25">
      <c r="B13" s="8" t="s">
        <v>646</v>
      </c>
      <c r="C13" s="14" t="s">
        <v>643</v>
      </c>
      <c r="D13" s="4"/>
      <c r="E13" s="4"/>
      <c r="F13" s="4"/>
    </row>
    <row r="14" spans="2:6" ht="18" customHeight="1" x14ac:dyDescent="0.25">
      <c r="B14" s="8" t="s">
        <v>647</v>
      </c>
      <c r="C14" s="14" t="s">
        <v>643</v>
      </c>
      <c r="D14" s="4"/>
      <c r="E14" s="4"/>
      <c r="F14" s="4"/>
    </row>
    <row r="15" spans="2:6" ht="18" customHeight="1" x14ac:dyDescent="0.25">
      <c r="B15" s="8" t="s">
        <v>648</v>
      </c>
      <c r="C15" s="14" t="s">
        <v>643</v>
      </c>
      <c r="D15" s="4"/>
      <c r="E15" s="4"/>
      <c r="F15" s="4"/>
    </row>
    <row r="16" spans="2:6" ht="21.95" customHeight="1" x14ac:dyDescent="0.25">
      <c r="B16" s="44" t="s">
        <v>649</v>
      </c>
      <c r="C16" s="41"/>
      <c r="D16" s="41"/>
      <c r="E16" s="41"/>
      <c r="F16" s="41"/>
    </row>
    <row r="17" spans="2:6" ht="18" customHeight="1" x14ac:dyDescent="0.25">
      <c r="B17" s="8" t="s">
        <v>650</v>
      </c>
      <c r="C17" s="14" t="s">
        <v>651</v>
      </c>
      <c r="D17" s="4"/>
      <c r="E17" s="4"/>
      <c r="F17" s="4"/>
    </row>
    <row r="18" spans="2:6" ht="18" customHeight="1" x14ac:dyDescent="0.25">
      <c r="B18" s="8" t="s">
        <v>652</v>
      </c>
      <c r="C18" s="14" t="s">
        <v>651</v>
      </c>
      <c r="D18" s="4"/>
      <c r="E18" s="4"/>
      <c r="F18" s="4"/>
    </row>
    <row r="19" spans="2:6" ht="18" customHeight="1" x14ac:dyDescent="0.25">
      <c r="B19" s="8" t="s">
        <v>653</v>
      </c>
      <c r="C19" s="14" t="s">
        <v>651</v>
      </c>
      <c r="D19" s="4"/>
      <c r="E19" s="4"/>
      <c r="F19" s="4"/>
    </row>
    <row r="20" spans="2:6" ht="18" customHeight="1" x14ac:dyDescent="0.25">
      <c r="B20" s="8" t="s">
        <v>654</v>
      </c>
      <c r="C20" s="14" t="s">
        <v>651</v>
      </c>
      <c r="D20" s="4"/>
      <c r="E20" s="4"/>
      <c r="F20" s="4"/>
    </row>
    <row r="21" spans="2:6" ht="18" customHeight="1" x14ac:dyDescent="0.25">
      <c r="B21" s="8" t="s">
        <v>655</v>
      </c>
      <c r="C21" s="14" t="s">
        <v>651</v>
      </c>
      <c r="D21" s="4"/>
      <c r="E21" s="4"/>
      <c r="F21" s="4"/>
    </row>
    <row r="22" spans="2:6" ht="18" customHeight="1" x14ac:dyDescent="0.25">
      <c r="B22" s="8" t="s">
        <v>656</v>
      </c>
      <c r="C22" s="14" t="s">
        <v>651</v>
      </c>
      <c r="D22" s="4"/>
      <c r="E22" s="4"/>
      <c r="F22" s="4"/>
    </row>
    <row r="23" spans="2:6" ht="18" customHeight="1" x14ac:dyDescent="0.25">
      <c r="B23" s="8" t="s">
        <v>657</v>
      </c>
      <c r="C23" s="14" t="s">
        <v>651</v>
      </c>
      <c r="D23" s="4"/>
      <c r="E23" s="4"/>
      <c r="F23" s="4"/>
    </row>
    <row r="24" spans="2:6" ht="18" customHeight="1" x14ac:dyDescent="0.25">
      <c r="B24" s="8" t="s">
        <v>658</v>
      </c>
      <c r="C24" s="14" t="s">
        <v>651</v>
      </c>
      <c r="D24" s="4"/>
      <c r="E24" s="4"/>
      <c r="F24" s="4"/>
    </row>
    <row r="25" spans="2:6" ht="18" customHeight="1" x14ac:dyDescent="0.25">
      <c r="B25" s="8" t="s">
        <v>659</v>
      </c>
      <c r="C25" s="14" t="s">
        <v>651</v>
      </c>
      <c r="D25" s="4"/>
      <c r="E25" s="4"/>
      <c r="F25" s="4"/>
    </row>
    <row r="26" spans="2:6" ht="21.95" customHeight="1" x14ac:dyDescent="0.25">
      <c r="B26" s="44" t="s">
        <v>660</v>
      </c>
      <c r="C26" s="41"/>
      <c r="D26" s="41"/>
      <c r="E26" s="41"/>
      <c r="F26" s="41"/>
    </row>
    <row r="27" spans="2:6" ht="18" customHeight="1" x14ac:dyDescent="0.25">
      <c r="B27" s="8" t="s">
        <v>661</v>
      </c>
      <c r="C27" s="14" t="s">
        <v>662</v>
      </c>
      <c r="D27" s="4"/>
      <c r="E27" s="4"/>
      <c r="F27" s="4"/>
    </row>
    <row r="28" spans="2:6" ht="18" customHeight="1" x14ac:dyDescent="0.25">
      <c r="B28" s="8" t="s">
        <v>663</v>
      </c>
      <c r="C28" s="14" t="s">
        <v>662</v>
      </c>
      <c r="D28" s="4"/>
      <c r="E28" s="4"/>
      <c r="F28" s="4"/>
    </row>
    <row r="29" spans="2:6" ht="18" customHeight="1" x14ac:dyDescent="0.25">
      <c r="B29" s="8" t="s">
        <v>664</v>
      </c>
      <c r="C29" s="14" t="s">
        <v>662</v>
      </c>
      <c r="D29" s="4"/>
      <c r="E29" s="4"/>
      <c r="F29" s="4"/>
    </row>
    <row r="30" spans="2:6" ht="18" customHeight="1" x14ac:dyDescent="0.25">
      <c r="B30" s="8" t="s">
        <v>665</v>
      </c>
      <c r="C30" s="14" t="s">
        <v>662</v>
      </c>
      <c r="D30" s="4"/>
      <c r="E30" s="4"/>
      <c r="F30" s="4"/>
    </row>
    <row r="31" spans="2:6" ht="18" customHeight="1" x14ac:dyDescent="0.25">
      <c r="B31" s="8" t="s">
        <v>666</v>
      </c>
      <c r="C31" s="14" t="s">
        <v>662</v>
      </c>
      <c r="D31" s="4"/>
      <c r="E31" s="4"/>
      <c r="F31" s="4"/>
    </row>
    <row r="32" spans="2:6" ht="18" customHeight="1" x14ac:dyDescent="0.25">
      <c r="B32" s="8" t="s">
        <v>667</v>
      </c>
      <c r="C32" s="14" t="s">
        <v>662</v>
      </c>
      <c r="D32" s="4"/>
      <c r="E32" s="4"/>
      <c r="F32" s="4"/>
    </row>
    <row r="33" spans="2:6" ht="18" customHeight="1" x14ac:dyDescent="0.25">
      <c r="B33" s="8" t="s">
        <v>668</v>
      </c>
      <c r="C33" s="14" t="s">
        <v>662</v>
      </c>
      <c r="D33" s="4"/>
      <c r="E33" s="4"/>
      <c r="F33" s="4"/>
    </row>
    <row r="34" spans="2:6" ht="21.95" customHeight="1" x14ac:dyDescent="0.25">
      <c r="B34" s="44" t="s">
        <v>669</v>
      </c>
      <c r="C34" s="41"/>
      <c r="D34" s="41"/>
      <c r="E34" s="41"/>
      <c r="F34" s="41"/>
    </row>
    <row r="35" spans="2:6" ht="18" customHeight="1" x14ac:dyDescent="0.25">
      <c r="B35" s="8" t="s">
        <v>670</v>
      </c>
      <c r="C35" s="14" t="s">
        <v>671</v>
      </c>
      <c r="D35" s="4"/>
      <c r="E35" s="4"/>
      <c r="F35" s="4"/>
    </row>
    <row r="36" spans="2:6" ht="18" customHeight="1" x14ac:dyDescent="0.25">
      <c r="B36" s="8" t="s">
        <v>672</v>
      </c>
      <c r="C36" s="14" t="s">
        <v>673</v>
      </c>
      <c r="D36" s="4"/>
      <c r="E36" s="4"/>
      <c r="F36" s="4"/>
    </row>
  </sheetData>
  <mergeCells count="6">
    <mergeCell ref="B16:F16"/>
    <mergeCell ref="B34:F34"/>
    <mergeCell ref="B3:F3"/>
    <mergeCell ref="B1:F1"/>
    <mergeCell ref="B26:F26"/>
    <mergeCell ref="B9:F9"/>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0392B"/>
  </sheetPr>
  <dimension ref="B1:G23"/>
  <sheetViews>
    <sheetView showGridLines="0" workbookViewId="0">
      <pane xSplit="1" ySplit="2" topLeftCell="B3" activePane="bottomRight" state="frozen"/>
      <selection pane="topRight"/>
      <selection pane="bottomLeft"/>
      <selection pane="bottomRight"/>
    </sheetView>
  </sheetViews>
  <sheetFormatPr defaultRowHeight="15" x14ac:dyDescent="0.25"/>
  <cols>
    <col min="1" max="1" width="3" customWidth="1"/>
    <col min="2" max="2" width="6" customWidth="1"/>
    <col min="3" max="3" width="36" customWidth="1"/>
    <col min="4" max="4" width="16" customWidth="1"/>
    <col min="5" max="5" width="20" customWidth="1"/>
    <col min="6" max="6" width="16" customWidth="1"/>
    <col min="7" max="7" width="20" customWidth="1"/>
    <col min="8" max="8" width="3" customWidth="1"/>
  </cols>
  <sheetData>
    <row r="1" spans="2:7" ht="26.1" customHeight="1" x14ac:dyDescent="0.25">
      <c r="B1" s="50" t="s">
        <v>674</v>
      </c>
      <c r="C1" s="41"/>
      <c r="D1" s="41"/>
      <c r="E1" s="41"/>
      <c r="F1" s="41"/>
      <c r="G1" s="41"/>
    </row>
    <row r="2" spans="2:7" ht="25.5" x14ac:dyDescent="0.25">
      <c r="B2" s="5" t="s">
        <v>675</v>
      </c>
      <c r="C2" s="5" t="s">
        <v>676</v>
      </c>
      <c r="D2" s="5" t="s">
        <v>229</v>
      </c>
      <c r="E2" s="5" t="s">
        <v>677</v>
      </c>
      <c r="F2" s="5" t="s">
        <v>678</v>
      </c>
      <c r="G2" s="5" t="s">
        <v>679</v>
      </c>
    </row>
    <row r="3" spans="2:7" ht="20.100000000000001" customHeight="1" x14ac:dyDescent="0.25">
      <c r="B3" s="15">
        <v>1</v>
      </c>
      <c r="C3" s="4"/>
      <c r="D3" s="4"/>
      <c r="E3" s="4"/>
      <c r="F3" s="4"/>
      <c r="G3" s="4"/>
    </row>
    <row r="4" spans="2:7" ht="20.100000000000001" customHeight="1" x14ac:dyDescent="0.25">
      <c r="B4" s="15">
        <v>2</v>
      </c>
      <c r="C4" s="4"/>
      <c r="D4" s="4"/>
      <c r="E4" s="4"/>
      <c r="F4" s="4"/>
      <c r="G4" s="4"/>
    </row>
    <row r="5" spans="2:7" ht="20.100000000000001" customHeight="1" x14ac:dyDescent="0.25">
      <c r="B5" s="15">
        <v>3</v>
      </c>
      <c r="C5" s="4"/>
      <c r="D5" s="4"/>
      <c r="E5" s="4"/>
      <c r="F5" s="4"/>
      <c r="G5" s="4"/>
    </row>
    <row r="6" spans="2:7" ht="20.100000000000001" customHeight="1" x14ac:dyDescent="0.25">
      <c r="B6" s="15">
        <v>4</v>
      </c>
      <c r="C6" s="4"/>
      <c r="D6" s="4"/>
      <c r="E6" s="4"/>
      <c r="F6" s="4"/>
      <c r="G6" s="4"/>
    </row>
    <row r="7" spans="2:7" ht="20.100000000000001" customHeight="1" x14ac:dyDescent="0.25">
      <c r="B7" s="15">
        <v>5</v>
      </c>
      <c r="C7" s="4"/>
      <c r="D7" s="4"/>
      <c r="E7" s="4"/>
      <c r="F7" s="4"/>
      <c r="G7" s="4"/>
    </row>
    <row r="8" spans="2:7" ht="20.100000000000001" customHeight="1" x14ac:dyDescent="0.25">
      <c r="B8" s="15">
        <v>6</v>
      </c>
      <c r="C8" s="4"/>
      <c r="D8" s="4"/>
      <c r="E8" s="4"/>
      <c r="F8" s="4"/>
      <c r="G8" s="4"/>
    </row>
    <row r="9" spans="2:7" ht="20.100000000000001" customHeight="1" x14ac:dyDescent="0.25">
      <c r="B9" s="15">
        <v>7</v>
      </c>
      <c r="C9" s="4"/>
      <c r="D9" s="4"/>
      <c r="E9" s="4"/>
      <c r="F9" s="4"/>
      <c r="G9" s="4"/>
    </row>
    <row r="10" spans="2:7" ht="20.100000000000001" customHeight="1" x14ac:dyDescent="0.25">
      <c r="B10" s="15">
        <v>8</v>
      </c>
      <c r="C10" s="4"/>
      <c r="D10" s="4"/>
      <c r="E10" s="4"/>
      <c r="F10" s="4"/>
      <c r="G10" s="4"/>
    </row>
    <row r="11" spans="2:7" ht="20.100000000000001" customHeight="1" x14ac:dyDescent="0.25">
      <c r="B11" s="15">
        <v>9</v>
      </c>
      <c r="C11" s="4"/>
      <c r="D11" s="4"/>
      <c r="E11" s="4"/>
      <c r="F11" s="4"/>
      <c r="G11" s="4"/>
    </row>
    <row r="12" spans="2:7" ht="20.100000000000001" customHeight="1" x14ac:dyDescent="0.25">
      <c r="B12" s="15">
        <v>10</v>
      </c>
      <c r="C12" s="4"/>
      <c r="D12" s="4"/>
      <c r="E12" s="4"/>
      <c r="F12" s="4"/>
      <c r="G12" s="4"/>
    </row>
    <row r="13" spans="2:7" ht="20.100000000000001" customHeight="1" x14ac:dyDescent="0.25">
      <c r="B13" s="15">
        <v>11</v>
      </c>
      <c r="C13" s="4"/>
      <c r="D13" s="4"/>
      <c r="E13" s="4"/>
      <c r="F13" s="4"/>
      <c r="G13" s="4"/>
    </row>
    <row r="14" spans="2:7" ht="20.100000000000001" customHeight="1" x14ac:dyDescent="0.25">
      <c r="B14" s="15">
        <v>12</v>
      </c>
      <c r="C14" s="4"/>
      <c r="D14" s="4"/>
      <c r="E14" s="4"/>
      <c r="F14" s="4"/>
      <c r="G14" s="4"/>
    </row>
    <row r="15" spans="2:7" ht="20.100000000000001" customHeight="1" x14ac:dyDescent="0.25">
      <c r="B15" s="15">
        <v>13</v>
      </c>
      <c r="C15" s="4"/>
      <c r="D15" s="4"/>
      <c r="E15" s="4"/>
      <c r="F15" s="4"/>
      <c r="G15" s="4"/>
    </row>
    <row r="16" spans="2:7" ht="20.100000000000001" customHeight="1" x14ac:dyDescent="0.25">
      <c r="B16" s="15">
        <v>14</v>
      </c>
      <c r="C16" s="4"/>
      <c r="D16" s="4"/>
      <c r="E16" s="4"/>
      <c r="F16" s="4"/>
      <c r="G16" s="4"/>
    </row>
    <row r="17" spans="2:7" ht="20.100000000000001" customHeight="1" x14ac:dyDescent="0.25">
      <c r="B17" s="15">
        <v>15</v>
      </c>
      <c r="C17" s="4"/>
      <c r="D17" s="4"/>
      <c r="E17" s="4"/>
      <c r="F17" s="4"/>
      <c r="G17" s="4"/>
    </row>
    <row r="18" spans="2:7" ht="20.100000000000001" customHeight="1" x14ac:dyDescent="0.25">
      <c r="B18" s="15">
        <v>16</v>
      </c>
      <c r="C18" s="4"/>
      <c r="D18" s="4"/>
      <c r="E18" s="4"/>
      <c r="F18" s="4"/>
      <c r="G18" s="4"/>
    </row>
    <row r="19" spans="2:7" ht="20.100000000000001" customHeight="1" x14ac:dyDescent="0.25">
      <c r="B19" s="15">
        <v>17</v>
      </c>
      <c r="C19" s="4"/>
      <c r="D19" s="4"/>
      <c r="E19" s="4"/>
      <c r="F19" s="4"/>
      <c r="G19" s="4"/>
    </row>
    <row r="20" spans="2:7" ht="20.100000000000001" customHeight="1" x14ac:dyDescent="0.25">
      <c r="B20" s="15">
        <v>18</v>
      </c>
      <c r="C20" s="4"/>
      <c r="D20" s="4"/>
      <c r="E20" s="4"/>
      <c r="F20" s="4"/>
      <c r="G20" s="4"/>
    </row>
    <row r="21" spans="2:7" ht="20.100000000000001" customHeight="1" x14ac:dyDescent="0.25">
      <c r="B21" s="15">
        <v>19</v>
      </c>
      <c r="C21" s="4"/>
      <c r="D21" s="4"/>
      <c r="E21" s="4"/>
      <c r="F21" s="4"/>
      <c r="G21" s="4"/>
    </row>
    <row r="22" spans="2:7" ht="20.100000000000001" customHeight="1" x14ac:dyDescent="0.25">
      <c r="B22" s="15">
        <v>20</v>
      </c>
      <c r="C22" s="4"/>
      <c r="D22" s="4"/>
      <c r="E22" s="4"/>
      <c r="F22" s="4"/>
      <c r="G22" s="4"/>
    </row>
    <row r="23" spans="2:7" x14ac:dyDescent="0.25">
      <c r="B23" s="56" t="s">
        <v>680</v>
      </c>
      <c r="C23" s="41"/>
      <c r="D23" s="41"/>
      <c r="E23" s="41"/>
      <c r="F23" s="41"/>
      <c r="G23" s="41"/>
    </row>
  </sheetData>
  <mergeCells count="2">
    <mergeCell ref="B23:G23"/>
    <mergeCell ref="B1:G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8C8D"/>
  </sheetPr>
  <dimension ref="B1:G26"/>
  <sheetViews>
    <sheetView showGridLines="0" workbookViewId="0">
      <pane xSplit="1" ySplit="2" topLeftCell="B3" activePane="bottomRight" state="frozen"/>
      <selection pane="topRight"/>
      <selection pane="bottomLeft"/>
      <selection pane="bottomRight"/>
    </sheetView>
  </sheetViews>
  <sheetFormatPr defaultRowHeight="15" x14ac:dyDescent="0.25"/>
  <cols>
    <col min="1" max="1" width="3" customWidth="1"/>
    <col min="2" max="2" width="24" customWidth="1"/>
    <col min="3" max="3" width="16" customWidth="1"/>
    <col min="4" max="4" width="20" customWidth="1"/>
    <col min="5" max="5" width="34" customWidth="1"/>
    <col min="6" max="7" width="14" customWidth="1"/>
    <col min="8" max="8" width="3" customWidth="1"/>
  </cols>
  <sheetData>
    <row r="1" spans="2:7" ht="26.1" customHeight="1" x14ac:dyDescent="0.25">
      <c r="B1" s="50" t="s">
        <v>681</v>
      </c>
      <c r="C1" s="41"/>
      <c r="D1" s="41"/>
      <c r="E1" s="41"/>
      <c r="F1" s="41"/>
      <c r="G1" s="41"/>
    </row>
    <row r="2" spans="2:7" x14ac:dyDescent="0.25">
      <c r="B2" s="49" t="s">
        <v>682</v>
      </c>
      <c r="C2" s="41"/>
      <c r="D2" s="41"/>
      <c r="E2" s="41"/>
      <c r="F2" s="41"/>
      <c r="G2" s="41"/>
    </row>
    <row r="3" spans="2:7" ht="25.5" x14ac:dyDescent="0.25">
      <c r="B3" s="5" t="s">
        <v>683</v>
      </c>
      <c r="C3" s="5" t="s">
        <v>684</v>
      </c>
      <c r="D3" s="5" t="s">
        <v>685</v>
      </c>
      <c r="E3" s="5" t="s">
        <v>686</v>
      </c>
      <c r="F3" s="5" t="s">
        <v>687</v>
      </c>
      <c r="G3" s="5" t="s">
        <v>688</v>
      </c>
    </row>
    <row r="4" spans="2:7" ht="30" customHeight="1" x14ac:dyDescent="0.25">
      <c r="B4" s="17" t="s">
        <v>689</v>
      </c>
      <c r="C4" s="17" t="s">
        <v>690</v>
      </c>
      <c r="D4" s="17" t="s">
        <v>691</v>
      </c>
      <c r="E4" s="17" t="s">
        <v>692</v>
      </c>
      <c r="F4" s="17" t="s">
        <v>693</v>
      </c>
      <c r="G4" s="17" t="s">
        <v>694</v>
      </c>
    </row>
    <row r="5" spans="2:7" ht="30" customHeight="1" x14ac:dyDescent="0.25">
      <c r="B5" s="17" t="s">
        <v>689</v>
      </c>
      <c r="C5" s="17" t="s">
        <v>695</v>
      </c>
      <c r="D5" s="17" t="s">
        <v>696</v>
      </c>
      <c r="E5" s="17" t="s">
        <v>697</v>
      </c>
      <c r="F5" s="17" t="s">
        <v>698</v>
      </c>
      <c r="G5" s="17" t="s">
        <v>694</v>
      </c>
    </row>
    <row r="6" spans="2:7" ht="30" customHeight="1" x14ac:dyDescent="0.25">
      <c r="B6" s="17" t="s">
        <v>689</v>
      </c>
      <c r="C6" s="17" t="s">
        <v>699</v>
      </c>
      <c r="D6" s="17" t="s">
        <v>700</v>
      </c>
      <c r="E6" s="17" t="s">
        <v>701</v>
      </c>
      <c r="F6" s="17" t="s">
        <v>702</v>
      </c>
      <c r="G6" s="17" t="s">
        <v>694</v>
      </c>
    </row>
    <row r="7" spans="2:7" ht="30" customHeight="1" x14ac:dyDescent="0.25">
      <c r="B7" s="17" t="s">
        <v>703</v>
      </c>
      <c r="C7" s="17" t="s">
        <v>704</v>
      </c>
      <c r="D7" s="17" t="s">
        <v>705</v>
      </c>
      <c r="E7" s="17" t="s">
        <v>706</v>
      </c>
      <c r="F7" s="17" t="s">
        <v>707</v>
      </c>
      <c r="G7" s="17" t="s">
        <v>694</v>
      </c>
    </row>
    <row r="8" spans="2:7" ht="30" customHeight="1" x14ac:dyDescent="0.25">
      <c r="B8" s="17" t="s">
        <v>708</v>
      </c>
      <c r="C8" s="17" t="s">
        <v>704</v>
      </c>
      <c r="D8" s="17" t="s">
        <v>709</v>
      </c>
      <c r="E8" s="17" t="s">
        <v>710</v>
      </c>
      <c r="F8" s="17" t="s">
        <v>711</v>
      </c>
      <c r="G8" s="17" t="s">
        <v>694</v>
      </c>
    </row>
    <row r="9" spans="2:7" ht="30" customHeight="1" x14ac:dyDescent="0.25">
      <c r="B9" s="17" t="s">
        <v>689</v>
      </c>
      <c r="C9" s="17" t="s">
        <v>712</v>
      </c>
      <c r="D9" s="17" t="s">
        <v>713</v>
      </c>
      <c r="E9" s="17" t="s">
        <v>714</v>
      </c>
      <c r="F9" s="17" t="s">
        <v>698</v>
      </c>
      <c r="G9" s="17" t="s">
        <v>694</v>
      </c>
    </row>
    <row r="10" spans="2:7" ht="30" customHeight="1" x14ac:dyDescent="0.25">
      <c r="B10" s="17" t="s">
        <v>689</v>
      </c>
      <c r="C10" s="17" t="s">
        <v>715</v>
      </c>
      <c r="D10" s="17" t="s">
        <v>716</v>
      </c>
      <c r="E10" s="17" t="s">
        <v>717</v>
      </c>
      <c r="F10" s="17" t="s">
        <v>718</v>
      </c>
      <c r="G10" s="17" t="s">
        <v>694</v>
      </c>
    </row>
    <row r="11" spans="2:7" ht="30" customHeight="1" x14ac:dyDescent="0.25">
      <c r="B11" s="4"/>
      <c r="C11" s="16" t="s">
        <v>719</v>
      </c>
      <c r="D11" s="4"/>
      <c r="E11" s="4"/>
      <c r="F11" s="4"/>
      <c r="G11" s="4"/>
    </row>
    <row r="12" spans="2:7" ht="21.95" customHeight="1" x14ac:dyDescent="0.25">
      <c r="B12" s="4"/>
      <c r="C12" s="4"/>
      <c r="D12" s="4"/>
      <c r="E12" s="4"/>
      <c r="F12" s="4"/>
      <c r="G12" s="4"/>
    </row>
    <row r="13" spans="2:7" ht="21.95" customHeight="1" x14ac:dyDescent="0.25">
      <c r="B13" s="4"/>
      <c r="C13" s="4"/>
      <c r="D13" s="4"/>
      <c r="E13" s="4"/>
      <c r="F13" s="4"/>
      <c r="G13" s="4"/>
    </row>
    <row r="14" spans="2:7" ht="21.95" customHeight="1" x14ac:dyDescent="0.25">
      <c r="B14" s="4"/>
      <c r="C14" s="4"/>
      <c r="D14" s="4"/>
      <c r="E14" s="4"/>
      <c r="F14" s="4"/>
      <c r="G14" s="4"/>
    </row>
    <row r="15" spans="2:7" ht="21.95" customHeight="1" x14ac:dyDescent="0.25">
      <c r="B15" s="4"/>
      <c r="C15" s="4"/>
      <c r="D15" s="4"/>
      <c r="E15" s="4"/>
      <c r="F15" s="4"/>
      <c r="G15" s="4"/>
    </row>
    <row r="16" spans="2:7" ht="21.95" customHeight="1" x14ac:dyDescent="0.25">
      <c r="B16" s="4"/>
      <c r="C16" s="4"/>
      <c r="D16" s="4"/>
      <c r="E16" s="4"/>
      <c r="F16" s="4"/>
      <c r="G16" s="4"/>
    </row>
    <row r="17" spans="2:7" ht="21.95" customHeight="1" x14ac:dyDescent="0.25">
      <c r="B17" s="4"/>
      <c r="C17" s="4"/>
      <c r="D17" s="4"/>
      <c r="E17" s="4"/>
      <c r="F17" s="4"/>
      <c r="G17" s="4"/>
    </row>
    <row r="18" spans="2:7" ht="21.95" customHeight="1" x14ac:dyDescent="0.25">
      <c r="B18" s="4"/>
      <c r="C18" s="4"/>
      <c r="D18" s="4"/>
      <c r="E18" s="4"/>
      <c r="F18" s="4"/>
      <c r="G18" s="4"/>
    </row>
    <row r="19" spans="2:7" ht="21.95" customHeight="1" x14ac:dyDescent="0.25">
      <c r="B19" s="4"/>
      <c r="C19" s="4"/>
      <c r="D19" s="4"/>
      <c r="E19" s="4"/>
      <c r="F19" s="4"/>
      <c r="G19" s="4"/>
    </row>
    <row r="20" spans="2:7" ht="21.95" customHeight="1" x14ac:dyDescent="0.25">
      <c r="B20" s="4"/>
      <c r="C20" s="4"/>
      <c r="D20" s="4"/>
      <c r="E20" s="4"/>
      <c r="F20" s="4"/>
      <c r="G20" s="4"/>
    </row>
    <row r="21" spans="2:7" ht="21.95" customHeight="1" x14ac:dyDescent="0.25">
      <c r="B21" s="4"/>
      <c r="C21" s="4"/>
      <c r="D21" s="4"/>
      <c r="E21" s="4"/>
      <c r="F21" s="4"/>
      <c r="G21" s="4"/>
    </row>
    <row r="24" spans="2:7" ht="21.95" customHeight="1" x14ac:dyDescent="0.25">
      <c r="B24" s="42" t="s">
        <v>720</v>
      </c>
      <c r="C24" s="41"/>
      <c r="D24" s="41"/>
      <c r="E24" s="41"/>
      <c r="F24" s="41"/>
      <c r="G24" s="41"/>
    </row>
    <row r="25" spans="2:7" ht="21.95" customHeight="1" x14ac:dyDescent="0.25">
      <c r="B25" s="1" t="s">
        <v>721</v>
      </c>
      <c r="C25" s="57">
        <f>'01_PROJECT_ID'!C10</f>
        <v>0</v>
      </c>
      <c r="D25" s="46"/>
      <c r="E25" s="46"/>
      <c r="F25" s="46"/>
      <c r="G25" s="47"/>
    </row>
    <row r="26" spans="2:7" ht="21.95" customHeight="1" x14ac:dyDescent="0.25">
      <c r="B26" s="1" t="s">
        <v>722</v>
      </c>
      <c r="C26" s="25">
        <f>COUNTIF(B4:B21,C25)</f>
        <v>0</v>
      </c>
      <c r="D26" s="3" t="s">
        <v>723</v>
      </c>
    </row>
  </sheetData>
  <mergeCells count="4">
    <mergeCell ref="B24:G24"/>
    <mergeCell ref="B2:G2"/>
    <mergeCell ref="C25:G25"/>
    <mergeCell ref="B1:G1"/>
  </mergeCell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1" id="{00000000-000E-0000-0E00-000001000000}">
            <xm:f>$B4='01_PROJECT_ID'!$C$10</xm:f>
            <x14:dxf>
              <font>
                <b/>
                <sz val="10"/>
                <color rgb="FF196B23"/>
                <name val="Arial"/>
              </font>
              <fill>
                <patternFill patternType="solid">
                  <fgColor rgb="FFE8F5E9"/>
                </patternFill>
              </fill>
            </x14:dxf>
          </x14:cfRule>
          <xm:sqref>B4:G21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C3E50"/>
  </sheetPr>
  <dimension ref="B1:D187"/>
  <sheetViews>
    <sheetView showGridLines="0" workbookViewId="0">
      <pane xSplit="1" ySplit="2" topLeftCell="B158" activePane="bottomRight" state="frozen"/>
      <selection pane="topRight"/>
      <selection pane="bottomLeft"/>
      <selection pane="bottomRight"/>
    </sheetView>
  </sheetViews>
  <sheetFormatPr defaultRowHeight="15" x14ac:dyDescent="0.25"/>
  <cols>
    <col min="1" max="1" width="3" customWidth="1"/>
    <col min="2" max="2" width="46" customWidth="1"/>
    <col min="3" max="3" width="14" customWidth="1"/>
    <col min="4" max="4" width="22" customWidth="1"/>
    <col min="5" max="5" width="3" customWidth="1"/>
  </cols>
  <sheetData>
    <row r="1" spans="2:4" ht="26.1" customHeight="1" x14ac:dyDescent="0.25">
      <c r="B1" s="58" t="s">
        <v>724</v>
      </c>
      <c r="C1" s="41"/>
      <c r="D1" s="41"/>
    </row>
    <row r="2" spans="2:4" x14ac:dyDescent="0.25">
      <c r="B2" s="49" t="s">
        <v>725</v>
      </c>
      <c r="C2" s="41"/>
      <c r="D2" s="41"/>
    </row>
    <row r="3" spans="2:4" ht="24" x14ac:dyDescent="0.25">
      <c r="B3" s="1" t="s">
        <v>726</v>
      </c>
      <c r="C3" s="4" t="s">
        <v>109</v>
      </c>
      <c r="D3" s="3" t="s">
        <v>727</v>
      </c>
    </row>
    <row r="5" spans="2:4" x14ac:dyDescent="0.25">
      <c r="B5" s="61" t="s">
        <v>728</v>
      </c>
      <c r="C5" s="41"/>
      <c r="D5" s="41"/>
    </row>
    <row r="6" spans="2:4" x14ac:dyDescent="0.25">
      <c r="B6" s="18" t="s">
        <v>729</v>
      </c>
      <c r="C6" s="18" t="s">
        <v>678</v>
      </c>
      <c r="D6" s="18" t="s">
        <v>730</v>
      </c>
    </row>
    <row r="7" spans="2:4" ht="20.100000000000001" customHeight="1" x14ac:dyDescent="0.25">
      <c r="B7" s="60" t="s">
        <v>731</v>
      </c>
      <c r="C7" s="41"/>
      <c r="D7" s="41"/>
    </row>
    <row r="8" spans="2:4" ht="30" customHeight="1" x14ac:dyDescent="0.25">
      <c r="B8" s="19" t="s">
        <v>732</v>
      </c>
      <c r="C8" s="20"/>
      <c r="D8" s="3" t="s">
        <v>733</v>
      </c>
    </row>
    <row r="9" spans="2:4" ht="30" customHeight="1" x14ac:dyDescent="0.25">
      <c r="B9" s="19" t="s">
        <v>734</v>
      </c>
      <c r="C9" s="20"/>
      <c r="D9" s="3" t="s">
        <v>735</v>
      </c>
    </row>
    <row r="10" spans="2:4" ht="30" customHeight="1" x14ac:dyDescent="0.25">
      <c r="B10" s="19" t="s">
        <v>736</v>
      </c>
      <c r="C10" s="20"/>
      <c r="D10" s="3" t="s">
        <v>733</v>
      </c>
    </row>
    <row r="11" spans="2:4" ht="30" customHeight="1" x14ac:dyDescent="0.25">
      <c r="B11" s="19" t="s">
        <v>737</v>
      </c>
      <c r="C11" s="20"/>
      <c r="D11" s="3" t="s">
        <v>733</v>
      </c>
    </row>
    <row r="12" spans="2:4" ht="30" customHeight="1" x14ac:dyDescent="0.25">
      <c r="B12" s="19" t="s">
        <v>738</v>
      </c>
      <c r="C12" s="20"/>
      <c r="D12" s="3" t="s">
        <v>739</v>
      </c>
    </row>
    <row r="13" spans="2:4" ht="30" customHeight="1" x14ac:dyDescent="0.25">
      <c r="B13" s="19" t="s">
        <v>740</v>
      </c>
      <c r="C13" s="20"/>
      <c r="D13" s="3" t="s">
        <v>741</v>
      </c>
    </row>
    <row r="14" spans="2:4" ht="30" customHeight="1" x14ac:dyDescent="0.25">
      <c r="B14" s="19" t="s">
        <v>742</v>
      </c>
      <c r="C14" s="20"/>
      <c r="D14" s="3" t="s">
        <v>743</v>
      </c>
    </row>
    <row r="15" spans="2:4" ht="30" customHeight="1" x14ac:dyDescent="0.25">
      <c r="B15" s="19" t="s">
        <v>744</v>
      </c>
      <c r="C15" s="20"/>
      <c r="D15" s="3" t="s">
        <v>745</v>
      </c>
    </row>
    <row r="16" spans="2:4" ht="30" customHeight="1" x14ac:dyDescent="0.25">
      <c r="B16" s="19" t="s">
        <v>746</v>
      </c>
      <c r="C16" s="20"/>
      <c r="D16" s="3" t="s">
        <v>747</v>
      </c>
    </row>
    <row r="17" spans="2:4" ht="30" customHeight="1" x14ac:dyDescent="0.25">
      <c r="B17" s="19" t="s">
        <v>748</v>
      </c>
      <c r="C17" s="20"/>
      <c r="D17" s="3" t="s">
        <v>749</v>
      </c>
    </row>
    <row r="18" spans="2:4" ht="30" customHeight="1" x14ac:dyDescent="0.25">
      <c r="B18" s="19" t="s">
        <v>750</v>
      </c>
      <c r="C18" s="20"/>
      <c r="D18" s="3" t="s">
        <v>751</v>
      </c>
    </row>
    <row r="19" spans="2:4" ht="30" customHeight="1" x14ac:dyDescent="0.25">
      <c r="B19" s="19" t="s">
        <v>752</v>
      </c>
      <c r="C19" s="20"/>
      <c r="D19" s="3" t="s">
        <v>753</v>
      </c>
    </row>
    <row r="20" spans="2:4" ht="30" customHeight="1" x14ac:dyDescent="0.25">
      <c r="B20" s="19" t="s">
        <v>754</v>
      </c>
      <c r="C20" s="20"/>
      <c r="D20" s="3" t="s">
        <v>755</v>
      </c>
    </row>
    <row r="21" spans="2:4" ht="20.100000000000001" customHeight="1" x14ac:dyDescent="0.25">
      <c r="B21" s="60" t="s">
        <v>756</v>
      </c>
      <c r="C21" s="41"/>
      <c r="D21" s="41"/>
    </row>
    <row r="22" spans="2:4" ht="30" customHeight="1" x14ac:dyDescent="0.25">
      <c r="B22" s="19" t="s">
        <v>757</v>
      </c>
      <c r="C22" s="20"/>
      <c r="D22" s="3" t="s">
        <v>758</v>
      </c>
    </row>
    <row r="23" spans="2:4" ht="30" customHeight="1" x14ac:dyDescent="0.25">
      <c r="B23" s="19" t="s">
        <v>759</v>
      </c>
      <c r="C23" s="20"/>
      <c r="D23" s="3" t="s">
        <v>758</v>
      </c>
    </row>
    <row r="24" spans="2:4" ht="30" customHeight="1" x14ac:dyDescent="0.25">
      <c r="B24" s="19" t="s">
        <v>760</v>
      </c>
      <c r="C24" s="20"/>
      <c r="D24" s="3" t="s">
        <v>761</v>
      </c>
    </row>
    <row r="25" spans="2:4" ht="30" customHeight="1" x14ac:dyDescent="0.25">
      <c r="B25" s="19" t="s">
        <v>762</v>
      </c>
      <c r="C25" s="20"/>
      <c r="D25" s="3" t="s">
        <v>761</v>
      </c>
    </row>
    <row r="26" spans="2:4" ht="30" customHeight="1" x14ac:dyDescent="0.25">
      <c r="B26" s="19" t="s">
        <v>763</v>
      </c>
      <c r="C26" s="20"/>
      <c r="D26" s="3" t="s">
        <v>747</v>
      </c>
    </row>
    <row r="27" spans="2:4" ht="30" customHeight="1" x14ac:dyDescent="0.25">
      <c r="B27" s="19" t="s">
        <v>764</v>
      </c>
      <c r="C27" s="20"/>
      <c r="D27" s="3" t="s">
        <v>747</v>
      </c>
    </row>
    <row r="28" spans="2:4" ht="30" customHeight="1" x14ac:dyDescent="0.25">
      <c r="B28" s="19" t="s">
        <v>765</v>
      </c>
      <c r="C28" s="20"/>
      <c r="D28" s="3" t="s">
        <v>766</v>
      </c>
    </row>
    <row r="29" spans="2:4" ht="30" customHeight="1" x14ac:dyDescent="0.25">
      <c r="B29" s="19" t="s">
        <v>767</v>
      </c>
      <c r="C29" s="20"/>
      <c r="D29" s="3" t="s">
        <v>768</v>
      </c>
    </row>
    <row r="30" spans="2:4" ht="30" customHeight="1" x14ac:dyDescent="0.25">
      <c r="B30" s="19" t="s">
        <v>769</v>
      </c>
      <c r="C30" s="20"/>
      <c r="D30" s="3" t="s">
        <v>770</v>
      </c>
    </row>
    <row r="31" spans="2:4" ht="30" customHeight="1" x14ac:dyDescent="0.25">
      <c r="B31" s="19" t="s">
        <v>771</v>
      </c>
      <c r="C31" s="20"/>
      <c r="D31" s="3" t="s">
        <v>772</v>
      </c>
    </row>
    <row r="32" spans="2:4" ht="30" customHeight="1" x14ac:dyDescent="0.25">
      <c r="B32" s="19" t="s">
        <v>773</v>
      </c>
      <c r="C32" s="20"/>
      <c r="D32" s="3" t="s">
        <v>774</v>
      </c>
    </row>
    <row r="33" spans="2:4" ht="30" customHeight="1" x14ac:dyDescent="0.25">
      <c r="B33" s="19" t="s">
        <v>775</v>
      </c>
      <c r="C33" s="20"/>
    </row>
    <row r="34" spans="2:4" ht="30" customHeight="1" x14ac:dyDescent="0.25">
      <c r="B34" s="19" t="s">
        <v>776</v>
      </c>
      <c r="C34" s="20"/>
      <c r="D34" s="3" t="s">
        <v>777</v>
      </c>
    </row>
    <row r="35" spans="2:4" ht="20.100000000000001" customHeight="1" x14ac:dyDescent="0.25">
      <c r="B35" s="60" t="s">
        <v>778</v>
      </c>
      <c r="C35" s="41"/>
      <c r="D35" s="41"/>
    </row>
    <row r="36" spans="2:4" ht="30" customHeight="1" x14ac:dyDescent="0.25">
      <c r="B36" s="19" t="s">
        <v>779</v>
      </c>
      <c r="C36" s="20"/>
      <c r="D36" s="3" t="s">
        <v>733</v>
      </c>
    </row>
    <row r="37" spans="2:4" ht="30" customHeight="1" x14ac:dyDescent="0.25">
      <c r="B37" s="19" t="s">
        <v>780</v>
      </c>
      <c r="C37" s="20"/>
      <c r="D37" s="3" t="s">
        <v>745</v>
      </c>
    </row>
    <row r="38" spans="2:4" ht="30" customHeight="1" x14ac:dyDescent="0.25">
      <c r="B38" s="19" t="s">
        <v>781</v>
      </c>
      <c r="C38" s="20"/>
      <c r="D38" s="3" t="s">
        <v>782</v>
      </c>
    </row>
    <row r="39" spans="2:4" ht="30" customHeight="1" x14ac:dyDescent="0.25">
      <c r="B39" s="19" t="s">
        <v>783</v>
      </c>
      <c r="C39" s="20"/>
      <c r="D39" s="3" t="s">
        <v>784</v>
      </c>
    </row>
    <row r="40" spans="2:4" ht="30" customHeight="1" x14ac:dyDescent="0.25">
      <c r="B40" s="19" t="s">
        <v>785</v>
      </c>
      <c r="C40" s="20"/>
      <c r="D40" s="3" t="s">
        <v>786</v>
      </c>
    </row>
    <row r="41" spans="2:4" ht="30" customHeight="1" x14ac:dyDescent="0.25">
      <c r="B41" s="19" t="s">
        <v>787</v>
      </c>
      <c r="C41" s="20"/>
      <c r="D41" s="3" t="s">
        <v>788</v>
      </c>
    </row>
    <row r="42" spans="2:4" ht="30" customHeight="1" x14ac:dyDescent="0.25">
      <c r="B42" s="19" t="s">
        <v>789</v>
      </c>
      <c r="C42" s="20"/>
      <c r="D42" s="3" t="s">
        <v>790</v>
      </c>
    </row>
    <row r="43" spans="2:4" ht="30" customHeight="1" x14ac:dyDescent="0.25">
      <c r="B43" s="19" t="s">
        <v>791</v>
      </c>
      <c r="C43" s="20"/>
      <c r="D43" s="3" t="s">
        <v>792</v>
      </c>
    </row>
    <row r="44" spans="2:4" ht="30" customHeight="1" x14ac:dyDescent="0.25">
      <c r="B44" s="19" t="s">
        <v>793</v>
      </c>
      <c r="C44" s="20"/>
      <c r="D44" s="3" t="s">
        <v>794</v>
      </c>
    </row>
    <row r="45" spans="2:4" ht="30" customHeight="1" x14ac:dyDescent="0.25">
      <c r="B45" s="19" t="s">
        <v>795</v>
      </c>
      <c r="C45" s="20"/>
      <c r="D45" s="3" t="s">
        <v>796</v>
      </c>
    </row>
    <row r="46" spans="2:4" ht="30" customHeight="1" x14ac:dyDescent="0.25">
      <c r="B46" s="19" t="s">
        <v>797</v>
      </c>
      <c r="C46" s="20"/>
      <c r="D46" s="3" t="s">
        <v>798</v>
      </c>
    </row>
    <row r="47" spans="2:4" ht="30" customHeight="1" x14ac:dyDescent="0.25">
      <c r="B47" s="19" t="s">
        <v>799</v>
      </c>
      <c r="C47" s="20"/>
      <c r="D47" s="3" t="s">
        <v>800</v>
      </c>
    </row>
    <row r="48" spans="2:4" ht="30" customHeight="1" x14ac:dyDescent="0.25">
      <c r="B48" s="19" t="s">
        <v>801</v>
      </c>
      <c r="C48" s="20"/>
      <c r="D48" s="3" t="s">
        <v>747</v>
      </c>
    </row>
    <row r="49" spans="2:4" ht="30" customHeight="1" x14ac:dyDescent="0.25">
      <c r="B49" s="19" t="s">
        <v>802</v>
      </c>
      <c r="C49" s="20"/>
      <c r="D49" s="3" t="s">
        <v>733</v>
      </c>
    </row>
    <row r="50" spans="2:4" ht="30" customHeight="1" x14ac:dyDescent="0.25">
      <c r="B50" s="19" t="s">
        <v>803</v>
      </c>
      <c r="C50" s="20"/>
      <c r="D50" s="3" t="s">
        <v>804</v>
      </c>
    </row>
    <row r="51" spans="2:4" ht="30" customHeight="1" x14ac:dyDescent="0.25">
      <c r="B51" s="19" t="s">
        <v>805</v>
      </c>
      <c r="C51" s="20"/>
      <c r="D51" s="3" t="s">
        <v>806</v>
      </c>
    </row>
    <row r="52" spans="2:4" ht="30" customHeight="1" x14ac:dyDescent="0.25">
      <c r="B52" s="19" t="s">
        <v>807</v>
      </c>
      <c r="C52" s="20"/>
      <c r="D52" s="3" t="s">
        <v>808</v>
      </c>
    </row>
    <row r="53" spans="2:4" ht="30" customHeight="1" x14ac:dyDescent="0.25">
      <c r="B53" s="19" t="s">
        <v>809</v>
      </c>
      <c r="C53" s="20"/>
      <c r="D53" s="3" t="s">
        <v>810</v>
      </c>
    </row>
    <row r="54" spans="2:4" ht="30" customHeight="1" x14ac:dyDescent="0.25">
      <c r="B54" s="19" t="s">
        <v>811</v>
      </c>
      <c r="C54" s="20"/>
      <c r="D54" s="3" t="s">
        <v>812</v>
      </c>
    </row>
    <row r="55" spans="2:4" ht="30" customHeight="1" x14ac:dyDescent="0.25">
      <c r="B55" s="19" t="s">
        <v>813</v>
      </c>
      <c r="C55" s="20"/>
      <c r="D55" s="3" t="s">
        <v>814</v>
      </c>
    </row>
    <row r="56" spans="2:4" ht="20.100000000000001" customHeight="1" x14ac:dyDescent="0.25">
      <c r="B56" s="60" t="s">
        <v>815</v>
      </c>
      <c r="C56" s="41"/>
      <c r="D56" s="41"/>
    </row>
    <row r="57" spans="2:4" ht="30" customHeight="1" x14ac:dyDescent="0.25">
      <c r="B57" s="19" t="s">
        <v>816</v>
      </c>
      <c r="C57" s="20"/>
      <c r="D57" s="3" t="s">
        <v>733</v>
      </c>
    </row>
    <row r="58" spans="2:4" ht="30" customHeight="1" x14ac:dyDescent="0.25">
      <c r="B58" s="19" t="s">
        <v>817</v>
      </c>
      <c r="C58" s="20"/>
      <c r="D58" s="3" t="s">
        <v>818</v>
      </c>
    </row>
    <row r="59" spans="2:4" ht="30" customHeight="1" x14ac:dyDescent="0.25">
      <c r="B59" s="19" t="s">
        <v>819</v>
      </c>
      <c r="C59" s="20"/>
      <c r="D59" s="3" t="s">
        <v>820</v>
      </c>
    </row>
    <row r="60" spans="2:4" ht="30" customHeight="1" x14ac:dyDescent="0.25">
      <c r="B60" s="19" t="s">
        <v>821</v>
      </c>
      <c r="C60" s="20"/>
      <c r="D60" s="3" t="s">
        <v>822</v>
      </c>
    </row>
    <row r="61" spans="2:4" ht="30" customHeight="1" x14ac:dyDescent="0.25">
      <c r="B61" s="19" t="s">
        <v>823</v>
      </c>
      <c r="C61" s="20"/>
      <c r="D61" s="3" t="s">
        <v>824</v>
      </c>
    </row>
    <row r="62" spans="2:4" ht="30" customHeight="1" x14ac:dyDescent="0.25">
      <c r="B62" s="19" t="s">
        <v>825</v>
      </c>
      <c r="C62" s="20"/>
      <c r="D62" s="3" t="s">
        <v>826</v>
      </c>
    </row>
    <row r="63" spans="2:4" ht="30" customHeight="1" x14ac:dyDescent="0.25">
      <c r="B63" s="19" t="s">
        <v>827</v>
      </c>
      <c r="C63" s="20"/>
      <c r="D63" s="3" t="s">
        <v>828</v>
      </c>
    </row>
    <row r="64" spans="2:4" ht="20.100000000000001" customHeight="1" x14ac:dyDescent="0.25">
      <c r="B64" s="60" t="s">
        <v>829</v>
      </c>
      <c r="C64" s="41"/>
      <c r="D64" s="41"/>
    </row>
    <row r="65" spans="2:4" ht="30" customHeight="1" x14ac:dyDescent="0.25">
      <c r="B65" s="19" t="s">
        <v>830</v>
      </c>
      <c r="C65" s="20"/>
      <c r="D65" s="3" t="s">
        <v>733</v>
      </c>
    </row>
    <row r="66" spans="2:4" ht="30" customHeight="1" x14ac:dyDescent="0.25">
      <c r="B66" s="19" t="s">
        <v>831</v>
      </c>
      <c r="C66" s="20"/>
      <c r="D66" s="3" t="s">
        <v>733</v>
      </c>
    </row>
    <row r="67" spans="2:4" ht="30" customHeight="1" x14ac:dyDescent="0.25">
      <c r="B67" s="19" t="s">
        <v>832</v>
      </c>
      <c r="C67" s="20"/>
      <c r="D67" s="3" t="s">
        <v>833</v>
      </c>
    </row>
    <row r="68" spans="2:4" ht="30" customHeight="1" x14ac:dyDescent="0.25">
      <c r="B68" s="19" t="s">
        <v>834</v>
      </c>
      <c r="C68" s="20"/>
      <c r="D68" s="3" t="s">
        <v>835</v>
      </c>
    </row>
    <row r="69" spans="2:4" ht="30" customHeight="1" x14ac:dyDescent="0.25">
      <c r="B69" s="19" t="s">
        <v>836</v>
      </c>
      <c r="C69" s="20"/>
      <c r="D69" s="3" t="s">
        <v>837</v>
      </c>
    </row>
    <row r="70" spans="2:4" ht="30" customHeight="1" x14ac:dyDescent="0.25">
      <c r="B70" s="19" t="s">
        <v>838</v>
      </c>
      <c r="C70" s="20"/>
      <c r="D70" s="3" t="s">
        <v>733</v>
      </c>
    </row>
    <row r="71" spans="2:4" ht="30" customHeight="1" x14ac:dyDescent="0.25">
      <c r="B71" s="19" t="s">
        <v>839</v>
      </c>
      <c r="C71" s="20"/>
      <c r="D71" s="3" t="s">
        <v>840</v>
      </c>
    </row>
    <row r="72" spans="2:4" ht="30" customHeight="1" x14ac:dyDescent="0.25">
      <c r="B72" s="19" t="s">
        <v>841</v>
      </c>
      <c r="C72" s="20"/>
      <c r="D72" s="3" t="s">
        <v>842</v>
      </c>
    </row>
    <row r="73" spans="2:4" ht="30" customHeight="1" x14ac:dyDescent="0.25">
      <c r="B73" s="19" t="s">
        <v>843</v>
      </c>
      <c r="C73" s="20"/>
      <c r="D73" s="3" t="s">
        <v>844</v>
      </c>
    </row>
    <row r="74" spans="2:4" ht="30" customHeight="1" x14ac:dyDescent="0.25">
      <c r="B74" s="19" t="s">
        <v>845</v>
      </c>
      <c r="C74" s="20"/>
      <c r="D74" s="3" t="s">
        <v>846</v>
      </c>
    </row>
    <row r="75" spans="2:4" ht="30" customHeight="1" x14ac:dyDescent="0.25">
      <c r="B75" s="19" t="s">
        <v>847</v>
      </c>
      <c r="C75" s="20"/>
      <c r="D75" s="3" t="s">
        <v>848</v>
      </c>
    </row>
    <row r="76" spans="2:4" ht="30" customHeight="1" x14ac:dyDescent="0.25">
      <c r="B76" s="19" t="s">
        <v>849</v>
      </c>
      <c r="C76" s="20"/>
      <c r="D76" s="3" t="s">
        <v>850</v>
      </c>
    </row>
    <row r="77" spans="2:4" ht="20.100000000000001" customHeight="1" x14ac:dyDescent="0.25">
      <c r="B77" s="60" t="s">
        <v>851</v>
      </c>
      <c r="C77" s="41"/>
      <c r="D77" s="41"/>
    </row>
    <row r="78" spans="2:4" ht="30" customHeight="1" x14ac:dyDescent="0.25">
      <c r="B78" s="19" t="s">
        <v>852</v>
      </c>
      <c r="C78" s="20"/>
      <c r="D78" s="3" t="s">
        <v>853</v>
      </c>
    </row>
    <row r="79" spans="2:4" ht="30" customHeight="1" x14ac:dyDescent="0.25">
      <c r="B79" s="19" t="s">
        <v>854</v>
      </c>
      <c r="C79" s="20"/>
      <c r="D79" s="3" t="s">
        <v>855</v>
      </c>
    </row>
    <row r="80" spans="2:4" ht="30" customHeight="1" x14ac:dyDescent="0.25">
      <c r="B80" s="19" t="s">
        <v>856</v>
      </c>
      <c r="C80" s="20"/>
      <c r="D80" s="3" t="s">
        <v>857</v>
      </c>
    </row>
    <row r="81" spans="2:4" ht="30" customHeight="1" x14ac:dyDescent="0.25">
      <c r="B81" s="19" t="s">
        <v>858</v>
      </c>
      <c r="C81" s="20"/>
      <c r="D81" s="3" t="s">
        <v>859</v>
      </c>
    </row>
    <row r="82" spans="2:4" ht="30" customHeight="1" x14ac:dyDescent="0.25">
      <c r="B82" s="19" t="s">
        <v>860</v>
      </c>
      <c r="C82" s="20"/>
      <c r="D82" s="3" t="s">
        <v>859</v>
      </c>
    </row>
    <row r="83" spans="2:4" ht="30" customHeight="1" x14ac:dyDescent="0.25">
      <c r="B83" s="19" t="s">
        <v>861</v>
      </c>
      <c r="C83" s="20"/>
      <c r="D83" s="3" t="s">
        <v>862</v>
      </c>
    </row>
    <row r="84" spans="2:4" ht="30" customHeight="1" x14ac:dyDescent="0.25">
      <c r="B84" s="19" t="s">
        <v>863</v>
      </c>
      <c r="C84" s="20"/>
      <c r="D84" s="3" t="s">
        <v>859</v>
      </c>
    </row>
    <row r="85" spans="2:4" ht="30" customHeight="1" x14ac:dyDescent="0.25">
      <c r="B85" s="19" t="s">
        <v>864</v>
      </c>
      <c r="C85" s="20"/>
      <c r="D85" s="3" t="s">
        <v>859</v>
      </c>
    </row>
    <row r="86" spans="2:4" ht="30" customHeight="1" x14ac:dyDescent="0.25">
      <c r="B86" s="19" t="s">
        <v>865</v>
      </c>
      <c r="C86" s="20"/>
      <c r="D86" s="3" t="s">
        <v>859</v>
      </c>
    </row>
    <row r="87" spans="2:4" ht="30" customHeight="1" x14ac:dyDescent="0.25">
      <c r="B87" s="19" t="s">
        <v>866</v>
      </c>
      <c r="C87" s="20"/>
      <c r="D87" s="3" t="s">
        <v>867</v>
      </c>
    </row>
    <row r="88" spans="2:4" ht="30" customHeight="1" x14ac:dyDescent="0.25">
      <c r="B88" s="19" t="s">
        <v>868</v>
      </c>
      <c r="C88" s="20"/>
      <c r="D88" s="3" t="s">
        <v>869</v>
      </c>
    </row>
    <row r="89" spans="2:4" ht="20.100000000000001" customHeight="1" x14ac:dyDescent="0.25">
      <c r="B89" s="60" t="s">
        <v>870</v>
      </c>
      <c r="C89" s="41"/>
      <c r="D89" s="41"/>
    </row>
    <row r="90" spans="2:4" ht="30" customHeight="1" x14ac:dyDescent="0.25">
      <c r="B90" s="19" t="s">
        <v>871</v>
      </c>
      <c r="C90" s="20"/>
      <c r="D90" s="3" t="s">
        <v>872</v>
      </c>
    </row>
    <row r="91" spans="2:4" ht="30" customHeight="1" x14ac:dyDescent="0.25">
      <c r="B91" s="19" t="s">
        <v>873</v>
      </c>
      <c r="C91" s="20"/>
      <c r="D91" s="3" t="s">
        <v>872</v>
      </c>
    </row>
    <row r="92" spans="2:4" ht="30" customHeight="1" x14ac:dyDescent="0.25">
      <c r="B92" s="19" t="s">
        <v>874</v>
      </c>
      <c r="C92" s="20"/>
      <c r="D92" s="3" t="s">
        <v>875</v>
      </c>
    </row>
    <row r="93" spans="2:4" ht="30" customHeight="1" x14ac:dyDescent="0.25">
      <c r="B93" s="19" t="s">
        <v>876</v>
      </c>
      <c r="C93" s="20"/>
      <c r="D93" s="3" t="s">
        <v>877</v>
      </c>
    </row>
    <row r="94" spans="2:4" ht="30" customHeight="1" x14ac:dyDescent="0.25">
      <c r="B94" s="19" t="s">
        <v>878</v>
      </c>
      <c r="C94" s="20"/>
      <c r="D94" s="3" t="s">
        <v>879</v>
      </c>
    </row>
    <row r="95" spans="2:4" ht="30" customHeight="1" x14ac:dyDescent="0.25">
      <c r="B95" s="19" t="s">
        <v>880</v>
      </c>
      <c r="C95" s="20"/>
      <c r="D95" s="3" t="s">
        <v>881</v>
      </c>
    </row>
    <row r="96" spans="2:4" ht="30" customHeight="1" x14ac:dyDescent="0.25">
      <c r="B96" s="19" t="s">
        <v>882</v>
      </c>
      <c r="C96" s="20"/>
      <c r="D96" s="3" t="s">
        <v>883</v>
      </c>
    </row>
    <row r="97" spans="2:4" ht="30" customHeight="1" x14ac:dyDescent="0.25">
      <c r="B97" s="19" t="s">
        <v>884</v>
      </c>
      <c r="C97" s="20"/>
      <c r="D97" s="3" t="s">
        <v>885</v>
      </c>
    </row>
    <row r="98" spans="2:4" ht="30" customHeight="1" x14ac:dyDescent="0.25">
      <c r="B98" s="19" t="s">
        <v>886</v>
      </c>
      <c r="C98" s="20"/>
      <c r="D98" s="3" t="s">
        <v>887</v>
      </c>
    </row>
    <row r="99" spans="2:4" ht="30" customHeight="1" x14ac:dyDescent="0.25">
      <c r="B99" s="19" t="s">
        <v>888</v>
      </c>
      <c r="C99" s="20"/>
      <c r="D99" s="3" t="s">
        <v>814</v>
      </c>
    </row>
    <row r="100" spans="2:4" ht="30" customHeight="1" x14ac:dyDescent="0.25">
      <c r="B100" s="19" t="s">
        <v>889</v>
      </c>
      <c r="C100" s="20"/>
      <c r="D100" s="3" t="s">
        <v>890</v>
      </c>
    </row>
    <row r="101" spans="2:4" ht="30" customHeight="1" x14ac:dyDescent="0.25">
      <c r="B101" s="19" t="s">
        <v>891</v>
      </c>
      <c r="C101" s="20"/>
      <c r="D101" s="3" t="s">
        <v>892</v>
      </c>
    </row>
    <row r="102" spans="2:4" ht="30" customHeight="1" x14ac:dyDescent="0.25">
      <c r="B102" s="19" t="s">
        <v>893</v>
      </c>
      <c r="C102" s="20"/>
      <c r="D102" s="3" t="s">
        <v>749</v>
      </c>
    </row>
    <row r="103" spans="2:4" ht="30" customHeight="1" x14ac:dyDescent="0.25">
      <c r="B103" s="19" t="s">
        <v>894</v>
      </c>
      <c r="C103" s="20"/>
      <c r="D103" s="3" t="s">
        <v>895</v>
      </c>
    </row>
    <row r="105" spans="2:4" ht="21.95" customHeight="1" x14ac:dyDescent="0.25">
      <c r="B105" s="52" t="s">
        <v>896</v>
      </c>
      <c r="C105" s="41"/>
      <c r="D105" s="41"/>
    </row>
    <row r="106" spans="2:4" ht="20.100000000000001" customHeight="1" x14ac:dyDescent="0.25">
      <c r="B106" s="59" t="s">
        <v>897</v>
      </c>
      <c r="C106" s="41"/>
      <c r="D106" s="41"/>
    </row>
    <row r="107" spans="2:4" ht="30" customHeight="1" x14ac:dyDescent="0.25">
      <c r="B107" s="19" t="s">
        <v>898</v>
      </c>
      <c r="C107" s="20"/>
      <c r="D107" s="3" t="s">
        <v>899</v>
      </c>
    </row>
    <row r="108" spans="2:4" ht="30" customHeight="1" x14ac:dyDescent="0.25">
      <c r="B108" s="19" t="s">
        <v>900</v>
      </c>
      <c r="C108" s="20"/>
      <c r="D108" s="3" t="s">
        <v>901</v>
      </c>
    </row>
    <row r="109" spans="2:4" ht="30" customHeight="1" x14ac:dyDescent="0.25">
      <c r="B109" s="19" t="s">
        <v>902</v>
      </c>
      <c r="C109" s="20"/>
    </row>
    <row r="110" spans="2:4" ht="30" customHeight="1" x14ac:dyDescent="0.25">
      <c r="B110" s="19" t="s">
        <v>903</v>
      </c>
      <c r="C110" s="20"/>
      <c r="D110" s="3" t="s">
        <v>755</v>
      </c>
    </row>
    <row r="111" spans="2:4" ht="30" customHeight="1" x14ac:dyDescent="0.25">
      <c r="B111" s="19" t="s">
        <v>904</v>
      </c>
      <c r="C111" s="20"/>
      <c r="D111" s="3" t="s">
        <v>901</v>
      </c>
    </row>
    <row r="112" spans="2:4" ht="20.100000000000001" customHeight="1" x14ac:dyDescent="0.25">
      <c r="B112" s="59" t="s">
        <v>905</v>
      </c>
      <c r="C112" s="41"/>
      <c r="D112" s="41"/>
    </row>
    <row r="113" spans="2:4" ht="30" customHeight="1" x14ac:dyDescent="0.25">
      <c r="B113" s="19" t="s">
        <v>906</v>
      </c>
      <c r="C113" s="20"/>
      <c r="D113" s="3" t="s">
        <v>907</v>
      </c>
    </row>
    <row r="114" spans="2:4" ht="30" customHeight="1" x14ac:dyDescent="0.25">
      <c r="B114" s="19" t="s">
        <v>908</v>
      </c>
      <c r="C114" s="20"/>
    </row>
    <row r="115" spans="2:4" ht="30" customHeight="1" x14ac:dyDescent="0.25">
      <c r="B115" s="19" t="s">
        <v>909</v>
      </c>
      <c r="C115" s="20"/>
      <c r="D115" s="3" t="s">
        <v>910</v>
      </c>
    </row>
    <row r="116" spans="2:4" ht="30" customHeight="1" x14ac:dyDescent="0.25">
      <c r="B116" s="19" t="s">
        <v>911</v>
      </c>
      <c r="C116" s="20"/>
    </row>
    <row r="117" spans="2:4" ht="30" customHeight="1" x14ac:dyDescent="0.25">
      <c r="B117" s="19" t="s">
        <v>912</v>
      </c>
      <c r="C117" s="20"/>
    </row>
    <row r="118" spans="2:4" ht="30" customHeight="1" x14ac:dyDescent="0.25">
      <c r="B118" s="19" t="s">
        <v>913</v>
      </c>
      <c r="C118" s="20"/>
    </row>
    <row r="119" spans="2:4" ht="30" customHeight="1" x14ac:dyDescent="0.25">
      <c r="B119" s="19" t="s">
        <v>914</v>
      </c>
      <c r="C119" s="20"/>
    </row>
    <row r="120" spans="2:4" ht="30" customHeight="1" x14ac:dyDescent="0.25">
      <c r="B120" s="19" t="s">
        <v>915</v>
      </c>
      <c r="C120" s="20"/>
    </row>
    <row r="121" spans="2:4" ht="30" customHeight="1" x14ac:dyDescent="0.25">
      <c r="B121" s="19" t="s">
        <v>916</v>
      </c>
      <c r="C121" s="20"/>
      <c r="D121" s="3" t="s">
        <v>917</v>
      </c>
    </row>
    <row r="122" spans="2:4" ht="20.100000000000001" customHeight="1" x14ac:dyDescent="0.25">
      <c r="B122" s="59" t="s">
        <v>918</v>
      </c>
      <c r="C122" s="41"/>
      <c r="D122" s="41"/>
    </row>
    <row r="123" spans="2:4" ht="30" customHeight="1" x14ac:dyDescent="0.25">
      <c r="B123" s="19" t="s">
        <v>919</v>
      </c>
      <c r="C123" s="20"/>
    </row>
    <row r="124" spans="2:4" ht="30" customHeight="1" x14ac:dyDescent="0.25">
      <c r="B124" s="19" t="s">
        <v>920</v>
      </c>
      <c r="C124" s="20"/>
    </row>
    <row r="125" spans="2:4" ht="30" customHeight="1" x14ac:dyDescent="0.25">
      <c r="B125" s="19" t="s">
        <v>921</v>
      </c>
      <c r="C125" s="20"/>
    </row>
    <row r="126" spans="2:4" ht="30" customHeight="1" x14ac:dyDescent="0.25">
      <c r="B126" s="19" t="s">
        <v>922</v>
      </c>
      <c r="C126" s="20"/>
    </row>
    <row r="127" spans="2:4" ht="30" customHeight="1" x14ac:dyDescent="0.25">
      <c r="B127" s="19" t="s">
        <v>923</v>
      </c>
      <c r="C127" s="20"/>
      <c r="D127" s="3" t="s">
        <v>924</v>
      </c>
    </row>
    <row r="128" spans="2:4" ht="30" customHeight="1" x14ac:dyDescent="0.25">
      <c r="B128" s="19" t="s">
        <v>925</v>
      </c>
      <c r="C128" s="20"/>
      <c r="D128" s="3" t="s">
        <v>926</v>
      </c>
    </row>
    <row r="129" spans="2:4" ht="30" customHeight="1" x14ac:dyDescent="0.25">
      <c r="B129" s="19" t="s">
        <v>927</v>
      </c>
      <c r="C129" s="20"/>
      <c r="D129" s="3" t="s">
        <v>928</v>
      </c>
    </row>
    <row r="130" spans="2:4" ht="30" customHeight="1" x14ac:dyDescent="0.25">
      <c r="B130" s="19" t="s">
        <v>929</v>
      </c>
      <c r="C130" s="20"/>
      <c r="D130" s="3" t="s">
        <v>930</v>
      </c>
    </row>
    <row r="131" spans="2:4" ht="20.100000000000001" customHeight="1" x14ac:dyDescent="0.25">
      <c r="B131" s="59" t="s">
        <v>931</v>
      </c>
      <c r="C131" s="41"/>
      <c r="D131" s="41"/>
    </row>
    <row r="132" spans="2:4" ht="30" customHeight="1" x14ac:dyDescent="0.25">
      <c r="B132" s="19" t="s">
        <v>932</v>
      </c>
      <c r="C132" s="20"/>
    </row>
    <row r="133" spans="2:4" ht="30" customHeight="1" x14ac:dyDescent="0.25">
      <c r="B133" s="19" t="s">
        <v>933</v>
      </c>
      <c r="C133" s="20"/>
    </row>
    <row r="134" spans="2:4" ht="30" customHeight="1" x14ac:dyDescent="0.25">
      <c r="B134" s="19" t="s">
        <v>934</v>
      </c>
      <c r="C134" s="20"/>
      <c r="D134" s="3" t="s">
        <v>935</v>
      </c>
    </row>
    <row r="135" spans="2:4" ht="30" customHeight="1" x14ac:dyDescent="0.25">
      <c r="B135" s="19" t="s">
        <v>936</v>
      </c>
      <c r="C135" s="20"/>
    </row>
    <row r="136" spans="2:4" ht="30" customHeight="1" x14ac:dyDescent="0.25">
      <c r="B136" s="19" t="s">
        <v>937</v>
      </c>
      <c r="C136" s="20"/>
      <c r="D136" s="3" t="s">
        <v>938</v>
      </c>
    </row>
    <row r="137" spans="2:4" ht="30" customHeight="1" x14ac:dyDescent="0.25">
      <c r="B137" s="19" t="s">
        <v>939</v>
      </c>
      <c r="C137" s="20"/>
      <c r="D137" s="3" t="s">
        <v>940</v>
      </c>
    </row>
    <row r="138" spans="2:4" ht="30" customHeight="1" x14ac:dyDescent="0.25">
      <c r="B138" s="19" t="s">
        <v>941</v>
      </c>
      <c r="C138" s="20"/>
      <c r="D138" s="3" t="s">
        <v>942</v>
      </c>
    </row>
    <row r="139" spans="2:4" ht="30" customHeight="1" x14ac:dyDescent="0.25">
      <c r="B139" s="19" t="s">
        <v>943</v>
      </c>
      <c r="C139" s="20"/>
      <c r="D139" s="3" t="s">
        <v>944</v>
      </c>
    </row>
    <row r="140" spans="2:4" ht="30" customHeight="1" x14ac:dyDescent="0.25">
      <c r="B140" s="19" t="s">
        <v>945</v>
      </c>
      <c r="C140" s="20"/>
      <c r="D140" s="3" t="s">
        <v>946</v>
      </c>
    </row>
    <row r="141" spans="2:4" ht="30" customHeight="1" x14ac:dyDescent="0.25">
      <c r="B141" s="19" t="s">
        <v>947</v>
      </c>
      <c r="C141" s="20"/>
    </row>
    <row r="142" spans="2:4" ht="30" customHeight="1" x14ac:dyDescent="0.25">
      <c r="B142" s="19" t="s">
        <v>948</v>
      </c>
      <c r="C142" s="20"/>
      <c r="D142" s="3" t="s">
        <v>949</v>
      </c>
    </row>
    <row r="143" spans="2:4" ht="30" customHeight="1" x14ac:dyDescent="0.25">
      <c r="B143" s="19" t="s">
        <v>950</v>
      </c>
      <c r="C143" s="20"/>
      <c r="D143" s="3" t="s">
        <v>814</v>
      </c>
    </row>
    <row r="144" spans="2:4" ht="30" customHeight="1" x14ac:dyDescent="0.25">
      <c r="B144" s="19" t="s">
        <v>951</v>
      </c>
      <c r="C144" s="20"/>
      <c r="D144" s="3" t="s">
        <v>890</v>
      </c>
    </row>
    <row r="145" spans="2:4" ht="20.100000000000001" customHeight="1" x14ac:dyDescent="0.25">
      <c r="B145" s="59" t="s">
        <v>952</v>
      </c>
      <c r="C145" s="41"/>
      <c r="D145" s="41"/>
    </row>
    <row r="146" spans="2:4" ht="30" customHeight="1" x14ac:dyDescent="0.25">
      <c r="B146" s="19" t="s">
        <v>953</v>
      </c>
      <c r="C146" s="20"/>
      <c r="D146" s="3" t="s">
        <v>954</v>
      </c>
    </row>
    <row r="147" spans="2:4" ht="30" customHeight="1" x14ac:dyDescent="0.25">
      <c r="B147" s="19" t="s">
        <v>955</v>
      </c>
      <c r="C147" s="20"/>
    </row>
    <row r="148" spans="2:4" ht="30" customHeight="1" x14ac:dyDescent="0.25">
      <c r="B148" s="19" t="s">
        <v>956</v>
      </c>
      <c r="C148" s="20"/>
      <c r="D148" s="3" t="s">
        <v>940</v>
      </c>
    </row>
    <row r="149" spans="2:4" ht="30" customHeight="1" x14ac:dyDescent="0.25">
      <c r="B149" s="19" t="s">
        <v>957</v>
      </c>
      <c r="C149" s="20"/>
    </row>
    <row r="150" spans="2:4" ht="30" customHeight="1" x14ac:dyDescent="0.25">
      <c r="B150" s="19" t="s">
        <v>958</v>
      </c>
      <c r="C150" s="20"/>
    </row>
    <row r="151" spans="2:4" ht="30" customHeight="1" x14ac:dyDescent="0.25">
      <c r="B151" s="19" t="s">
        <v>959</v>
      </c>
      <c r="C151" s="20"/>
      <c r="D151" s="3" t="s">
        <v>940</v>
      </c>
    </row>
    <row r="152" spans="2:4" ht="30" customHeight="1" x14ac:dyDescent="0.25">
      <c r="B152" s="19" t="s">
        <v>960</v>
      </c>
      <c r="C152" s="20"/>
      <c r="D152" s="3" t="s">
        <v>961</v>
      </c>
    </row>
    <row r="153" spans="2:4" ht="30" customHeight="1" x14ac:dyDescent="0.25">
      <c r="B153" s="19" t="s">
        <v>962</v>
      </c>
      <c r="C153" s="20"/>
      <c r="D153" s="3" t="s">
        <v>963</v>
      </c>
    </row>
    <row r="154" spans="2:4" ht="20.100000000000001" customHeight="1" x14ac:dyDescent="0.25">
      <c r="B154" s="59" t="s">
        <v>964</v>
      </c>
      <c r="C154" s="41"/>
      <c r="D154" s="41"/>
    </row>
    <row r="155" spans="2:4" ht="30" customHeight="1" x14ac:dyDescent="0.25">
      <c r="B155" s="19" t="s">
        <v>965</v>
      </c>
      <c r="C155" s="20"/>
    </row>
    <row r="156" spans="2:4" ht="30" customHeight="1" x14ac:dyDescent="0.25">
      <c r="B156" s="19" t="s">
        <v>966</v>
      </c>
      <c r="C156" s="20"/>
      <c r="D156" s="3" t="s">
        <v>967</v>
      </c>
    </row>
    <row r="157" spans="2:4" ht="30" customHeight="1" x14ac:dyDescent="0.25">
      <c r="B157" s="19" t="s">
        <v>968</v>
      </c>
      <c r="C157" s="20"/>
    </row>
    <row r="158" spans="2:4" ht="30" customHeight="1" x14ac:dyDescent="0.25">
      <c r="B158" s="19" t="s">
        <v>969</v>
      </c>
      <c r="C158" s="20"/>
      <c r="D158" s="3" t="s">
        <v>942</v>
      </c>
    </row>
    <row r="159" spans="2:4" ht="30" customHeight="1" x14ac:dyDescent="0.25">
      <c r="B159" s="19" t="s">
        <v>970</v>
      </c>
      <c r="C159" s="20"/>
    </row>
    <row r="160" spans="2:4" ht="20.100000000000001" customHeight="1" x14ac:dyDescent="0.25">
      <c r="B160" s="59" t="s">
        <v>971</v>
      </c>
      <c r="C160" s="41"/>
      <c r="D160" s="41"/>
    </row>
    <row r="161" spans="2:4" ht="30" customHeight="1" x14ac:dyDescent="0.25">
      <c r="B161" s="19" t="s">
        <v>972</v>
      </c>
      <c r="C161" s="20"/>
    </row>
    <row r="162" spans="2:4" ht="30" customHeight="1" x14ac:dyDescent="0.25">
      <c r="B162" s="19" t="s">
        <v>973</v>
      </c>
      <c r="C162" s="20"/>
      <c r="D162" s="3" t="s">
        <v>974</v>
      </c>
    </row>
    <row r="163" spans="2:4" ht="30" customHeight="1" x14ac:dyDescent="0.25">
      <c r="B163" s="19" t="s">
        <v>957</v>
      </c>
      <c r="C163" s="20"/>
    </row>
    <row r="164" spans="2:4" ht="30" customHeight="1" x14ac:dyDescent="0.25">
      <c r="B164" s="19" t="s">
        <v>975</v>
      </c>
      <c r="C164" s="20"/>
      <c r="D164" s="3" t="s">
        <v>974</v>
      </c>
    </row>
    <row r="165" spans="2:4" ht="30" customHeight="1" x14ac:dyDescent="0.25">
      <c r="B165" s="19" t="s">
        <v>976</v>
      </c>
      <c r="C165" s="20"/>
      <c r="D165" s="3" t="s">
        <v>977</v>
      </c>
    </row>
    <row r="166" spans="2:4" ht="30" customHeight="1" x14ac:dyDescent="0.25">
      <c r="B166" s="19" t="s">
        <v>978</v>
      </c>
      <c r="C166" s="20"/>
      <c r="D166" s="3" t="s">
        <v>977</v>
      </c>
    </row>
    <row r="167" spans="2:4" ht="30" customHeight="1" x14ac:dyDescent="0.25">
      <c r="B167" s="19" t="s">
        <v>979</v>
      </c>
      <c r="C167" s="20"/>
      <c r="D167" s="3" t="s">
        <v>980</v>
      </c>
    </row>
    <row r="168" spans="2:4" ht="30" customHeight="1" x14ac:dyDescent="0.25">
      <c r="B168" s="19" t="s">
        <v>981</v>
      </c>
      <c r="C168" s="20"/>
      <c r="D168" s="3" t="s">
        <v>982</v>
      </c>
    </row>
    <row r="169" spans="2:4" ht="30" customHeight="1" x14ac:dyDescent="0.25">
      <c r="B169" s="19" t="s">
        <v>983</v>
      </c>
      <c r="C169" s="20"/>
      <c r="D169" s="3" t="s">
        <v>984</v>
      </c>
    </row>
    <row r="170" spans="2:4" ht="20.100000000000001" customHeight="1" x14ac:dyDescent="0.25">
      <c r="B170" s="59" t="s">
        <v>985</v>
      </c>
      <c r="C170" s="41"/>
      <c r="D170" s="41"/>
    </row>
    <row r="171" spans="2:4" ht="30" customHeight="1" x14ac:dyDescent="0.25">
      <c r="B171" s="19" t="s">
        <v>986</v>
      </c>
      <c r="C171" s="20"/>
      <c r="D171" s="3" t="s">
        <v>987</v>
      </c>
    </row>
    <row r="172" spans="2:4" ht="30" customHeight="1" x14ac:dyDescent="0.25">
      <c r="B172" s="19" t="s">
        <v>988</v>
      </c>
      <c r="C172" s="20"/>
      <c r="D172" s="3" t="s">
        <v>989</v>
      </c>
    </row>
    <row r="173" spans="2:4" ht="30" customHeight="1" x14ac:dyDescent="0.25">
      <c r="B173" s="19" t="s">
        <v>990</v>
      </c>
      <c r="C173" s="20"/>
      <c r="D173" s="3" t="s">
        <v>977</v>
      </c>
    </row>
    <row r="174" spans="2:4" ht="30" customHeight="1" x14ac:dyDescent="0.25">
      <c r="B174" s="19" t="s">
        <v>991</v>
      </c>
      <c r="C174" s="20"/>
      <c r="D174" s="3" t="s">
        <v>977</v>
      </c>
    </row>
    <row r="175" spans="2:4" ht="30" customHeight="1" x14ac:dyDescent="0.25">
      <c r="B175" s="19" t="s">
        <v>992</v>
      </c>
      <c r="C175" s="20"/>
      <c r="D175" s="3" t="s">
        <v>993</v>
      </c>
    </row>
    <row r="176" spans="2:4" ht="30" customHeight="1" x14ac:dyDescent="0.25">
      <c r="B176" s="19" t="s">
        <v>994</v>
      </c>
      <c r="C176" s="20"/>
      <c r="D176" s="3" t="s">
        <v>995</v>
      </c>
    </row>
    <row r="177" spans="2:4" ht="30" customHeight="1" x14ac:dyDescent="0.25">
      <c r="B177" s="19" t="s">
        <v>996</v>
      </c>
      <c r="C177" s="20"/>
      <c r="D177" s="3" t="s">
        <v>997</v>
      </c>
    </row>
    <row r="178" spans="2:4" ht="30" customHeight="1" x14ac:dyDescent="0.25">
      <c r="B178" s="19" t="s">
        <v>998</v>
      </c>
      <c r="C178" s="20"/>
      <c r="D178" s="3" t="s">
        <v>999</v>
      </c>
    </row>
    <row r="179" spans="2:4" ht="20.100000000000001" customHeight="1" x14ac:dyDescent="0.25">
      <c r="B179" s="59" t="s">
        <v>1000</v>
      </c>
      <c r="C179" s="41"/>
      <c r="D179" s="41"/>
    </row>
    <row r="180" spans="2:4" ht="30" customHeight="1" x14ac:dyDescent="0.25">
      <c r="B180" s="19" t="s">
        <v>1001</v>
      </c>
      <c r="C180" s="20"/>
      <c r="D180" s="3" t="s">
        <v>1002</v>
      </c>
    </row>
    <row r="181" spans="2:4" ht="30" customHeight="1" x14ac:dyDescent="0.25">
      <c r="B181" s="19" t="s">
        <v>1003</v>
      </c>
      <c r="C181" s="20"/>
      <c r="D181" s="3" t="s">
        <v>1002</v>
      </c>
    </row>
    <row r="182" spans="2:4" ht="30" customHeight="1" x14ac:dyDescent="0.25">
      <c r="B182" s="19" t="s">
        <v>1004</v>
      </c>
      <c r="C182" s="20"/>
      <c r="D182" s="3" t="s">
        <v>1002</v>
      </c>
    </row>
    <row r="183" spans="2:4" ht="30" customHeight="1" x14ac:dyDescent="0.25">
      <c r="B183" s="19" t="s">
        <v>1005</v>
      </c>
      <c r="C183" s="20"/>
      <c r="D183" s="3" t="s">
        <v>1006</v>
      </c>
    </row>
    <row r="184" spans="2:4" ht="30" customHeight="1" x14ac:dyDescent="0.25">
      <c r="B184" s="19" t="s">
        <v>1007</v>
      </c>
      <c r="C184" s="20"/>
      <c r="D184" s="3" t="s">
        <v>1008</v>
      </c>
    </row>
    <row r="185" spans="2:4" ht="30" customHeight="1" x14ac:dyDescent="0.25">
      <c r="B185" s="19" t="s">
        <v>1009</v>
      </c>
      <c r="C185" s="20"/>
      <c r="D185" s="3" t="s">
        <v>1010</v>
      </c>
    </row>
    <row r="187" spans="2:4" x14ac:dyDescent="0.25">
      <c r="B187" s="49" t="s">
        <v>1011</v>
      </c>
      <c r="C187" s="41"/>
      <c r="D187" s="41"/>
    </row>
  </sheetData>
  <mergeCells count="21">
    <mergeCell ref="B187:D187"/>
    <mergeCell ref="B64:D64"/>
    <mergeCell ref="B89:D89"/>
    <mergeCell ref="B5:D5"/>
    <mergeCell ref="B154:D154"/>
    <mergeCell ref="B160:D160"/>
    <mergeCell ref="B35:D35"/>
    <mergeCell ref="B106:D106"/>
    <mergeCell ref="B7:D7"/>
    <mergeCell ref="B122:D122"/>
    <mergeCell ref="B131:D131"/>
    <mergeCell ref="B56:D56"/>
    <mergeCell ref="B21:D21"/>
    <mergeCell ref="B105:D105"/>
    <mergeCell ref="B77:D77"/>
    <mergeCell ref="B145:D145"/>
    <mergeCell ref="B1:D1"/>
    <mergeCell ref="B170:D170"/>
    <mergeCell ref="B179:D179"/>
    <mergeCell ref="B112:D112"/>
    <mergeCell ref="B2:D2"/>
  </mergeCells>
  <dataValidations count="1">
    <dataValidation type="list" allowBlank="1" sqref="C8 C9 C10 C11 C12 C13 C14 C15 C16 C17 C18 C19 C20 C22 C23 C24 C25 C26 C27 C28 C29 C30 C31 C32 C33 C34 C36 C37 C38 C39 C40 C41 C42 C43 C44 C45 C46 C47 C48 C49 C50 C51 C52 C53 C54 C55 C57 C58 C59 C60 C61 C62 C63 C65 C66 C67 C68 C69 C70 C71 C72 C73 C74 C75 C76 C78 C79 C80 C81 C82 C83 C84 C85 C86 C87 C88 C90 C91 C92 C93 C94 C95 C96 C97 C98 C99 C100 C101 C102 C103 C107 C108 C109 C110 C111 C113 C114 C115 C116 C117 C118 C119 C120 C121 C123 C124 C125 C126 C127 C128 C129 C130 C132 C133 C134 C135 C136 C137 C138 C139 C140 C141 C142 C143 C144 C146 C147 C148 C149 C150 C151 C152 C153 C155 C156 C157 C158 C159 C161 C162 C163 C164 C165 C166 C167 C168 C169 C171 C172 C173 C174 C175 C176 C177 C178 C180 C181 C182 C183 C184 C185" xr:uid="{00000000-0002-0000-0F00-000001000000}">
      <formula1>"Y,N,N/A"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promptTitle="Project Type" prompt="Determines which sections apply" xr:uid="{00000000-0002-0000-0F00-000000000000}">
          <x14:formula1>
            <xm:f>DATA_LISTS!$F$2:$F$13</xm:f>
          </x14:formula1>
          <xm:sqref>C3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6A1B9A"/>
  </sheetPr>
  <dimension ref="B1:J33"/>
  <sheetViews>
    <sheetView showGridLines="0" workbookViewId="0">
      <pane xSplit="1" ySplit="3" topLeftCell="B4" activePane="bottomRight" state="frozen"/>
      <selection pane="topRight"/>
      <selection pane="bottomLeft"/>
      <selection pane="bottomRight"/>
    </sheetView>
  </sheetViews>
  <sheetFormatPr defaultRowHeight="15" x14ac:dyDescent="0.25"/>
  <cols>
    <col min="1" max="1" width="3" customWidth="1"/>
    <col min="2" max="2" width="24" customWidth="1"/>
    <col min="3" max="9" width="16" customWidth="1"/>
    <col min="10" max="10" width="20" customWidth="1"/>
    <col min="11" max="11" width="3" customWidth="1"/>
  </cols>
  <sheetData>
    <row r="1" spans="2:10" ht="26.1" customHeight="1" x14ac:dyDescent="0.25">
      <c r="B1" s="64" t="s">
        <v>1012</v>
      </c>
      <c r="C1" s="41"/>
      <c r="D1" s="41"/>
      <c r="E1" s="41"/>
      <c r="F1" s="41"/>
      <c r="G1" s="41"/>
      <c r="H1" s="41"/>
      <c r="I1" s="41"/>
      <c r="J1" s="41"/>
    </row>
    <row r="2" spans="2:10" x14ac:dyDescent="0.25">
      <c r="B2" s="49" t="s">
        <v>1013</v>
      </c>
      <c r="C2" s="41"/>
      <c r="D2" s="41"/>
      <c r="E2" s="41"/>
      <c r="F2" s="41"/>
      <c r="G2" s="41"/>
      <c r="H2" s="41"/>
      <c r="I2" s="41"/>
      <c r="J2" s="41"/>
    </row>
    <row r="3" spans="2:10" ht="21.95" customHeight="1" x14ac:dyDescent="0.25">
      <c r="B3" s="62" t="s">
        <v>1014</v>
      </c>
      <c r="C3" s="41"/>
      <c r="D3" s="41"/>
      <c r="E3" s="41"/>
      <c r="F3" s="41"/>
      <c r="G3" s="41"/>
      <c r="H3" s="41"/>
      <c r="I3" s="41"/>
      <c r="J3" s="41"/>
    </row>
    <row r="4" spans="2:10" ht="25.5" x14ac:dyDescent="0.25">
      <c r="B4" s="1" t="s">
        <v>1015</v>
      </c>
      <c r="C4" s="4" t="s">
        <v>1016</v>
      </c>
      <c r="D4" s="1" t="s">
        <v>188</v>
      </c>
      <c r="E4" s="4" t="s">
        <v>1017</v>
      </c>
      <c r="F4" s="1" t="s">
        <v>1018</v>
      </c>
      <c r="G4" s="4" t="s">
        <v>1019</v>
      </c>
      <c r="H4" s="1" t="s">
        <v>1020</v>
      </c>
      <c r="I4" s="10">
        <v>2</v>
      </c>
    </row>
    <row r="6" spans="2:10" ht="21.95" customHeight="1" x14ac:dyDescent="0.25">
      <c r="B6" s="62" t="s">
        <v>1021</v>
      </c>
      <c r="C6" s="41"/>
      <c r="D6" s="41"/>
      <c r="E6" s="41"/>
      <c r="F6" s="41"/>
      <c r="G6" s="41"/>
      <c r="H6" s="41"/>
      <c r="I6" s="41"/>
      <c r="J6" s="41"/>
    </row>
    <row r="7" spans="2:10" ht="25.5" x14ac:dyDescent="0.25">
      <c r="B7" s="26" t="s">
        <v>1022</v>
      </c>
      <c r="C7" s="26" t="s">
        <v>1023</v>
      </c>
      <c r="D7" s="26" t="s">
        <v>1024</v>
      </c>
      <c r="E7" s="26" t="s">
        <v>1025</v>
      </c>
      <c r="F7" s="26" t="s">
        <v>1026</v>
      </c>
      <c r="G7" s="26" t="s">
        <v>1027</v>
      </c>
      <c r="H7" s="26" t="s">
        <v>1028</v>
      </c>
      <c r="I7" s="26" t="s">
        <v>1029</v>
      </c>
      <c r="J7" s="26" t="s">
        <v>1030</v>
      </c>
    </row>
    <row r="8" spans="2:10" ht="20.100000000000001" customHeight="1" x14ac:dyDescent="0.25">
      <c r="B8" s="1" t="s">
        <v>1031</v>
      </c>
      <c r="C8" s="10"/>
      <c r="D8" s="10"/>
      <c r="E8" s="27">
        <v>0</v>
      </c>
      <c r="F8" s="6" t="str">
        <f>IF(C8="","-",C8+(D8*E8))</f>
        <v>-</v>
      </c>
      <c r="G8" s="4"/>
      <c r="H8" s="4"/>
      <c r="I8" s="7" t="str">
        <f>IF(G8="","-",IF(H8&gt;=G8,"PASS","FAIL"))</f>
        <v>-</v>
      </c>
      <c r="J8" s="3" t="s">
        <v>1032</v>
      </c>
    </row>
    <row r="9" spans="2:10" ht="20.100000000000001" customHeight="1" x14ac:dyDescent="0.25">
      <c r="B9" s="1" t="s">
        <v>1033</v>
      </c>
      <c r="C9" s="10"/>
      <c r="D9" s="10"/>
      <c r="E9" s="27">
        <v>0</v>
      </c>
      <c r="F9" s="6" t="str">
        <f>IF(C9="","-",C9+(D9*E9))</f>
        <v>-</v>
      </c>
      <c r="G9" s="4"/>
      <c r="H9" s="4"/>
      <c r="I9" s="7" t="str">
        <f>IF(G9="","-",IF(H9&gt;=G9,"PASS","FAIL"))</f>
        <v>-</v>
      </c>
      <c r="J9" s="3" t="s">
        <v>1032</v>
      </c>
    </row>
    <row r="10" spans="2:10" ht="20.100000000000001" customHeight="1" x14ac:dyDescent="0.25">
      <c r="B10" s="1" t="s">
        <v>1034</v>
      </c>
      <c r="C10" s="10"/>
      <c r="D10" s="10"/>
      <c r="E10" s="27">
        <v>0</v>
      </c>
      <c r="F10" s="6" t="str">
        <f>IF(C10="","-",C10+(D10*E10))</f>
        <v>-</v>
      </c>
      <c r="G10" s="4"/>
      <c r="H10" s="4"/>
      <c r="I10" s="7" t="str">
        <f>IF(G10="","-",IF(H10&gt;=G10,"PASS","FAIL"))</f>
        <v>-</v>
      </c>
      <c r="J10" s="3" t="s">
        <v>1032</v>
      </c>
    </row>
    <row r="11" spans="2:10" ht="20.100000000000001" customHeight="1" x14ac:dyDescent="0.25">
      <c r="B11" s="1" t="s">
        <v>1035</v>
      </c>
      <c r="C11" s="10"/>
      <c r="D11" s="10"/>
      <c r="E11" s="27">
        <v>0</v>
      </c>
      <c r="F11" s="6" t="str">
        <f>IF(C11="","-",C11+(D11*E11))</f>
        <v>-</v>
      </c>
      <c r="G11" s="4"/>
      <c r="H11" s="4"/>
      <c r="I11" s="7" t="str">
        <f>IF(G11="","-",IF(H11&gt;=G11,"PASS","FAIL"))</f>
        <v>-</v>
      </c>
      <c r="J11" s="3" t="s">
        <v>1032</v>
      </c>
    </row>
    <row r="13" spans="2:10" ht="21.95" customHeight="1" x14ac:dyDescent="0.25">
      <c r="B13" s="62" t="s">
        <v>1036</v>
      </c>
      <c r="C13" s="41"/>
      <c r="D13" s="41"/>
      <c r="E13" s="41"/>
      <c r="F13" s="41"/>
      <c r="G13" s="41"/>
      <c r="H13" s="41"/>
      <c r="I13" s="41"/>
      <c r="J13" s="41"/>
    </row>
    <row r="14" spans="2:10" x14ac:dyDescent="0.25">
      <c r="B14" s="26" t="s">
        <v>1037</v>
      </c>
      <c r="C14" s="26" t="s">
        <v>1038</v>
      </c>
      <c r="D14" s="26" t="s">
        <v>1039</v>
      </c>
      <c r="E14" s="26" t="s">
        <v>1040</v>
      </c>
      <c r="F14" s="26" t="s">
        <v>1041</v>
      </c>
      <c r="G14" s="26" t="s">
        <v>1042</v>
      </c>
      <c r="H14" s="26" t="s">
        <v>1043</v>
      </c>
      <c r="I14" s="26" t="s">
        <v>1044</v>
      </c>
      <c r="J14" s="26" t="s">
        <v>1045</v>
      </c>
    </row>
    <row r="15" spans="2:10" ht="18" customHeight="1" x14ac:dyDescent="0.25">
      <c r="B15" s="1" t="s">
        <v>1046</v>
      </c>
      <c r="C15" s="10"/>
      <c r="D15" s="6" t="str">
        <f>F8</f>
        <v>-</v>
      </c>
      <c r="E15" s="28" t="str">
        <f t="shared" ref="E15:E20" si="0">IF(OR(C15="",D15=0),"-",ROUND(C15/D15,3))</f>
        <v>-</v>
      </c>
      <c r="F15" s="10"/>
      <c r="G15" s="6" t="str">
        <f>F9</f>
        <v>-</v>
      </c>
      <c r="H15" s="28" t="str">
        <f t="shared" ref="H15:H20" si="1">IF(OR(F15="",G15=0),"-",ROUND(F15/G15,3))</f>
        <v>-</v>
      </c>
      <c r="I15" s="28" t="str">
        <f t="shared" ref="I15:I20" si="2">IF(E15="-","-",ROUND(E15+H15,3))</f>
        <v>-</v>
      </c>
      <c r="J15" s="7" t="str">
        <f t="shared" ref="J15:J20" si="3">IF(I15="-","-",IF(I15&lt;=1,"PASS","FAIL"))</f>
        <v>-</v>
      </c>
    </row>
    <row r="16" spans="2:10" ht="18" customHeight="1" x14ac:dyDescent="0.25">
      <c r="B16" s="1" t="s">
        <v>1047</v>
      </c>
      <c r="C16" s="10"/>
      <c r="D16" s="6" t="str">
        <f>F8</f>
        <v>-</v>
      </c>
      <c r="E16" s="28" t="str">
        <f t="shared" si="0"/>
        <v>-</v>
      </c>
      <c r="F16" s="10"/>
      <c r="G16" s="6" t="str">
        <f>F9</f>
        <v>-</v>
      </c>
      <c r="H16" s="28" t="str">
        <f t="shared" si="1"/>
        <v>-</v>
      </c>
      <c r="I16" s="28" t="str">
        <f t="shared" si="2"/>
        <v>-</v>
      </c>
      <c r="J16" s="7" t="str">
        <f t="shared" si="3"/>
        <v>-</v>
      </c>
    </row>
    <row r="17" spans="2:10" ht="18" customHeight="1" x14ac:dyDescent="0.25">
      <c r="B17" s="1" t="s">
        <v>1048</v>
      </c>
      <c r="C17" s="10"/>
      <c r="D17" s="6" t="str">
        <f>F8</f>
        <v>-</v>
      </c>
      <c r="E17" s="28" t="str">
        <f t="shared" si="0"/>
        <v>-</v>
      </c>
      <c r="F17" s="10"/>
      <c r="G17" s="6" t="str">
        <f>F9</f>
        <v>-</v>
      </c>
      <c r="H17" s="28" t="str">
        <f t="shared" si="1"/>
        <v>-</v>
      </c>
      <c r="I17" s="28" t="str">
        <f t="shared" si="2"/>
        <v>-</v>
      </c>
      <c r="J17" s="7" t="str">
        <f t="shared" si="3"/>
        <v>-</v>
      </c>
    </row>
    <row r="18" spans="2:10" ht="18" customHeight="1" x14ac:dyDescent="0.25">
      <c r="B18" s="1" t="s">
        <v>1049</v>
      </c>
      <c r="C18" s="10"/>
      <c r="D18" s="6" t="str">
        <f>F8</f>
        <v>-</v>
      </c>
      <c r="E18" s="28" t="str">
        <f t="shared" si="0"/>
        <v>-</v>
      </c>
      <c r="F18" s="10"/>
      <c r="G18" s="6" t="str">
        <f>F9</f>
        <v>-</v>
      </c>
      <c r="H18" s="28" t="str">
        <f t="shared" si="1"/>
        <v>-</v>
      </c>
      <c r="I18" s="28" t="str">
        <f t="shared" si="2"/>
        <v>-</v>
      </c>
      <c r="J18" s="7" t="str">
        <f t="shared" si="3"/>
        <v>-</v>
      </c>
    </row>
    <row r="19" spans="2:10" ht="18" customHeight="1" x14ac:dyDescent="0.25">
      <c r="B19" s="1" t="s">
        <v>1050</v>
      </c>
      <c r="C19" s="10"/>
      <c r="D19" s="6" t="str">
        <f>F8</f>
        <v>-</v>
      </c>
      <c r="E19" s="28" t="str">
        <f t="shared" si="0"/>
        <v>-</v>
      </c>
      <c r="F19" s="10"/>
      <c r="G19" s="6" t="str">
        <f>F9</f>
        <v>-</v>
      </c>
      <c r="H19" s="28" t="str">
        <f t="shared" si="1"/>
        <v>-</v>
      </c>
      <c r="I19" s="28" t="str">
        <f t="shared" si="2"/>
        <v>-</v>
      </c>
      <c r="J19" s="7" t="str">
        <f t="shared" si="3"/>
        <v>-</v>
      </c>
    </row>
    <row r="20" spans="2:10" ht="18" customHeight="1" x14ac:dyDescent="0.25">
      <c r="B20" s="1" t="s">
        <v>1051</v>
      </c>
      <c r="C20" s="10"/>
      <c r="D20" s="6" t="str">
        <f>F8</f>
        <v>-</v>
      </c>
      <c r="E20" s="28" t="str">
        <f t="shared" si="0"/>
        <v>-</v>
      </c>
      <c r="F20" s="10"/>
      <c r="G20" s="6" t="str">
        <f>F9</f>
        <v>-</v>
      </c>
      <c r="H20" s="28" t="str">
        <f t="shared" si="1"/>
        <v>-</v>
      </c>
      <c r="I20" s="28" t="str">
        <f t="shared" si="2"/>
        <v>-</v>
      </c>
      <c r="J20" s="7" t="str">
        <f t="shared" si="3"/>
        <v>-</v>
      </c>
    </row>
    <row r="21" spans="2:10" ht="24" customHeight="1" x14ac:dyDescent="0.25">
      <c r="B21" s="63" t="s">
        <v>1052</v>
      </c>
      <c r="C21" s="41"/>
      <c r="D21" s="41"/>
      <c r="E21" s="41"/>
      <c r="F21" s="41"/>
      <c r="G21" s="41"/>
      <c r="H21" s="41"/>
      <c r="I21" s="29">
        <f>SUMIF(I15:I20,"&lt;&gt;-",I15:I20)</f>
        <v>0</v>
      </c>
      <c r="J21" s="7" t="str">
        <f>IF(G4="Non-Separated",IF(I21&lt;=3,"PASS","FAIL"),IF(I21&lt;=4,"PASS","FAIL"))</f>
        <v>PASS</v>
      </c>
    </row>
    <row r="23" spans="2:10" ht="21.95" customHeight="1" x14ac:dyDescent="0.25">
      <c r="B23" s="62" t="s">
        <v>1053</v>
      </c>
      <c r="C23" s="41"/>
      <c r="D23" s="41"/>
      <c r="E23" s="41"/>
      <c r="F23" s="41"/>
      <c r="G23" s="41"/>
      <c r="H23" s="41"/>
      <c r="I23" s="41"/>
      <c r="J23" s="41"/>
    </row>
    <row r="24" spans="2:10" ht="25.5" x14ac:dyDescent="0.25">
      <c r="B24" s="26" t="s">
        <v>412</v>
      </c>
      <c r="C24" s="26" t="s">
        <v>1054</v>
      </c>
      <c r="D24" s="26" t="s">
        <v>1055</v>
      </c>
      <c r="E24" s="26" t="s">
        <v>1056</v>
      </c>
      <c r="F24" s="26" t="s">
        <v>1057</v>
      </c>
      <c r="G24" s="26" t="s">
        <v>1058</v>
      </c>
      <c r="H24" s="26" t="s">
        <v>1059</v>
      </c>
      <c r="I24" s="26" t="s">
        <v>1060</v>
      </c>
      <c r="J24" s="26" t="s">
        <v>1061</v>
      </c>
    </row>
    <row r="25" spans="2:10" ht="18" customHeight="1" x14ac:dyDescent="0.25">
      <c r="B25" s="1" t="s">
        <v>1062</v>
      </c>
      <c r="C25" s="30">
        <v>9500</v>
      </c>
      <c r="D25" s="30">
        <v>23750</v>
      </c>
      <c r="E25" s="30">
        <v>18000</v>
      </c>
      <c r="F25" s="30">
        <v>54000</v>
      </c>
      <c r="G25" s="30">
        <v>23000</v>
      </c>
      <c r="H25" s="30">
        <v>69000</v>
      </c>
      <c r="I25" s="31" t="s">
        <v>1063</v>
      </c>
      <c r="J25" s="31" t="s">
        <v>1063</v>
      </c>
    </row>
    <row r="26" spans="2:10" ht="18" customHeight="1" x14ac:dyDescent="0.25">
      <c r="B26" s="1" t="s">
        <v>1064</v>
      </c>
      <c r="C26" s="30">
        <v>7000</v>
      </c>
      <c r="D26" s="30">
        <v>21000</v>
      </c>
      <c r="E26" s="30">
        <v>12000</v>
      </c>
      <c r="F26" s="30">
        <v>36000</v>
      </c>
      <c r="G26" s="30">
        <v>16000</v>
      </c>
      <c r="H26" s="30">
        <v>48000</v>
      </c>
      <c r="I26" s="31" t="s">
        <v>1063</v>
      </c>
      <c r="J26" s="31" t="s">
        <v>1063</v>
      </c>
    </row>
    <row r="27" spans="2:10" ht="18" customHeight="1" x14ac:dyDescent="0.25">
      <c r="B27" s="1" t="s">
        <v>1065</v>
      </c>
      <c r="C27" s="30">
        <v>6000</v>
      </c>
      <c r="D27" s="30">
        <v>18000</v>
      </c>
      <c r="E27" s="30">
        <v>9500</v>
      </c>
      <c r="F27" s="30">
        <v>28500</v>
      </c>
      <c r="G27" s="30">
        <v>14000</v>
      </c>
      <c r="H27" s="30">
        <v>42000</v>
      </c>
      <c r="I27" s="31" t="s">
        <v>1063</v>
      </c>
      <c r="J27" s="31" t="s">
        <v>1063</v>
      </c>
    </row>
    <row r="28" spans="2:10" ht="18" customHeight="1" x14ac:dyDescent="0.25">
      <c r="B28" s="1" t="s">
        <v>421</v>
      </c>
      <c r="C28" s="30">
        <v>14000</v>
      </c>
      <c r="D28" s="30">
        <v>35000</v>
      </c>
      <c r="E28" s="30">
        <v>23500</v>
      </c>
      <c r="F28" s="30">
        <v>58750</v>
      </c>
      <c r="G28" s="30">
        <v>26500</v>
      </c>
      <c r="H28" s="30">
        <v>66250</v>
      </c>
      <c r="I28" s="31" t="s">
        <v>1063</v>
      </c>
      <c r="J28" s="31" t="s">
        <v>1063</v>
      </c>
    </row>
    <row r="29" spans="2:10" ht="18" customHeight="1" x14ac:dyDescent="0.25">
      <c r="B29" s="1" t="s">
        <v>423</v>
      </c>
      <c r="C29" s="30">
        <v>14000</v>
      </c>
      <c r="D29" s="30">
        <v>35000</v>
      </c>
      <c r="E29" s="30">
        <v>21500</v>
      </c>
      <c r="F29" s="30">
        <v>53750</v>
      </c>
      <c r="G29" s="30">
        <v>25500</v>
      </c>
      <c r="H29" s="30">
        <v>63750</v>
      </c>
      <c r="I29" s="31" t="s">
        <v>1063</v>
      </c>
      <c r="J29" s="31" t="s">
        <v>1063</v>
      </c>
    </row>
    <row r="30" spans="2:10" ht="18" customHeight="1" x14ac:dyDescent="0.25">
      <c r="B30" s="1" t="s">
        <v>1066</v>
      </c>
      <c r="C30" s="30">
        <v>12000</v>
      </c>
      <c r="D30" s="30">
        <v>25000</v>
      </c>
      <c r="E30" s="30">
        <v>18000</v>
      </c>
      <c r="F30" s="30">
        <v>45000</v>
      </c>
      <c r="G30" s="30">
        <v>24000</v>
      </c>
      <c r="H30" s="30">
        <v>60000</v>
      </c>
      <c r="I30" s="31" t="s">
        <v>1063</v>
      </c>
      <c r="J30" s="31" t="s">
        <v>1063</v>
      </c>
    </row>
    <row r="31" spans="2:10" ht="18" customHeight="1" x14ac:dyDescent="0.25">
      <c r="B31" s="1" t="s">
        <v>1067</v>
      </c>
      <c r="C31" s="30">
        <v>17500</v>
      </c>
      <c r="D31" s="30">
        <v>26250</v>
      </c>
      <c r="E31" s="30">
        <v>26000</v>
      </c>
      <c r="F31" s="30">
        <v>39000</v>
      </c>
      <c r="G31" s="30">
        <v>26000</v>
      </c>
      <c r="H31" s="30">
        <v>39000</v>
      </c>
      <c r="I31" s="31" t="s">
        <v>1063</v>
      </c>
      <c r="J31" s="31" t="s">
        <v>1063</v>
      </c>
    </row>
    <row r="32" spans="2:10" ht="18" customHeight="1" x14ac:dyDescent="0.25">
      <c r="B32" s="1" t="s">
        <v>1068</v>
      </c>
      <c r="C32" s="30">
        <v>15500</v>
      </c>
      <c r="D32" s="30">
        <v>38750</v>
      </c>
      <c r="E32" s="30">
        <v>25500</v>
      </c>
      <c r="F32" s="30">
        <v>63750</v>
      </c>
      <c r="G32" s="30">
        <v>25500</v>
      </c>
      <c r="H32" s="30">
        <v>63750</v>
      </c>
      <c r="I32" s="31" t="s">
        <v>1063</v>
      </c>
      <c r="J32" s="31" t="s">
        <v>1063</v>
      </c>
    </row>
    <row r="33" spans="2:2" ht="27.95" customHeight="1" x14ac:dyDescent="0.25">
      <c r="B33" s="3" t="s">
        <v>1069</v>
      </c>
    </row>
  </sheetData>
  <mergeCells count="7">
    <mergeCell ref="B3:J3"/>
    <mergeCell ref="B21:H21"/>
    <mergeCell ref="B23:J23"/>
    <mergeCell ref="B1:J1"/>
    <mergeCell ref="B13:J13"/>
    <mergeCell ref="B6:J6"/>
    <mergeCell ref="B2:J2"/>
  </mergeCells>
  <conditionalFormatting sqref="I8:I11">
    <cfRule type="cellIs" dxfId="10" priority="1" operator="equal">
      <formula>"PASS"</formula>
    </cfRule>
    <cfRule type="cellIs" dxfId="9" priority="2" operator="equal">
      <formula>"FAIL"</formula>
    </cfRule>
    <cfRule type="cellIs" dxfId="8" priority="3" operator="equal">
      <formula>"WARN"</formula>
    </cfRule>
  </conditionalFormatting>
  <conditionalFormatting sqref="J15:J21">
    <cfRule type="cellIs" dxfId="7" priority="4" operator="equal">
      <formula>"PASS"</formula>
    </cfRule>
    <cfRule type="cellIs" dxfId="6" priority="5" operator="equal">
      <formula>"FAIL"</formula>
    </cfRule>
    <cfRule type="cellIs" dxfId="5" priority="6" operator="equal">
      <formula>"WARN"</formula>
    </cfRule>
  </conditionalFormatting>
  <dataValidations count="1">
    <dataValidation type="list" allowBlank="1" showInputMessage="1" promptTitle="Method" prompt="§508" sqref="G4" xr:uid="{00000000-0002-0000-1000-000002000000}">
      <formula1>"Separated,Non-Separated,Accessory"</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InputMessage="1" promptTitle="Construction Type" prompt="IBC Ch. 6" xr:uid="{00000000-0002-0000-1000-000000000000}">
          <x14:formula1>
            <xm:f>DATA_LISTS!$C$2:$C$13</xm:f>
          </x14:formula1>
          <xm:sqref>C4</xm:sqref>
        </x14:dataValidation>
        <x14:dataValidation type="list" allowBlank="1" showInputMessage="1" promptTitle="Sprinkler" xr:uid="{00000000-0002-0000-1000-000001000000}">
          <x14:formula1>
            <xm:f>DATA_LISTS!$D$2:$D$5</xm:f>
          </x14:formula1>
          <xm:sqref>E4</xm:sqref>
        </x14:dataValidation>
        <x14:dataValidation type="list" allowBlank="1" showInputMessage="1" promptTitle="Occupancy Group" xr:uid="{00000000-0002-0000-1000-000003000000}">
          <x14:formula1>
            <xm:f>DATA_LISTS!$B$2:$B$27</xm:f>
          </x14:formula1>
          <xm:sqref>B8:B11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565C0"/>
  </sheetPr>
  <dimension ref="B1:H122"/>
  <sheetViews>
    <sheetView showGridLines="0" workbookViewId="0">
      <pane xSplit="1" ySplit="3" topLeftCell="B4" activePane="bottomRight" state="frozen"/>
      <selection pane="topRight"/>
      <selection pane="bottomLeft"/>
      <selection pane="bottomRight"/>
    </sheetView>
  </sheetViews>
  <sheetFormatPr defaultRowHeight="15" x14ac:dyDescent="0.25"/>
  <cols>
    <col min="1" max="1" width="3" customWidth="1"/>
    <col min="2" max="2" width="28" customWidth="1"/>
    <col min="3" max="4" width="12" customWidth="1"/>
    <col min="5" max="5" width="14" customWidth="1"/>
    <col min="6" max="6" width="12" customWidth="1"/>
    <col min="7" max="8" width="16" customWidth="1"/>
    <col min="9" max="9" width="3" customWidth="1"/>
  </cols>
  <sheetData>
    <row r="1" spans="2:6" ht="26.1" customHeight="1" x14ac:dyDescent="0.25">
      <c r="B1" s="68" t="s">
        <v>1070</v>
      </c>
      <c r="C1" s="41"/>
      <c r="D1" s="41"/>
      <c r="E1" s="41"/>
      <c r="F1" s="41"/>
    </row>
    <row r="2" spans="2:6" x14ac:dyDescent="0.25">
      <c r="B2" s="49" t="s">
        <v>1071</v>
      </c>
      <c r="C2" s="41"/>
      <c r="D2" s="41"/>
      <c r="E2" s="41"/>
      <c r="F2" s="41"/>
    </row>
    <row r="3" spans="2:6" ht="21.95" customHeight="1" x14ac:dyDescent="0.25">
      <c r="B3" s="66" t="s">
        <v>1072</v>
      </c>
      <c r="C3" s="41"/>
      <c r="D3" s="41"/>
      <c r="E3" s="41"/>
      <c r="F3" s="41"/>
    </row>
    <row r="4" spans="2:6" ht="25.5" x14ac:dyDescent="0.25">
      <c r="B4" s="32" t="s">
        <v>128</v>
      </c>
      <c r="C4" s="32" t="s">
        <v>1073</v>
      </c>
      <c r="D4" s="32" t="s">
        <v>1074</v>
      </c>
      <c r="E4" s="32" t="s">
        <v>131</v>
      </c>
      <c r="F4" s="32" t="s">
        <v>259</v>
      </c>
    </row>
    <row r="5" spans="2:6" ht="18" customHeight="1" x14ac:dyDescent="0.25">
      <c r="B5" s="1" t="s">
        <v>442</v>
      </c>
      <c r="C5" s="4" t="s">
        <v>443</v>
      </c>
      <c r="D5" s="3" t="s">
        <v>1075</v>
      </c>
      <c r="F5" s="3" t="s">
        <v>1076</v>
      </c>
    </row>
    <row r="6" spans="2:6" ht="18" customHeight="1" x14ac:dyDescent="0.25">
      <c r="B6" s="1" t="s">
        <v>1077</v>
      </c>
      <c r="C6" s="4" t="s">
        <v>1078</v>
      </c>
      <c r="D6" s="3" t="s">
        <v>1079</v>
      </c>
      <c r="F6" s="3" t="s">
        <v>1080</v>
      </c>
    </row>
    <row r="7" spans="2:6" ht="18" customHeight="1" x14ac:dyDescent="0.25">
      <c r="B7" s="1" t="s">
        <v>1081</v>
      </c>
      <c r="C7" s="4" t="s">
        <v>1082</v>
      </c>
      <c r="D7" s="3" t="s">
        <v>1079</v>
      </c>
      <c r="F7" s="3" t="s">
        <v>1083</v>
      </c>
    </row>
    <row r="8" spans="2:6" ht="18" customHeight="1" x14ac:dyDescent="0.25">
      <c r="B8" s="1" t="s">
        <v>1084</v>
      </c>
      <c r="C8" s="4" t="s">
        <v>1085</v>
      </c>
      <c r="D8" s="3" t="s">
        <v>1079</v>
      </c>
      <c r="F8" s="3" t="s">
        <v>1086</v>
      </c>
    </row>
    <row r="9" spans="2:6" ht="18" customHeight="1" x14ac:dyDescent="0.25">
      <c r="B9" s="1" t="s">
        <v>1087</v>
      </c>
      <c r="C9" s="4" t="s">
        <v>1088</v>
      </c>
      <c r="D9" s="3" t="s">
        <v>1079</v>
      </c>
      <c r="F9" s="3"/>
    </row>
    <row r="10" spans="2:6" ht="18" customHeight="1" x14ac:dyDescent="0.25">
      <c r="B10" s="1" t="s">
        <v>1089</v>
      </c>
      <c r="C10" s="4" t="s">
        <v>1090</v>
      </c>
      <c r="D10" s="3" t="s">
        <v>1079</v>
      </c>
      <c r="F10" s="3"/>
    </row>
    <row r="11" spans="2:6" ht="18" customHeight="1" x14ac:dyDescent="0.25">
      <c r="B11" s="1" t="s">
        <v>1091</v>
      </c>
      <c r="C11" s="4" t="s">
        <v>168</v>
      </c>
      <c r="D11" s="3" t="s">
        <v>1092</v>
      </c>
      <c r="F11" s="3"/>
    </row>
    <row r="12" spans="2:6" ht="18" customHeight="1" x14ac:dyDescent="0.25">
      <c r="B12" s="1" t="s">
        <v>1093</v>
      </c>
      <c r="C12" s="4" t="s">
        <v>1094</v>
      </c>
      <c r="D12" s="3" t="s">
        <v>1092</v>
      </c>
      <c r="F12" s="3"/>
    </row>
    <row r="13" spans="2:6" ht="18" customHeight="1" x14ac:dyDescent="0.25">
      <c r="B13" s="1" t="s">
        <v>1095</v>
      </c>
      <c r="C13" s="4"/>
      <c r="D13" s="3" t="s">
        <v>1096</v>
      </c>
      <c r="F13" s="3" t="s">
        <v>1097</v>
      </c>
    </row>
    <row r="14" spans="2:6" ht="18" customHeight="1" x14ac:dyDescent="0.25">
      <c r="B14" s="1" t="s">
        <v>1098</v>
      </c>
      <c r="C14" s="4" t="s">
        <v>1099</v>
      </c>
      <c r="D14" s="3" t="s">
        <v>1100</v>
      </c>
      <c r="F14" s="3" t="s">
        <v>1101</v>
      </c>
    </row>
    <row r="15" spans="2:6" ht="18" customHeight="1" x14ac:dyDescent="0.25">
      <c r="B15" s="1" t="s">
        <v>1102</v>
      </c>
      <c r="C15" s="4" t="s">
        <v>1103</v>
      </c>
      <c r="D15" s="3"/>
      <c r="F15" s="3" t="s">
        <v>1104</v>
      </c>
    </row>
    <row r="16" spans="2:6" ht="18" customHeight="1" x14ac:dyDescent="0.25">
      <c r="B16" s="1" t="s">
        <v>1105</v>
      </c>
      <c r="C16" s="4" t="s">
        <v>1106</v>
      </c>
      <c r="D16" s="3"/>
      <c r="F16" s="3" t="s">
        <v>1107</v>
      </c>
    </row>
    <row r="17" spans="2:8" ht="18" customHeight="1" x14ac:dyDescent="0.25">
      <c r="B17" s="1" t="s">
        <v>1108</v>
      </c>
      <c r="C17" s="4" t="s">
        <v>1109</v>
      </c>
      <c r="D17" s="3"/>
      <c r="F17" s="3" t="s">
        <v>1110</v>
      </c>
    </row>
    <row r="18" spans="2:8" ht="18" customHeight="1" x14ac:dyDescent="0.25">
      <c r="B18" s="1" t="s">
        <v>1111</v>
      </c>
      <c r="C18" s="4"/>
      <c r="D18" s="3" t="s">
        <v>1112</v>
      </c>
      <c r="F18" s="3" t="s">
        <v>1113</v>
      </c>
    </row>
    <row r="19" spans="2:8" ht="18" customHeight="1" x14ac:dyDescent="0.25">
      <c r="B19" s="1" t="s">
        <v>1114</v>
      </c>
      <c r="C19" s="4"/>
      <c r="D19" s="3" t="s">
        <v>1112</v>
      </c>
      <c r="F19" s="3"/>
    </row>
    <row r="20" spans="2:8" ht="18" customHeight="1" x14ac:dyDescent="0.25">
      <c r="B20" s="1" t="s">
        <v>1115</v>
      </c>
      <c r="C20" s="4"/>
      <c r="D20" s="3" t="s">
        <v>1116</v>
      </c>
      <c r="F20" s="3" t="e">
        <f>BTUH/12000</f>
        <v>#NAME?</v>
      </c>
    </row>
    <row r="21" spans="2:8" ht="18" customHeight="1" x14ac:dyDescent="0.25">
      <c r="B21" s="1" t="s">
        <v>1117</v>
      </c>
      <c r="C21" s="4"/>
      <c r="D21" s="3" t="s">
        <v>1116</v>
      </c>
      <c r="F21" s="3" t="e">
        <f>BTUH/12000</f>
        <v>#NAME?</v>
      </c>
    </row>
    <row r="23" spans="2:8" ht="21.95" customHeight="1" x14ac:dyDescent="0.25">
      <c r="B23" s="66" t="s">
        <v>1118</v>
      </c>
      <c r="C23" s="41"/>
      <c r="D23" s="41"/>
      <c r="E23" s="41"/>
      <c r="F23" s="41"/>
    </row>
    <row r="24" spans="2:8" x14ac:dyDescent="0.25">
      <c r="B24" s="49" t="s">
        <v>1119</v>
      </c>
      <c r="C24" s="41"/>
      <c r="D24" s="41"/>
      <c r="E24" s="41"/>
      <c r="F24" s="41"/>
      <c r="G24" s="41"/>
      <c r="H24" s="41"/>
    </row>
    <row r="25" spans="2:8" ht="25.5" x14ac:dyDescent="0.25">
      <c r="B25" s="32" t="s">
        <v>1120</v>
      </c>
      <c r="C25" s="32" t="s">
        <v>1121</v>
      </c>
      <c r="D25" s="32" t="s">
        <v>1122</v>
      </c>
      <c r="E25" s="32" t="s">
        <v>1123</v>
      </c>
      <c r="F25" s="32" t="s">
        <v>1124</v>
      </c>
      <c r="G25" s="32" t="s">
        <v>1125</v>
      </c>
      <c r="H25" s="32" t="s">
        <v>1126</v>
      </c>
    </row>
    <row r="26" spans="2:8" ht="18" customHeight="1" x14ac:dyDescent="0.25">
      <c r="B26" s="1" t="s">
        <v>1127</v>
      </c>
      <c r="C26" s="10"/>
      <c r="D26" s="10"/>
      <c r="E26" s="27">
        <v>5</v>
      </c>
      <c r="F26" s="27">
        <v>0.06</v>
      </c>
      <c r="G26" s="6">
        <f t="shared" ref="G26:G33" si="0">IF(D26="",0,D26*E26)</f>
        <v>0</v>
      </c>
      <c r="H26" s="6">
        <f t="shared" ref="H26:H33" si="1">IF(C26="",0,C26*F26)</f>
        <v>0</v>
      </c>
    </row>
    <row r="27" spans="2:8" ht="18" customHeight="1" x14ac:dyDescent="0.25">
      <c r="B27" s="1" t="s">
        <v>1128</v>
      </c>
      <c r="C27" s="10"/>
      <c r="D27" s="10"/>
      <c r="E27" s="27">
        <v>5</v>
      </c>
      <c r="F27" s="27">
        <v>0.06</v>
      </c>
      <c r="G27" s="6">
        <f t="shared" si="0"/>
        <v>0</v>
      </c>
      <c r="H27" s="6">
        <f t="shared" si="1"/>
        <v>0</v>
      </c>
    </row>
    <row r="28" spans="2:8" ht="18" customHeight="1" x14ac:dyDescent="0.25">
      <c r="B28" s="1" t="s">
        <v>1129</v>
      </c>
      <c r="C28" s="10"/>
      <c r="D28" s="10"/>
      <c r="E28" s="27">
        <v>5</v>
      </c>
      <c r="F28" s="27">
        <v>0.06</v>
      </c>
      <c r="G28" s="6">
        <f t="shared" si="0"/>
        <v>0</v>
      </c>
      <c r="H28" s="6">
        <f t="shared" si="1"/>
        <v>0</v>
      </c>
    </row>
    <row r="29" spans="2:8" ht="18" customHeight="1" x14ac:dyDescent="0.25">
      <c r="B29" s="1" t="s">
        <v>1130</v>
      </c>
      <c r="C29" s="10"/>
      <c r="D29" s="10"/>
      <c r="E29" s="27">
        <v>3.8</v>
      </c>
      <c r="F29" s="27">
        <v>0.12</v>
      </c>
      <c r="G29" s="6">
        <f t="shared" si="0"/>
        <v>0</v>
      </c>
      <c r="H29" s="6">
        <f t="shared" si="1"/>
        <v>0</v>
      </c>
    </row>
    <row r="30" spans="2:8" ht="18" customHeight="1" x14ac:dyDescent="0.25">
      <c r="B30" s="1" t="s">
        <v>1131</v>
      </c>
      <c r="C30" s="10"/>
      <c r="D30" s="10"/>
      <c r="E30" s="27">
        <v>0</v>
      </c>
      <c r="F30" s="27"/>
      <c r="G30" s="6">
        <f t="shared" si="0"/>
        <v>0</v>
      </c>
      <c r="H30" s="6">
        <f t="shared" si="1"/>
        <v>0</v>
      </c>
    </row>
    <row r="31" spans="2:8" ht="18" customHeight="1" x14ac:dyDescent="0.25">
      <c r="B31" s="1" t="s">
        <v>1132</v>
      </c>
      <c r="C31" s="10"/>
      <c r="D31" s="10"/>
      <c r="E31" s="27">
        <v>0</v>
      </c>
      <c r="F31" s="27">
        <v>0.06</v>
      </c>
      <c r="G31" s="6">
        <f t="shared" si="0"/>
        <v>0</v>
      </c>
      <c r="H31" s="6">
        <f t="shared" si="1"/>
        <v>0</v>
      </c>
    </row>
    <row r="32" spans="2:8" ht="18" customHeight="1" x14ac:dyDescent="0.25">
      <c r="B32" s="1" t="s">
        <v>1133</v>
      </c>
      <c r="C32" s="10"/>
      <c r="D32" s="10"/>
      <c r="E32" s="27">
        <v>7.5</v>
      </c>
      <c r="F32" s="27">
        <v>0.18</v>
      </c>
      <c r="G32" s="6">
        <f t="shared" si="0"/>
        <v>0</v>
      </c>
      <c r="H32" s="6">
        <f t="shared" si="1"/>
        <v>0</v>
      </c>
    </row>
    <row r="33" spans="2:8" ht="18" customHeight="1" x14ac:dyDescent="0.25">
      <c r="B33" s="1" t="s">
        <v>1134</v>
      </c>
      <c r="C33" s="10"/>
      <c r="D33" s="10"/>
      <c r="E33" s="27">
        <v>0</v>
      </c>
      <c r="F33" s="27">
        <v>0</v>
      </c>
      <c r="G33" s="6">
        <f t="shared" si="0"/>
        <v>0</v>
      </c>
      <c r="H33" s="6">
        <f t="shared" si="1"/>
        <v>0</v>
      </c>
    </row>
    <row r="34" spans="2:8" ht="21.95" customHeight="1" x14ac:dyDescent="0.25">
      <c r="B34" s="1" t="s">
        <v>1135</v>
      </c>
      <c r="G34" s="33">
        <f>SUM(G26:G33)</f>
        <v>0</v>
      </c>
      <c r="H34" s="33">
        <f>SUM(H26:H33)</f>
        <v>0</v>
      </c>
    </row>
    <row r="36" spans="2:8" ht="21.95" customHeight="1" x14ac:dyDescent="0.25">
      <c r="B36" s="66" t="s">
        <v>1136</v>
      </c>
      <c r="C36" s="41"/>
      <c r="D36" s="41"/>
      <c r="E36" s="41"/>
      <c r="F36" s="41"/>
      <c r="G36" s="41"/>
      <c r="H36" s="41"/>
    </row>
    <row r="37" spans="2:8" ht="25.5" x14ac:dyDescent="0.25">
      <c r="B37" s="1" t="s">
        <v>1137</v>
      </c>
      <c r="C37" s="6">
        <f>G35</f>
        <v>0</v>
      </c>
    </row>
    <row r="38" spans="2:8" x14ac:dyDescent="0.25">
      <c r="B38" s="1" t="s">
        <v>1138</v>
      </c>
      <c r="C38" s="6">
        <f>H36</f>
        <v>0</v>
      </c>
    </row>
    <row r="39" spans="2:8" ht="25.5" x14ac:dyDescent="0.25">
      <c r="B39" s="1" t="s">
        <v>1139</v>
      </c>
      <c r="C39" s="33">
        <f>C37+C38</f>
        <v>0</v>
      </c>
    </row>
    <row r="40" spans="2:8" ht="25.5" x14ac:dyDescent="0.25">
      <c r="B40" s="1" t="s">
        <v>1140</v>
      </c>
      <c r="C40" s="12">
        <v>0.25</v>
      </c>
    </row>
    <row r="41" spans="2:8" x14ac:dyDescent="0.25">
      <c r="B41" s="1" t="s">
        <v>1141</v>
      </c>
      <c r="C41" s="6">
        <f>IFERROR(C38/C40,"—")</f>
        <v>0</v>
      </c>
      <c r="D41" s="3" t="e">
        <f>Vbz / OA%</f>
        <v>#NAME?</v>
      </c>
    </row>
    <row r="43" spans="2:8" ht="21.95" customHeight="1" x14ac:dyDescent="0.25">
      <c r="B43" s="66" t="s">
        <v>1142</v>
      </c>
      <c r="C43" s="41"/>
      <c r="D43" s="41"/>
      <c r="E43" s="41"/>
      <c r="F43" s="41"/>
      <c r="G43" s="41"/>
      <c r="H43" s="41"/>
    </row>
    <row r="44" spans="2:8" ht="38.25" x14ac:dyDescent="0.25">
      <c r="B44" s="32" t="s">
        <v>1143</v>
      </c>
      <c r="C44" s="32" t="s">
        <v>1144</v>
      </c>
      <c r="D44" s="32" t="s">
        <v>1145</v>
      </c>
      <c r="E44" s="32" t="s">
        <v>1146</v>
      </c>
      <c r="F44" s="32" t="s">
        <v>1147</v>
      </c>
      <c r="G44" s="32" t="s">
        <v>131</v>
      </c>
      <c r="H44" s="32" t="s">
        <v>1148</v>
      </c>
    </row>
    <row r="45" spans="2:8" ht="20.100000000000001" customHeight="1" x14ac:dyDescent="0.25">
      <c r="B45" s="8" t="s">
        <v>1149</v>
      </c>
      <c r="C45" s="3" t="s">
        <v>1150</v>
      </c>
      <c r="D45" s="4">
        <v>1</v>
      </c>
      <c r="E45" s="4" t="s">
        <v>1090</v>
      </c>
      <c r="F45" s="4"/>
      <c r="G45" s="7" t="str">
        <f t="shared" ref="G45:G55" si="2">IF(F45="","-",IF(F45&gt;=E45,"PASS","FAIL"))</f>
        <v>-</v>
      </c>
      <c r="H45" s="3" t="s">
        <v>1151</v>
      </c>
    </row>
    <row r="46" spans="2:8" ht="20.100000000000001" customHeight="1" x14ac:dyDescent="0.25">
      <c r="B46" s="8" t="s">
        <v>1152</v>
      </c>
      <c r="C46" s="3" t="s">
        <v>1153</v>
      </c>
      <c r="D46" s="4">
        <v>4</v>
      </c>
      <c r="E46" s="4" t="s">
        <v>1154</v>
      </c>
      <c r="F46" s="4"/>
      <c r="G46" s="7" t="str">
        <f t="shared" si="2"/>
        <v>-</v>
      </c>
      <c r="H46" s="3" t="s">
        <v>1151</v>
      </c>
    </row>
    <row r="47" spans="2:8" ht="20.100000000000001" customHeight="1" x14ac:dyDescent="0.25">
      <c r="B47" s="8" t="s">
        <v>1155</v>
      </c>
      <c r="C47" s="3" t="s">
        <v>1156</v>
      </c>
      <c r="D47" s="4"/>
      <c r="E47" s="4"/>
      <c r="F47" s="4"/>
      <c r="G47" s="7" t="str">
        <f t="shared" si="2"/>
        <v>-</v>
      </c>
      <c r="H47" s="3" t="s">
        <v>1157</v>
      </c>
    </row>
    <row r="48" spans="2:8" ht="20.100000000000001" customHeight="1" x14ac:dyDescent="0.25">
      <c r="B48" s="8" t="s">
        <v>1158</v>
      </c>
      <c r="C48" s="3" t="s">
        <v>1159</v>
      </c>
      <c r="D48" s="4"/>
      <c r="E48" s="4"/>
      <c r="F48" s="4"/>
      <c r="G48" s="7" t="str">
        <f t="shared" si="2"/>
        <v>-</v>
      </c>
      <c r="H48" s="3" t="s">
        <v>1160</v>
      </c>
    </row>
    <row r="49" spans="2:8" ht="20.100000000000001" customHeight="1" x14ac:dyDescent="0.25">
      <c r="B49" s="8" t="s">
        <v>1161</v>
      </c>
      <c r="C49" s="3" t="s">
        <v>1162</v>
      </c>
      <c r="D49" s="4"/>
      <c r="E49" s="4"/>
      <c r="F49" s="4"/>
      <c r="G49" s="7" t="str">
        <f t="shared" si="2"/>
        <v>-</v>
      </c>
      <c r="H49" s="3" t="s">
        <v>1163</v>
      </c>
    </row>
    <row r="50" spans="2:8" ht="20.100000000000001" customHeight="1" x14ac:dyDescent="0.25">
      <c r="B50" s="8" t="s">
        <v>1164</v>
      </c>
      <c r="C50" s="3" t="s">
        <v>1165</v>
      </c>
      <c r="D50" s="4"/>
      <c r="E50" s="4"/>
      <c r="F50" s="4"/>
      <c r="G50" s="7" t="str">
        <f t="shared" si="2"/>
        <v>-</v>
      </c>
      <c r="H50" s="3" t="s">
        <v>1166</v>
      </c>
    </row>
    <row r="51" spans="2:8" ht="20.100000000000001" customHeight="1" x14ac:dyDescent="0.25">
      <c r="B51" s="8" t="s">
        <v>1167</v>
      </c>
      <c r="C51" s="3" t="s">
        <v>1168</v>
      </c>
      <c r="D51" s="4"/>
      <c r="E51" s="4"/>
      <c r="F51" s="4"/>
      <c r="G51" s="7" t="str">
        <f t="shared" si="2"/>
        <v>-</v>
      </c>
      <c r="H51" s="3" t="s">
        <v>1169</v>
      </c>
    </row>
    <row r="52" spans="2:8" ht="20.100000000000001" customHeight="1" x14ac:dyDescent="0.25">
      <c r="B52" s="8" t="s">
        <v>1170</v>
      </c>
      <c r="C52" s="3" t="s">
        <v>1168</v>
      </c>
      <c r="D52" s="4"/>
      <c r="E52" s="4"/>
      <c r="F52" s="4"/>
      <c r="G52" s="7" t="str">
        <f t="shared" si="2"/>
        <v>-</v>
      </c>
      <c r="H52" s="3" t="s">
        <v>1169</v>
      </c>
    </row>
    <row r="53" spans="2:8" ht="20.100000000000001" customHeight="1" x14ac:dyDescent="0.25">
      <c r="B53" s="8" t="s">
        <v>1171</v>
      </c>
      <c r="C53" s="3" t="s">
        <v>1172</v>
      </c>
      <c r="D53" s="4"/>
      <c r="E53" s="4"/>
      <c r="F53" s="4"/>
      <c r="G53" s="7" t="str">
        <f t="shared" si="2"/>
        <v>-</v>
      </c>
      <c r="H53" s="3" t="s">
        <v>1173</v>
      </c>
    </row>
    <row r="54" spans="2:8" ht="20.100000000000001" customHeight="1" x14ac:dyDescent="0.25">
      <c r="B54" s="8" t="s">
        <v>1174</v>
      </c>
      <c r="C54" s="3" t="s">
        <v>1175</v>
      </c>
      <c r="D54" s="4"/>
      <c r="E54" s="4"/>
      <c r="F54" s="4"/>
      <c r="G54" s="7" t="str">
        <f t="shared" si="2"/>
        <v>-</v>
      </c>
      <c r="H54" s="3" t="s">
        <v>1176</v>
      </c>
    </row>
    <row r="55" spans="2:8" ht="20.100000000000001" customHeight="1" x14ac:dyDescent="0.25">
      <c r="B55" s="8" t="s">
        <v>1177</v>
      </c>
      <c r="C55" s="3" t="s">
        <v>1178</v>
      </c>
      <c r="D55" s="4"/>
      <c r="E55" s="4"/>
      <c r="F55" s="4"/>
      <c r="G55" s="7" t="str">
        <f t="shared" si="2"/>
        <v>-</v>
      </c>
      <c r="H55" s="3" t="s">
        <v>1179</v>
      </c>
    </row>
    <row r="57" spans="2:8" ht="21.95" customHeight="1" x14ac:dyDescent="0.25">
      <c r="B57" s="66" t="s">
        <v>1180</v>
      </c>
      <c r="C57" s="41"/>
      <c r="D57" s="41"/>
      <c r="E57" s="41"/>
      <c r="F57" s="41"/>
      <c r="G57" s="41"/>
      <c r="H57" s="41"/>
    </row>
    <row r="58" spans="2:8" ht="27.95" customHeight="1" x14ac:dyDescent="0.25">
      <c r="B58" s="49" t="s">
        <v>1181</v>
      </c>
      <c r="C58" s="41"/>
      <c r="D58" s="41"/>
      <c r="E58" s="41"/>
      <c r="F58" s="41"/>
      <c r="G58" s="41"/>
      <c r="H58" s="41"/>
    </row>
    <row r="59" spans="2:8" ht="18" customHeight="1" x14ac:dyDescent="0.25">
      <c r="B59" s="1" t="s">
        <v>1182</v>
      </c>
      <c r="C59" s="4" t="s">
        <v>105</v>
      </c>
      <c r="D59" s="3" t="s">
        <v>463</v>
      </c>
    </row>
    <row r="60" spans="2:8" ht="18" customHeight="1" x14ac:dyDescent="0.25">
      <c r="B60" s="1" t="s">
        <v>1183</v>
      </c>
      <c r="C60" s="4"/>
      <c r="D60" s="3" t="s">
        <v>1184</v>
      </c>
    </row>
    <row r="61" spans="2:8" ht="18" customHeight="1" x14ac:dyDescent="0.25">
      <c r="B61" s="1" t="s">
        <v>1185</v>
      </c>
      <c r="C61" s="4" t="s">
        <v>1186</v>
      </c>
      <c r="D61" s="3" t="s">
        <v>1187</v>
      </c>
    </row>
    <row r="62" spans="2:8" ht="18" customHeight="1" x14ac:dyDescent="0.25">
      <c r="B62" s="1" t="s">
        <v>1188</v>
      </c>
      <c r="C62" s="4" t="s">
        <v>1189</v>
      </c>
      <c r="D62" s="3" t="s">
        <v>1190</v>
      </c>
    </row>
    <row r="63" spans="2:8" ht="18" customHeight="1" x14ac:dyDescent="0.25">
      <c r="B63" s="1" t="s">
        <v>1191</v>
      </c>
      <c r="C63" s="4"/>
      <c r="D63" s="3"/>
    </row>
    <row r="64" spans="2:8" ht="18" customHeight="1" x14ac:dyDescent="0.25">
      <c r="B64" s="1" t="s">
        <v>1192</v>
      </c>
      <c r="C64" s="4"/>
      <c r="D64" s="3"/>
    </row>
    <row r="65" spans="2:8" ht="18" customHeight="1" x14ac:dyDescent="0.25">
      <c r="B65" s="1" t="s">
        <v>1193</v>
      </c>
      <c r="C65" s="4"/>
      <c r="D65" s="3"/>
    </row>
    <row r="66" spans="2:8" ht="18" customHeight="1" x14ac:dyDescent="0.25">
      <c r="B66" s="1" t="s">
        <v>1194</v>
      </c>
      <c r="C66" s="4" t="s">
        <v>105</v>
      </c>
      <c r="D66" s="3" t="s">
        <v>1195</v>
      </c>
    </row>
    <row r="68" spans="2:8" ht="21.95" customHeight="1" x14ac:dyDescent="0.25">
      <c r="B68" s="66" t="s">
        <v>1196</v>
      </c>
      <c r="C68" s="41"/>
      <c r="D68" s="41"/>
      <c r="E68" s="41"/>
      <c r="F68" s="41"/>
      <c r="G68" s="41"/>
      <c r="H68" s="41"/>
    </row>
    <row r="69" spans="2:8" ht="25.5" x14ac:dyDescent="0.25">
      <c r="B69" s="32" t="s">
        <v>1197</v>
      </c>
      <c r="C69" s="32" t="s">
        <v>324</v>
      </c>
      <c r="D69" s="32" t="s">
        <v>730</v>
      </c>
      <c r="E69" s="32"/>
      <c r="F69" s="32"/>
      <c r="G69" s="32"/>
      <c r="H69" s="32" t="s">
        <v>229</v>
      </c>
    </row>
    <row r="70" spans="2:8" ht="21.95" customHeight="1" x14ac:dyDescent="0.25">
      <c r="B70" s="67" t="s">
        <v>1198</v>
      </c>
      <c r="C70" s="41"/>
      <c r="D70" s="41"/>
      <c r="E70" s="41"/>
      <c r="F70" s="41"/>
      <c r="G70" s="41"/>
      <c r="H70" s="41"/>
    </row>
    <row r="71" spans="2:8" ht="20.100000000000001" customHeight="1" x14ac:dyDescent="0.25">
      <c r="B71" s="17" t="s">
        <v>1199</v>
      </c>
      <c r="C71" s="24"/>
      <c r="D71" s="65"/>
      <c r="E71" s="41"/>
      <c r="F71" s="41"/>
      <c r="G71" s="41"/>
      <c r="H71" s="3" t="s">
        <v>872</v>
      </c>
    </row>
    <row r="72" spans="2:8" ht="20.100000000000001" customHeight="1" x14ac:dyDescent="0.25">
      <c r="B72" s="17" t="s">
        <v>1200</v>
      </c>
      <c r="C72" s="24"/>
      <c r="D72" s="65"/>
      <c r="E72" s="41"/>
      <c r="F72" s="41"/>
      <c r="G72" s="41"/>
      <c r="H72" s="3" t="s">
        <v>872</v>
      </c>
    </row>
    <row r="73" spans="2:8" ht="20.100000000000001" customHeight="1" x14ac:dyDescent="0.25">
      <c r="B73" s="17" t="s">
        <v>1201</v>
      </c>
      <c r="C73" s="24"/>
      <c r="D73" s="65"/>
      <c r="E73" s="41"/>
      <c r="F73" s="41"/>
      <c r="G73" s="41"/>
      <c r="H73" s="3" t="s">
        <v>1202</v>
      </c>
    </row>
    <row r="74" spans="2:8" ht="20.100000000000001" customHeight="1" x14ac:dyDescent="0.25">
      <c r="B74" s="17" t="s">
        <v>1203</v>
      </c>
      <c r="C74" s="24"/>
      <c r="D74" s="65"/>
      <c r="E74" s="41"/>
      <c r="F74" s="41"/>
      <c r="G74" s="41"/>
      <c r="H74" s="3" t="s">
        <v>1204</v>
      </c>
    </row>
    <row r="75" spans="2:8" ht="20.100000000000001" customHeight="1" x14ac:dyDescent="0.25">
      <c r="B75" s="17" t="s">
        <v>1205</v>
      </c>
      <c r="C75" s="24"/>
      <c r="D75" s="65"/>
      <c r="E75" s="41"/>
      <c r="F75" s="41"/>
      <c r="G75" s="41"/>
      <c r="H75" s="3" t="s">
        <v>1206</v>
      </c>
    </row>
    <row r="76" spans="2:8" ht="20.100000000000001" customHeight="1" x14ac:dyDescent="0.25">
      <c r="B76" s="17" t="s">
        <v>1207</v>
      </c>
      <c r="C76" s="24"/>
      <c r="D76" s="65"/>
      <c r="E76" s="41"/>
      <c r="F76" s="41"/>
      <c r="G76" s="41"/>
      <c r="H76" s="3" t="s">
        <v>1208</v>
      </c>
    </row>
    <row r="77" spans="2:8" ht="20.100000000000001" customHeight="1" x14ac:dyDescent="0.25">
      <c r="B77" s="17" t="s">
        <v>1209</v>
      </c>
      <c r="C77" s="24"/>
      <c r="D77" s="65"/>
      <c r="E77" s="41"/>
      <c r="F77" s="41"/>
      <c r="G77" s="41"/>
      <c r="H77" s="3" t="s">
        <v>1210</v>
      </c>
    </row>
    <row r="78" spans="2:8" ht="20.100000000000001" customHeight="1" x14ac:dyDescent="0.25">
      <c r="B78" s="17" t="s">
        <v>1211</v>
      </c>
      <c r="C78" s="24"/>
      <c r="D78" s="65"/>
      <c r="E78" s="41"/>
      <c r="F78" s="41"/>
      <c r="G78" s="41"/>
      <c r="H78" s="3" t="s">
        <v>1212</v>
      </c>
    </row>
    <row r="79" spans="2:8" ht="20.100000000000001" customHeight="1" x14ac:dyDescent="0.25">
      <c r="B79" s="17" t="s">
        <v>1213</v>
      </c>
      <c r="C79" s="24"/>
      <c r="D79" s="65"/>
      <c r="E79" s="41"/>
      <c r="F79" s="41"/>
      <c r="G79" s="41"/>
      <c r="H79" s="3" t="s">
        <v>1214</v>
      </c>
    </row>
    <row r="80" spans="2:8" ht="21.95" customHeight="1" x14ac:dyDescent="0.25">
      <c r="B80" s="67" t="s">
        <v>1215</v>
      </c>
      <c r="C80" s="41"/>
      <c r="D80" s="41"/>
      <c r="E80" s="41"/>
      <c r="F80" s="41"/>
      <c r="G80" s="41"/>
      <c r="H80" s="41"/>
    </row>
    <row r="81" spans="2:8" ht="20.100000000000001" customHeight="1" x14ac:dyDescent="0.25">
      <c r="B81" s="17" t="s">
        <v>1216</v>
      </c>
      <c r="C81" s="24"/>
      <c r="D81" s="65"/>
      <c r="E81" s="41"/>
      <c r="F81" s="41"/>
      <c r="G81" s="41"/>
      <c r="H81" s="3" t="s">
        <v>1217</v>
      </c>
    </row>
    <row r="82" spans="2:8" ht="20.100000000000001" customHeight="1" x14ac:dyDescent="0.25">
      <c r="B82" s="17" t="s">
        <v>1218</v>
      </c>
      <c r="C82" s="24"/>
      <c r="D82" s="65"/>
      <c r="E82" s="41"/>
      <c r="F82" s="41"/>
      <c r="G82" s="41"/>
      <c r="H82" s="3" t="s">
        <v>1219</v>
      </c>
    </row>
    <row r="83" spans="2:8" ht="20.100000000000001" customHeight="1" x14ac:dyDescent="0.25">
      <c r="B83" s="17" t="s">
        <v>1220</v>
      </c>
      <c r="C83" s="24"/>
      <c r="D83" s="65"/>
      <c r="E83" s="41"/>
      <c r="F83" s="41"/>
      <c r="G83" s="41"/>
      <c r="H83" s="3" t="s">
        <v>1221</v>
      </c>
    </row>
    <row r="84" spans="2:8" ht="20.100000000000001" customHeight="1" x14ac:dyDescent="0.25">
      <c r="B84" s="17" t="s">
        <v>1222</v>
      </c>
      <c r="C84" s="24"/>
      <c r="D84" s="65"/>
      <c r="E84" s="41"/>
      <c r="F84" s="41"/>
      <c r="G84" s="41"/>
      <c r="H84" s="3" t="s">
        <v>1223</v>
      </c>
    </row>
    <row r="85" spans="2:8" ht="20.100000000000001" customHeight="1" x14ac:dyDescent="0.25">
      <c r="B85" s="17" t="s">
        <v>1224</v>
      </c>
      <c r="C85" s="24"/>
      <c r="D85" s="65"/>
      <c r="E85" s="41"/>
      <c r="F85" s="41"/>
      <c r="G85" s="41"/>
      <c r="H85" s="3" t="s">
        <v>1225</v>
      </c>
    </row>
    <row r="86" spans="2:8" ht="20.100000000000001" customHeight="1" x14ac:dyDescent="0.25">
      <c r="B86" s="17" t="s">
        <v>1226</v>
      </c>
      <c r="C86" s="24"/>
      <c r="D86" s="65"/>
      <c r="E86" s="41"/>
      <c r="F86" s="41"/>
      <c r="G86" s="41"/>
      <c r="H86" s="3" t="s">
        <v>1227</v>
      </c>
    </row>
    <row r="87" spans="2:8" ht="20.100000000000001" customHeight="1" x14ac:dyDescent="0.25">
      <c r="B87" s="17" t="s">
        <v>1228</v>
      </c>
      <c r="C87" s="24"/>
      <c r="D87" s="65"/>
      <c r="E87" s="41"/>
      <c r="F87" s="41"/>
      <c r="G87" s="41"/>
      <c r="H87" s="3" t="s">
        <v>1157</v>
      </c>
    </row>
    <row r="88" spans="2:8" ht="21.95" customHeight="1" x14ac:dyDescent="0.25">
      <c r="B88" s="67" t="s">
        <v>1229</v>
      </c>
      <c r="C88" s="41"/>
      <c r="D88" s="41"/>
      <c r="E88" s="41"/>
      <c r="F88" s="41"/>
      <c r="G88" s="41"/>
      <c r="H88" s="41"/>
    </row>
    <row r="89" spans="2:8" ht="20.100000000000001" customHeight="1" x14ac:dyDescent="0.25">
      <c r="B89" s="17" t="s">
        <v>1230</v>
      </c>
      <c r="C89" s="24"/>
      <c r="D89" s="65"/>
      <c r="E89" s="41"/>
      <c r="F89" s="41"/>
      <c r="G89" s="41"/>
      <c r="H89" s="3" t="s">
        <v>1231</v>
      </c>
    </row>
    <row r="90" spans="2:8" ht="20.100000000000001" customHeight="1" x14ac:dyDescent="0.25">
      <c r="B90" s="17" t="s">
        <v>1232</v>
      </c>
      <c r="C90" s="24"/>
      <c r="D90" s="65"/>
      <c r="E90" s="41"/>
      <c r="F90" s="41"/>
      <c r="G90" s="41"/>
      <c r="H90" s="3" t="s">
        <v>1231</v>
      </c>
    </row>
    <row r="91" spans="2:8" ht="20.100000000000001" customHeight="1" x14ac:dyDescent="0.25">
      <c r="B91" s="17" t="s">
        <v>1233</v>
      </c>
      <c r="C91" s="24"/>
      <c r="D91" s="65"/>
      <c r="E91" s="41"/>
      <c r="F91" s="41"/>
      <c r="G91" s="41"/>
      <c r="H91" s="3" t="s">
        <v>1234</v>
      </c>
    </row>
    <row r="92" spans="2:8" ht="20.100000000000001" customHeight="1" x14ac:dyDescent="0.25">
      <c r="B92" s="17" t="s">
        <v>1235</v>
      </c>
      <c r="C92" s="24"/>
      <c r="D92" s="65"/>
      <c r="E92" s="41"/>
      <c r="F92" s="41"/>
      <c r="G92" s="41"/>
      <c r="H92" s="3" t="s">
        <v>1231</v>
      </c>
    </row>
    <row r="93" spans="2:8" ht="20.100000000000001" customHeight="1" x14ac:dyDescent="0.25">
      <c r="B93" s="17" t="s">
        <v>1236</v>
      </c>
      <c r="C93" s="24"/>
      <c r="D93" s="65"/>
      <c r="E93" s="41"/>
      <c r="F93" s="41"/>
      <c r="G93" s="41"/>
      <c r="H93" s="3" t="s">
        <v>1237</v>
      </c>
    </row>
    <row r="94" spans="2:8" ht="21.95" customHeight="1" x14ac:dyDescent="0.25">
      <c r="B94" s="67" t="s">
        <v>1238</v>
      </c>
      <c r="C94" s="41"/>
      <c r="D94" s="41"/>
      <c r="E94" s="41"/>
      <c r="F94" s="41"/>
      <c r="G94" s="41"/>
      <c r="H94" s="41"/>
    </row>
    <row r="95" spans="2:8" ht="20.100000000000001" customHeight="1" x14ac:dyDescent="0.25">
      <c r="B95" s="17" t="s">
        <v>1239</v>
      </c>
      <c r="C95" s="24"/>
      <c r="D95" s="65"/>
      <c r="E95" s="41"/>
      <c r="F95" s="41"/>
      <c r="G95" s="41"/>
      <c r="H95" s="3" t="s">
        <v>1240</v>
      </c>
    </row>
    <row r="96" spans="2:8" ht="20.100000000000001" customHeight="1" x14ac:dyDescent="0.25">
      <c r="B96" s="17" t="s">
        <v>1241</v>
      </c>
      <c r="C96" s="24"/>
      <c r="D96" s="65"/>
      <c r="E96" s="41"/>
      <c r="F96" s="41"/>
      <c r="G96" s="41"/>
      <c r="H96" s="3" t="s">
        <v>1242</v>
      </c>
    </row>
    <row r="97" spans="2:8" ht="20.100000000000001" customHeight="1" x14ac:dyDescent="0.25">
      <c r="B97" s="17" t="s">
        <v>1243</v>
      </c>
      <c r="C97" s="24"/>
      <c r="D97" s="65"/>
      <c r="E97" s="41"/>
      <c r="F97" s="41"/>
      <c r="G97" s="41"/>
      <c r="H97" s="3" t="s">
        <v>1244</v>
      </c>
    </row>
    <row r="98" spans="2:8" ht="20.100000000000001" customHeight="1" x14ac:dyDescent="0.25">
      <c r="B98" s="17" t="s">
        <v>1245</v>
      </c>
      <c r="C98" s="24"/>
      <c r="D98" s="65"/>
      <c r="E98" s="41"/>
      <c r="F98" s="41"/>
      <c r="G98" s="41"/>
      <c r="H98" s="3" t="s">
        <v>1246</v>
      </c>
    </row>
    <row r="99" spans="2:8" ht="20.100000000000001" customHeight="1" x14ac:dyDescent="0.25">
      <c r="B99" s="17" t="s">
        <v>1247</v>
      </c>
      <c r="C99" s="24"/>
      <c r="D99" s="65"/>
      <c r="E99" s="41"/>
      <c r="F99" s="41"/>
      <c r="G99" s="41"/>
      <c r="H99" s="3" t="s">
        <v>1248</v>
      </c>
    </row>
    <row r="100" spans="2:8" ht="21.95" customHeight="1" x14ac:dyDescent="0.25">
      <c r="B100" s="67" t="s">
        <v>1249</v>
      </c>
      <c r="C100" s="41"/>
      <c r="D100" s="41"/>
      <c r="E100" s="41"/>
      <c r="F100" s="41"/>
      <c r="G100" s="41"/>
      <c r="H100" s="41"/>
    </row>
    <row r="101" spans="2:8" ht="20.100000000000001" customHeight="1" x14ac:dyDescent="0.25">
      <c r="B101" s="17" t="s">
        <v>1250</v>
      </c>
      <c r="C101" s="24"/>
      <c r="D101" s="65"/>
      <c r="E101" s="41"/>
      <c r="F101" s="41"/>
      <c r="G101" s="41"/>
      <c r="H101" s="3" t="s">
        <v>1251</v>
      </c>
    </row>
    <row r="102" spans="2:8" ht="20.100000000000001" customHeight="1" x14ac:dyDescent="0.25">
      <c r="B102" s="17" t="s">
        <v>1252</v>
      </c>
      <c r="C102" s="24"/>
      <c r="D102" s="65"/>
      <c r="E102" s="41"/>
      <c r="F102" s="41"/>
      <c r="G102" s="41"/>
      <c r="H102" s="3" t="s">
        <v>1253</v>
      </c>
    </row>
    <row r="103" spans="2:8" ht="20.100000000000001" customHeight="1" x14ac:dyDescent="0.25">
      <c r="B103" s="17" t="s">
        <v>1254</v>
      </c>
      <c r="C103" s="24"/>
      <c r="D103" s="65"/>
      <c r="E103" s="41"/>
      <c r="F103" s="41"/>
      <c r="G103" s="41"/>
      <c r="H103" s="3" t="s">
        <v>1255</v>
      </c>
    </row>
    <row r="104" spans="2:8" ht="21.95" customHeight="1" x14ac:dyDescent="0.25">
      <c r="B104" s="67" t="s">
        <v>1256</v>
      </c>
      <c r="C104" s="41"/>
      <c r="D104" s="41"/>
      <c r="E104" s="41"/>
      <c r="F104" s="41"/>
      <c r="G104" s="41"/>
      <c r="H104" s="41"/>
    </row>
    <row r="105" spans="2:8" ht="20.100000000000001" customHeight="1" x14ac:dyDescent="0.25">
      <c r="B105" s="17" t="s">
        <v>1257</v>
      </c>
      <c r="C105" s="24"/>
      <c r="D105" s="65"/>
      <c r="E105" s="41"/>
      <c r="F105" s="41"/>
      <c r="G105" s="41"/>
      <c r="H105" s="3" t="s">
        <v>1173</v>
      </c>
    </row>
    <row r="106" spans="2:8" ht="20.100000000000001" customHeight="1" x14ac:dyDescent="0.25">
      <c r="B106" s="17" t="s">
        <v>1258</v>
      </c>
      <c r="C106" s="24"/>
      <c r="D106" s="65"/>
      <c r="E106" s="41"/>
      <c r="F106" s="41"/>
      <c r="G106" s="41"/>
      <c r="H106" s="3" t="s">
        <v>1259</v>
      </c>
    </row>
    <row r="107" spans="2:8" ht="20.100000000000001" customHeight="1" x14ac:dyDescent="0.25">
      <c r="B107" s="17" t="s">
        <v>1260</v>
      </c>
      <c r="C107" s="24"/>
      <c r="D107" s="65"/>
      <c r="E107" s="41"/>
      <c r="F107" s="41"/>
      <c r="G107" s="41"/>
      <c r="H107" s="3" t="s">
        <v>1261</v>
      </c>
    </row>
    <row r="110" spans="2:8" ht="21.95" customHeight="1" x14ac:dyDescent="0.25">
      <c r="B110" s="66" t="s">
        <v>1262</v>
      </c>
      <c r="C110" s="41"/>
      <c r="D110" s="41"/>
      <c r="E110" s="41"/>
      <c r="F110" s="41"/>
      <c r="G110" s="41"/>
      <c r="H110" s="41"/>
    </row>
    <row r="111" spans="2:8" ht="27.95" customHeight="1" x14ac:dyDescent="0.25">
      <c r="B111" s="69" t="s">
        <v>1263</v>
      </c>
      <c r="C111" s="41"/>
      <c r="D111" s="41"/>
      <c r="E111" s="41"/>
      <c r="F111" s="41"/>
      <c r="G111" s="41"/>
      <c r="H111" s="41"/>
    </row>
    <row r="112" spans="2:8" ht="18" customHeight="1" x14ac:dyDescent="0.25">
      <c r="B112" s="1" t="s">
        <v>1095</v>
      </c>
      <c r="C112" s="4"/>
      <c r="D112" s="3" t="s">
        <v>1264</v>
      </c>
    </row>
    <row r="113" spans="2:4" ht="18" customHeight="1" x14ac:dyDescent="0.25">
      <c r="B113" s="1" t="s">
        <v>1265</v>
      </c>
      <c r="C113" s="4"/>
      <c r="D113" s="3" t="s">
        <v>1266</v>
      </c>
    </row>
    <row r="114" spans="2:4" ht="18" customHeight="1" x14ac:dyDescent="0.25">
      <c r="B114" s="1" t="s">
        <v>1267</v>
      </c>
      <c r="C114" s="4" t="s">
        <v>1268</v>
      </c>
      <c r="D114" s="3" t="s">
        <v>1269</v>
      </c>
    </row>
    <row r="115" spans="2:4" ht="18" customHeight="1" x14ac:dyDescent="0.25">
      <c r="B115" s="1" t="s">
        <v>1270</v>
      </c>
      <c r="C115" s="4" t="s">
        <v>1271</v>
      </c>
      <c r="D115" s="3" t="s">
        <v>1272</v>
      </c>
    </row>
    <row r="116" spans="2:4" ht="18" customHeight="1" x14ac:dyDescent="0.25">
      <c r="B116" s="1" t="s">
        <v>1273</v>
      </c>
      <c r="C116" s="4" t="s">
        <v>496</v>
      </c>
      <c r="D116" s="3" t="s">
        <v>1274</v>
      </c>
    </row>
    <row r="117" spans="2:4" ht="18" customHeight="1" x14ac:dyDescent="0.25">
      <c r="B117" s="1" t="s">
        <v>1275</v>
      </c>
      <c r="C117" s="6">
        <f>IFERROR((C114+C115)*3.41264*C112,"—")</f>
        <v>0</v>
      </c>
      <c r="D117" s="3" t="s">
        <v>1276</v>
      </c>
    </row>
    <row r="118" spans="2:4" ht="18" customHeight="1" x14ac:dyDescent="0.25">
      <c r="B118" s="1" t="s">
        <v>1277</v>
      </c>
      <c r="C118" s="6">
        <f>IFERROR(C112*C116,"—")</f>
        <v>0</v>
      </c>
    </row>
    <row r="119" spans="2:4" ht="18" customHeight="1" x14ac:dyDescent="0.25">
      <c r="B119" s="1" t="s">
        <v>1278</v>
      </c>
      <c r="C119" s="6">
        <f>IFERROR(C113*300,"—")</f>
        <v>0</v>
      </c>
      <c r="D119" s="3" t="s">
        <v>1279</v>
      </c>
    </row>
    <row r="120" spans="2:4" ht="20.100000000000001" customHeight="1" x14ac:dyDescent="0.25">
      <c r="B120" s="1" t="s">
        <v>1280</v>
      </c>
      <c r="C120" s="33">
        <f>IFERROR(C117+C118+C119,"—")</f>
        <v>0</v>
      </c>
    </row>
    <row r="121" spans="2:4" ht="20.100000000000001" customHeight="1" x14ac:dyDescent="0.25">
      <c r="B121" s="1" t="s">
        <v>1281</v>
      </c>
      <c r="C121" s="34">
        <f>IFERROR(C120/12000,"—")</f>
        <v>0</v>
      </c>
      <c r="D121" s="3"/>
    </row>
    <row r="122" spans="2:4" ht="20.100000000000001" customHeight="1" x14ac:dyDescent="0.25">
      <c r="B122" s="1" t="s">
        <v>1111</v>
      </c>
      <c r="C122" s="6">
        <f>IFERROR(C112*30,"—")</f>
        <v>0</v>
      </c>
      <c r="D122" s="3" t="s">
        <v>1282</v>
      </c>
    </row>
  </sheetData>
  <mergeCells count="50">
    <mergeCell ref="B111:H111"/>
    <mergeCell ref="D95:G95"/>
    <mergeCell ref="D76:G76"/>
    <mergeCell ref="D107:G107"/>
    <mergeCell ref="B57:H57"/>
    <mergeCell ref="D75:G75"/>
    <mergeCell ref="B88:H88"/>
    <mergeCell ref="D91:G91"/>
    <mergeCell ref="D97:G97"/>
    <mergeCell ref="D72:G72"/>
    <mergeCell ref="D78:G78"/>
    <mergeCell ref="D87:G87"/>
    <mergeCell ref="D106:G106"/>
    <mergeCell ref="D103:G103"/>
    <mergeCell ref="D93:G93"/>
    <mergeCell ref="B110:H110"/>
    <mergeCell ref="B1:F1"/>
    <mergeCell ref="D90:G90"/>
    <mergeCell ref="D81:G81"/>
    <mergeCell ref="D99:G99"/>
    <mergeCell ref="D84:G84"/>
    <mergeCell ref="B58:H58"/>
    <mergeCell ref="B36:H36"/>
    <mergeCell ref="D83:G83"/>
    <mergeCell ref="B3:F3"/>
    <mergeCell ref="D74:G74"/>
    <mergeCell ref="D92:G92"/>
    <mergeCell ref="B24:H24"/>
    <mergeCell ref="D82:G82"/>
    <mergeCell ref="D71:G71"/>
    <mergeCell ref="B68:H68"/>
    <mergeCell ref="B2:F2"/>
    <mergeCell ref="B100:H100"/>
    <mergeCell ref="B23:F23"/>
    <mergeCell ref="D98:G98"/>
    <mergeCell ref="D73:G73"/>
    <mergeCell ref="D105:G105"/>
    <mergeCell ref="B43:H43"/>
    <mergeCell ref="D77:G77"/>
    <mergeCell ref="D96:G96"/>
    <mergeCell ref="D101:G101"/>
    <mergeCell ref="B70:H70"/>
    <mergeCell ref="B104:H104"/>
    <mergeCell ref="B80:H80"/>
    <mergeCell ref="D89:G89"/>
    <mergeCell ref="D85:G85"/>
    <mergeCell ref="B94:H94"/>
    <mergeCell ref="D79:G79"/>
    <mergeCell ref="D86:G86"/>
    <mergeCell ref="D102:G102"/>
  </mergeCells>
  <conditionalFormatting sqref="C5:C108">
    <cfRule type="cellIs" dxfId="4" priority="4" operator="equal">
      <formula>"Y"</formula>
    </cfRule>
    <cfRule type="cellIs" dxfId="3" priority="5" operator="equal">
      <formula>"N"</formula>
    </cfRule>
  </conditionalFormatting>
  <conditionalFormatting sqref="G45:G56">
    <cfRule type="cellIs" dxfId="2" priority="1" operator="equal">
      <formula>"PASS"</formula>
    </cfRule>
    <cfRule type="cellIs" dxfId="1" priority="2" operator="equal">
      <formula>"FAIL"</formula>
    </cfRule>
    <cfRule type="cellIs" dxfId="0" priority="3" operator="equal">
      <formula>"WARN"</formula>
    </cfRule>
  </conditionalFormatting>
  <dataValidations count="1">
    <dataValidation type="list" allowBlank="1" sqref="C71 C72 C73 C74 C75 C76 C77 C78 C79 C81 C82 C83 C84 C85 C86 C87 C89 C90 C91 C92 C93 C95 C96 C97 C98 C99 C101 C102 C103 C105 C106 C107" xr:uid="{00000000-0002-0000-1100-000000000000}">
      <formula1>"Y,N,N/A"</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CCCCC"/>
  </sheetPr>
  <dimension ref="A1:P27"/>
  <sheetViews>
    <sheetView workbookViewId="0"/>
  </sheetViews>
  <sheetFormatPr defaultRowHeight="15" x14ac:dyDescent="0.25"/>
  <sheetData>
    <row r="1" spans="1:16" x14ac:dyDescent="0.25">
      <c r="A1" s="21" t="s">
        <v>1283</v>
      </c>
      <c r="B1" s="21" t="s">
        <v>1284</v>
      </c>
      <c r="C1" s="21" t="s">
        <v>1285</v>
      </c>
      <c r="D1" s="21" t="s">
        <v>1286</v>
      </c>
      <c r="E1" s="21" t="s">
        <v>1287</v>
      </c>
      <c r="F1" s="21" t="s">
        <v>1288</v>
      </c>
      <c r="G1" s="21" t="s">
        <v>1289</v>
      </c>
      <c r="H1" s="21" t="s">
        <v>1290</v>
      </c>
      <c r="I1" s="21" t="s">
        <v>1291</v>
      </c>
      <c r="J1" s="21" t="s">
        <v>1292</v>
      </c>
      <c r="K1" s="21" t="s">
        <v>1293</v>
      </c>
      <c r="L1" s="21" t="s">
        <v>1294</v>
      </c>
      <c r="M1" s="21" t="s">
        <v>1295</v>
      </c>
      <c r="N1" s="35" t="s">
        <v>1296</v>
      </c>
      <c r="O1" s="35" t="s">
        <v>1297</v>
      </c>
      <c r="P1" s="35" t="s">
        <v>1298</v>
      </c>
    </row>
    <row r="2" spans="1:16" x14ac:dyDescent="0.25">
      <c r="A2" t="s">
        <v>1299</v>
      </c>
      <c r="B2" t="s">
        <v>1300</v>
      </c>
      <c r="C2" t="s">
        <v>1301</v>
      </c>
      <c r="D2" t="s">
        <v>1302</v>
      </c>
      <c r="E2" t="s">
        <v>95</v>
      </c>
      <c r="F2" t="s">
        <v>109</v>
      </c>
      <c r="G2" t="s">
        <v>114</v>
      </c>
      <c r="H2" t="s">
        <v>1303</v>
      </c>
      <c r="I2" t="s">
        <v>1304</v>
      </c>
      <c r="J2" t="s">
        <v>446</v>
      </c>
      <c r="K2" t="s">
        <v>500</v>
      </c>
      <c r="L2" t="s">
        <v>1305</v>
      </c>
      <c r="M2" t="s">
        <v>118</v>
      </c>
      <c r="N2" t="s">
        <v>1019</v>
      </c>
      <c r="O2" t="s">
        <v>1306</v>
      </c>
      <c r="P2" t="s">
        <v>1307</v>
      </c>
    </row>
    <row r="3" spans="1:16" x14ac:dyDescent="0.25">
      <c r="A3" t="s">
        <v>1308</v>
      </c>
      <c r="B3" t="s">
        <v>1309</v>
      </c>
      <c r="C3" t="s">
        <v>1310</v>
      </c>
      <c r="D3" t="s">
        <v>1017</v>
      </c>
      <c r="E3" t="s">
        <v>1311</v>
      </c>
      <c r="F3" t="s">
        <v>1312</v>
      </c>
      <c r="G3" t="s">
        <v>1313</v>
      </c>
      <c r="H3" t="s">
        <v>490</v>
      </c>
      <c r="I3" t="s">
        <v>1314</v>
      </c>
      <c r="J3" t="s">
        <v>1315</v>
      </c>
      <c r="K3" t="s">
        <v>512</v>
      </c>
      <c r="L3" t="s">
        <v>500</v>
      </c>
      <c r="M3" t="s">
        <v>1316</v>
      </c>
      <c r="N3" t="s">
        <v>1317</v>
      </c>
      <c r="O3" t="s">
        <v>1318</v>
      </c>
      <c r="P3" t="s">
        <v>1319</v>
      </c>
    </row>
    <row r="4" spans="1:16" x14ac:dyDescent="0.25">
      <c r="A4" t="s">
        <v>1320</v>
      </c>
      <c r="B4" t="s">
        <v>1321</v>
      </c>
      <c r="C4" t="s">
        <v>1322</v>
      </c>
      <c r="D4" t="s">
        <v>1323</v>
      </c>
      <c r="E4" t="s">
        <v>1324</v>
      </c>
      <c r="F4" t="s">
        <v>1325</v>
      </c>
      <c r="G4" t="s">
        <v>1326</v>
      </c>
      <c r="H4" t="s">
        <v>1327</v>
      </c>
      <c r="I4" t="s">
        <v>1328</v>
      </c>
      <c r="J4" t="s">
        <v>1214</v>
      </c>
      <c r="K4" t="s">
        <v>1329</v>
      </c>
      <c r="L4" t="s">
        <v>512</v>
      </c>
      <c r="N4" t="s">
        <v>1330</v>
      </c>
      <c r="O4" t="s">
        <v>1331</v>
      </c>
      <c r="P4" t="s">
        <v>1332</v>
      </c>
    </row>
    <row r="5" spans="1:16" x14ac:dyDescent="0.25">
      <c r="A5" t="s">
        <v>1333</v>
      </c>
      <c r="B5" t="s">
        <v>1334</v>
      </c>
      <c r="C5" t="s">
        <v>1335</v>
      </c>
      <c r="D5" t="s">
        <v>1336</v>
      </c>
      <c r="E5" t="s">
        <v>1337</v>
      </c>
      <c r="F5" t="s">
        <v>1338</v>
      </c>
      <c r="G5" t="s">
        <v>1339</v>
      </c>
      <c r="H5" t="s">
        <v>1340</v>
      </c>
      <c r="J5" t="s">
        <v>1341</v>
      </c>
      <c r="L5" t="s">
        <v>1329</v>
      </c>
      <c r="N5" t="s">
        <v>1342</v>
      </c>
      <c r="O5" t="s">
        <v>1343</v>
      </c>
      <c r="P5" t="s">
        <v>1344</v>
      </c>
    </row>
    <row r="6" spans="1:16" x14ac:dyDescent="0.25">
      <c r="A6" t="s">
        <v>1345</v>
      </c>
      <c r="B6" t="s">
        <v>1346</v>
      </c>
      <c r="C6" t="s">
        <v>1347</v>
      </c>
      <c r="E6" t="s">
        <v>1348</v>
      </c>
      <c r="F6" t="s">
        <v>1349</v>
      </c>
      <c r="G6" t="s">
        <v>1350</v>
      </c>
      <c r="J6" t="s">
        <v>1351</v>
      </c>
      <c r="L6" t="s">
        <v>1352</v>
      </c>
      <c r="O6" t="s">
        <v>1353</v>
      </c>
      <c r="P6" t="s">
        <v>1354</v>
      </c>
    </row>
    <row r="7" spans="1:16" x14ac:dyDescent="0.25">
      <c r="A7" t="s">
        <v>1355</v>
      </c>
      <c r="B7" t="s">
        <v>500</v>
      </c>
      <c r="C7" t="s">
        <v>1356</v>
      </c>
      <c r="F7" t="s">
        <v>1357</v>
      </c>
      <c r="L7" t="s">
        <v>1358</v>
      </c>
      <c r="O7" t="s">
        <v>1359</v>
      </c>
      <c r="P7" t="s">
        <v>1360</v>
      </c>
    </row>
    <row r="8" spans="1:16" x14ac:dyDescent="0.25">
      <c r="A8" t="s">
        <v>1361</v>
      </c>
      <c r="B8" t="s">
        <v>1352</v>
      </c>
      <c r="C8" t="s">
        <v>1362</v>
      </c>
      <c r="F8" t="s">
        <v>1363</v>
      </c>
      <c r="O8" t="s">
        <v>1364</v>
      </c>
      <c r="P8" t="s">
        <v>1365</v>
      </c>
    </row>
    <row r="9" spans="1:16" x14ac:dyDescent="0.25">
      <c r="A9" t="s">
        <v>1366</v>
      </c>
      <c r="B9" t="s">
        <v>1367</v>
      </c>
      <c r="C9" t="s">
        <v>1368</v>
      </c>
      <c r="F9" t="s">
        <v>1369</v>
      </c>
      <c r="O9" t="s">
        <v>1370</v>
      </c>
      <c r="P9" t="s">
        <v>1371</v>
      </c>
    </row>
    <row r="10" spans="1:16" x14ac:dyDescent="0.25">
      <c r="A10" t="s">
        <v>1372</v>
      </c>
      <c r="B10" t="s">
        <v>1373</v>
      </c>
      <c r="C10" t="s">
        <v>1374</v>
      </c>
      <c r="F10" t="s">
        <v>1375</v>
      </c>
      <c r="O10" t="s">
        <v>1376</v>
      </c>
      <c r="P10" t="s">
        <v>1377</v>
      </c>
    </row>
    <row r="11" spans="1:16" x14ac:dyDescent="0.25">
      <c r="A11" t="s">
        <v>1378</v>
      </c>
      <c r="B11" t="s">
        <v>1379</v>
      </c>
      <c r="C11" t="s">
        <v>1380</v>
      </c>
      <c r="F11" t="s">
        <v>1381</v>
      </c>
      <c r="O11" t="s">
        <v>1382</v>
      </c>
      <c r="P11" t="s">
        <v>1383</v>
      </c>
    </row>
    <row r="12" spans="1:16" x14ac:dyDescent="0.25">
      <c r="A12" t="s">
        <v>1384</v>
      </c>
      <c r="B12" t="s">
        <v>1385</v>
      </c>
      <c r="C12" t="s">
        <v>1386</v>
      </c>
      <c r="F12" t="s">
        <v>1387</v>
      </c>
      <c r="O12" t="s">
        <v>1388</v>
      </c>
      <c r="P12" t="s">
        <v>1389</v>
      </c>
    </row>
    <row r="13" spans="1:16" x14ac:dyDescent="0.25">
      <c r="B13" t="s">
        <v>1390</v>
      </c>
      <c r="C13" t="s">
        <v>1016</v>
      </c>
      <c r="F13" t="s">
        <v>1391</v>
      </c>
      <c r="O13" t="s">
        <v>1392</v>
      </c>
      <c r="P13" t="s">
        <v>1393</v>
      </c>
    </row>
    <row r="14" spans="1:16" x14ac:dyDescent="0.25">
      <c r="B14" t="s">
        <v>1394</v>
      </c>
      <c r="O14" t="s">
        <v>1395</v>
      </c>
      <c r="P14" t="s">
        <v>1396</v>
      </c>
    </row>
    <row r="15" spans="1:16" x14ac:dyDescent="0.25">
      <c r="B15" t="s">
        <v>1397</v>
      </c>
      <c r="O15" t="s">
        <v>1398</v>
      </c>
    </row>
    <row r="16" spans="1:16" x14ac:dyDescent="0.25">
      <c r="B16" t="s">
        <v>1399</v>
      </c>
      <c r="O16" t="s">
        <v>1400</v>
      </c>
    </row>
    <row r="17" spans="2:15" x14ac:dyDescent="0.25">
      <c r="B17" t="s">
        <v>1401</v>
      </c>
      <c r="O17" t="s">
        <v>1402</v>
      </c>
    </row>
    <row r="18" spans="2:15" x14ac:dyDescent="0.25">
      <c r="B18" t="s">
        <v>1403</v>
      </c>
      <c r="O18" t="s">
        <v>1404</v>
      </c>
    </row>
    <row r="19" spans="2:15" x14ac:dyDescent="0.25">
      <c r="B19" t="s">
        <v>1405</v>
      </c>
    </row>
    <row r="20" spans="2:15" x14ac:dyDescent="0.25">
      <c r="B20" t="s">
        <v>1406</v>
      </c>
    </row>
    <row r="21" spans="2:15" x14ac:dyDescent="0.25">
      <c r="B21" t="s">
        <v>1407</v>
      </c>
    </row>
    <row r="22" spans="2:15" x14ac:dyDescent="0.25">
      <c r="B22" t="s">
        <v>1408</v>
      </c>
    </row>
    <row r="23" spans="2:15" x14ac:dyDescent="0.25">
      <c r="B23" t="s">
        <v>1409</v>
      </c>
    </row>
    <row r="24" spans="2:15" x14ac:dyDescent="0.25">
      <c r="B24" t="s">
        <v>1410</v>
      </c>
    </row>
    <row r="25" spans="2:15" x14ac:dyDescent="0.25">
      <c r="B25" t="s">
        <v>1411</v>
      </c>
    </row>
    <row r="26" spans="2:15" x14ac:dyDescent="0.25">
      <c r="B26" t="s">
        <v>1412</v>
      </c>
    </row>
    <row r="27" spans="2:15" x14ac:dyDescent="0.25">
      <c r="B27" t="s">
        <v>1413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00_INSTRUCTIONS</vt:lpstr>
      <vt:lpstr>01_PROJECT_ID</vt:lpstr>
      <vt:lpstr>02_ZONING</vt:lpstr>
      <vt:lpstr>03_IBC_AREA_HEIGHT</vt:lpstr>
      <vt:lpstr>04_FIRE_PROTECTION</vt:lpstr>
      <vt:lpstr>05_LIFE_SAFETY_IBC</vt:lpstr>
      <vt:lpstr>06_LIFE_SAFETY_IRC</vt:lpstr>
      <vt:lpstr>07_ACCESSIBILITY</vt:lpstr>
      <vt:lpstr>08_PLUMBING_CALC</vt:lpstr>
      <vt:lpstr>09_ENERGY_CODE</vt:lpstr>
      <vt:lpstr>10_STRUCTURAL</vt:lpstr>
      <vt:lpstr>11_CODE_BLOCK</vt:lpstr>
      <vt:lpstr>12_REVIEW_PROTOCOL</vt:lpstr>
      <vt:lpstr>13_FLAGS</vt:lpstr>
      <vt:lpstr>14_AMENDMENTS</vt:lpstr>
      <vt:lpstr>15_DRAWING_CHECKLIST</vt:lpstr>
      <vt:lpstr>16_MULTI_OCCUPANCY</vt:lpstr>
      <vt:lpstr>17_MECHANICAL</vt:lpstr>
      <vt:lpstr>DATA_LISTS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Ainsworth</cp:lastModifiedBy>
  <dcterms:created xsi:type="dcterms:W3CDTF">2026-04-11T17:27:34Z</dcterms:created>
  <dcterms:modified xsi:type="dcterms:W3CDTF">2026-05-19T15:55:26Z</dcterms:modified>
</cp:coreProperties>
</file>