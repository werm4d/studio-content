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sheets/sheet18.xml" ContentType="application/vnd.openxmlformats-officedocument.spreadsheetml.worksheet+xml"/>
  <Override PartName="/xl/drawings/drawing11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60" yWindow="345" windowWidth="23685" windowHeight="13260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GIONAL FACTORS" sheetId="3" state="visible" r:id="rId3"/>
    <sheet xmlns:r="http://schemas.openxmlformats.org/officeDocument/2006/relationships" name="UNIT PRICE LIBRARY" sheetId="4" state="visible" r:id="rId4"/>
    <sheet xmlns:r="http://schemas.openxmlformats.org/officeDocument/2006/relationships" name="TAKEOFF" sheetId="5" state="visible" r:id="rId5"/>
    <sheet xmlns:r="http://schemas.openxmlformats.org/officeDocument/2006/relationships" name="FLOOR SUMMARY" sheetId="6" state="visible" r:id="rId6"/>
    <sheet xmlns:r="http://schemas.openxmlformats.org/officeDocument/2006/relationships" name="SCENARIO COMP" sheetId="7" state="visible" r:id="rId7"/>
    <sheet xmlns:r="http://schemas.openxmlformats.org/officeDocument/2006/relationships" name="BID SUMMARY" sheetId="8" state="visible" r:id="rId8"/>
    <sheet xmlns:r="http://schemas.openxmlformats.org/officeDocument/2006/relationships" name="BUDGET TRACKER" sheetId="9" state="visible" r:id="rId9"/>
    <sheet xmlns:r="http://schemas.openxmlformats.org/officeDocument/2006/relationships" name="VARIANCE LOG" sheetId="10" state="visible" r:id="rId10"/>
    <sheet xmlns:r="http://schemas.openxmlformats.org/officeDocument/2006/relationships" name="CHANGE ORDER LOG" sheetId="11" state="visible" r:id="rId11"/>
    <sheet xmlns:r="http://schemas.openxmlformats.org/officeDocument/2006/relationships" name="DRAW SCHEDULE" sheetId="12" state="visible" r:id="rId12"/>
    <sheet xmlns:r="http://schemas.openxmlformats.org/officeDocument/2006/relationships" name="GATE DASHBOARD" sheetId="13" state="visible" r:id="rId13"/>
    <sheet xmlns:r="http://schemas.openxmlformats.org/officeDocument/2006/relationships" name="SF BENCHMARK" sheetId="14" state="visible" r:id="rId14"/>
    <sheet xmlns:r="http://schemas.openxmlformats.org/officeDocument/2006/relationships" name="HISTORICAL DB" sheetId="15" state="visible" r:id="rId15"/>
    <sheet xmlns:r="http://schemas.openxmlformats.org/officeDocument/2006/relationships" name="SOFT COSTS" sheetId="16" state="visible" r:id="rId16"/>
    <sheet xmlns:r="http://schemas.openxmlformats.org/officeDocument/2006/relationships" name="CLARIFICATIONS" sheetId="17" state="visible" r:id="rId17"/>
    <sheet xmlns:r="http://schemas.openxmlformats.org/officeDocument/2006/relationships" name="TOTAL PROJECT BUDGET" sheetId="18" state="visible" r:id="rId18"/>
    <sheet xmlns:r="http://schemas.openxmlformats.org/officeDocument/2006/relationships" name="ALDDB EXPORT" sheetId="19" state="visible" r:id="rId19"/>
    <sheet xmlns:r="http://schemas.openxmlformats.org/officeDocument/2006/relationships" name="TAB QA" sheetId="20" state="visible" r:id="rId20"/>
  </sheets>
  <definedNames>
    <definedName name="_xlnm.Print_Area" localSheetId="7">'BID SUMMARY'!$A$1:$F$28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3">
    <numFmt numFmtId="164" formatCode="mm/dd/yyyy"/>
    <numFmt numFmtId="165" formatCode="0.000\x"/>
    <numFmt numFmtId="166" formatCode="0.0%;\(0.0%\);\-"/>
    <numFmt numFmtId="167" formatCode="\$#,##0;&quot;($&quot;#,##0\);\-"/>
    <numFmt numFmtId="168" formatCode="\$#,##0.00"/>
    <numFmt numFmtId="169" formatCode="#,##0;\(#,##0\);\-"/>
    <numFmt numFmtId="170" formatCode="0.0%;\(0.0%\);&quot;N/A&quot;"/>
    <numFmt numFmtId="171" formatCode="0.00%;\(0.00%\);\-"/>
    <numFmt numFmtId="172" formatCode="0,##0;\(0,##0\);\-"/>
    <numFmt numFmtId="173" formatCode="#,##0.0"/>
    <numFmt numFmtId="174" formatCode="$#,##0_);($#,##0)"/>
    <numFmt numFmtId="175" formatCode="0.0%"/>
    <numFmt numFmtId="176" formatCode="0%;\(0%\);\-"/>
  </numFmts>
  <fonts count="85">
    <font>
      <name val="Calibri"/>
      <charset val="1"/>
      <family val="2"/>
      <color theme="1"/>
      <sz val="11"/>
    </font>
    <font>
      <name val="Arial"/>
      <charset val="1"/>
      <b val="1"/>
      <color rgb="FF534AB7"/>
      <sz val="18"/>
    </font>
    <font>
      <name val="Arial"/>
      <charset val="1"/>
      <i val="1"/>
      <color rgb="FF0F6E56"/>
      <sz val="12"/>
    </font>
    <font>
      <name val="Arial"/>
      <charset val="1"/>
      <i val="1"/>
      <color rgb="FF5F5E5A"/>
      <sz val="9"/>
    </font>
    <font>
      <name val="Arial"/>
      <charset val="1"/>
      <b val="1"/>
      <color rgb="FFFFFFFF"/>
      <sz val="11"/>
    </font>
    <font>
      <name val="Arial"/>
      <charset val="1"/>
      <b val="1"/>
      <color rgb="FF0F6E56"/>
      <sz val="10"/>
    </font>
    <font>
      <name val="Arial"/>
      <charset val="1"/>
      <b val="1"/>
      <color rgb="FF534AB7"/>
      <sz val="10"/>
    </font>
    <font>
      <name val="Arial"/>
      <charset val="1"/>
      <color rgb="FF2C2C2A"/>
      <sz val="9"/>
    </font>
    <font>
      <name val="Arial"/>
      <charset val="1"/>
      <b val="1"/>
      <color rgb="FF000080"/>
      <sz val="9"/>
    </font>
    <font>
      <name val="Arial"/>
      <charset val="1"/>
      <b val="1"/>
      <color rgb="FF2C2C2A"/>
      <sz val="9"/>
    </font>
    <font>
      <name val="Arial"/>
      <charset val="1"/>
      <b val="1"/>
      <color rgb="FF000000"/>
      <sz val="9"/>
    </font>
    <font>
      <name val="Arial"/>
      <charset val="1"/>
      <b val="1"/>
      <color rgb="FF006400"/>
      <sz val="9"/>
    </font>
    <font>
      <name val="Arial"/>
      <charset val="1"/>
      <b val="1"/>
      <color rgb="FFFF0000"/>
      <sz val="9"/>
    </font>
    <font>
      <name val="Arial"/>
      <charset val="1"/>
      <i val="1"/>
      <color rgb="FF5F5E5A"/>
      <sz val="8"/>
    </font>
    <font>
      <name val="Arial"/>
      <charset val="1"/>
      <b val="1"/>
      <color rgb="FF5F5E5A"/>
      <sz val="9"/>
    </font>
    <font>
      <name val="Arial"/>
      <charset val="1"/>
      <color rgb="FF2C2C2A"/>
      <sz val="10"/>
    </font>
    <font>
      <name val="Arial"/>
      <charset val="1"/>
      <color rgb="FF000080"/>
      <sz val="10"/>
    </font>
    <font>
      <name val="Arial"/>
      <charset val="1"/>
      <color rgb="FF006400"/>
      <sz val="10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534AB7"/>
      <sz val="11"/>
    </font>
    <font>
      <name val="Arial"/>
      <charset val="1"/>
      <b val="1"/>
      <color rgb="FF006400"/>
      <sz val="11"/>
    </font>
    <font>
      <name val="Arial"/>
      <charset val="1"/>
      <color rgb="FF000080"/>
      <sz val="9"/>
    </font>
    <font>
      <name val="Arial"/>
      <charset val="1"/>
      <b val="1"/>
      <sz val="9"/>
    </font>
    <font>
      <name val="Arial"/>
      <charset val="1"/>
      <color rgb="FF5F5E5A"/>
      <sz val="9"/>
    </font>
    <font>
      <name val="Arial"/>
      <charset val="1"/>
      <b val="1"/>
      <color rgb="FF854F0B"/>
      <sz val="9"/>
    </font>
    <font>
      <name val="Arial"/>
      <charset val="1"/>
      <i val="1"/>
      <color rgb="FF0F6E56"/>
      <sz val="9"/>
    </font>
    <font>
      <name val="Arial"/>
      <charset val="1"/>
      <color rgb="FF000000"/>
      <sz val="9"/>
    </font>
    <font>
      <name val="Arial"/>
      <charset val="1"/>
      <b val="1"/>
      <color rgb="FF000000"/>
      <sz val="11"/>
    </font>
    <font>
      <name val="Arial"/>
      <charset val="1"/>
      <b val="1"/>
      <color rgb="FF854F0B"/>
      <sz val="10"/>
    </font>
    <font>
      <name val="Arial"/>
      <charset val="1"/>
      <color rgb="FF806000"/>
      <sz val="9"/>
    </font>
    <font>
      <name val="Arial"/>
      <charset val="1"/>
      <b val="1"/>
      <color rgb="FF854F0B"/>
      <sz val="11"/>
    </font>
    <font>
      <name val="Arial"/>
      <charset val="1"/>
      <color rgb="FF854F0B"/>
      <sz val="10"/>
    </font>
    <font>
      <name val="Arial"/>
      <charset val="1"/>
      <b val="1"/>
      <color rgb="FF0F6E56"/>
      <sz val="12"/>
    </font>
    <font>
      <name val="Arial"/>
      <charset val="1"/>
      <b val="1"/>
      <color rgb="FF000000"/>
      <sz val="10"/>
    </font>
    <font>
      <name val="Arial"/>
      <charset val="1"/>
      <b val="1"/>
      <color rgb="FFFFFFFF"/>
      <sz val="12"/>
    </font>
    <font>
      <name val="Arial"/>
      <charset val="1"/>
      <b val="1"/>
      <color rgb="FF534AB7"/>
      <sz val="12"/>
    </font>
    <font>
      <name val="Arial"/>
      <charset val="1"/>
      <i val="1"/>
      <color rgb="FF5F5E5A"/>
      <sz val="10"/>
    </font>
    <font>
      <name val="Arial"/>
      <charset val="1"/>
      <b val="1"/>
      <color rgb="FF2C2C2A"/>
      <sz val="10"/>
    </font>
    <font>
      <name val="Arial"/>
      <charset val="1"/>
      <b val="1"/>
      <color rgb="FFFFFFFF"/>
      <sz val="14"/>
    </font>
    <font>
      <name val="Arial"/>
      <charset val="1"/>
      <b val="1"/>
      <color rgb="FF006400"/>
      <sz val="12"/>
    </font>
    <font>
      <name val="Arial"/>
      <charset val="1"/>
      <b val="1"/>
      <color rgb="FF0F6E56"/>
      <sz val="9"/>
    </font>
    <font>
      <name val="Arial"/>
      <charset val="1"/>
      <i val="1"/>
      <color rgb="FF2C2C2A"/>
      <sz val="9"/>
    </font>
    <font>
      <name val="Arial"/>
      <charset val="1"/>
      <b val="1"/>
      <color rgb="FF806000"/>
      <sz val="9"/>
    </font>
    <font>
      <name val="Arial"/>
      <charset val="1"/>
      <i val="1"/>
      <color rgb="FF2C2C2A"/>
      <sz val="8"/>
    </font>
    <font>
      <name val="Arial"/>
      <charset val="1"/>
      <b val="1"/>
      <color rgb="FF0F6E56"/>
      <sz val="11"/>
    </font>
    <font>
      <name val="Arial"/>
      <charset val="1"/>
      <b val="1"/>
      <color rgb="FF993C1D"/>
      <sz val="9"/>
    </font>
    <font>
      <name val="Arial"/>
      <charset val="1"/>
      <b val="1"/>
      <color rgb="FF444441"/>
      <sz val="9"/>
    </font>
    <font>
      <name val="Arial"/>
      <charset val="1"/>
      <b val="1"/>
      <color rgb="FF444441"/>
      <sz val="8"/>
    </font>
    <font>
      <name val="Arial"/>
      <charset val="1"/>
      <b val="1"/>
      <i val="1"/>
      <color rgb="FF854F0B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000080"/>
      <sz val="12"/>
    </font>
    <font>
      <name val="Arial"/>
      <charset val="1"/>
      <b val="1"/>
      <color rgb="FFFFFFFF"/>
      <sz val="13"/>
    </font>
    <font>
      <name val="Arial"/>
      <charset val="1"/>
      <b val="1"/>
      <color rgb="FF444441"/>
      <sz val="10"/>
    </font>
    <font>
      <name val="Arial"/>
      <charset val="1"/>
      <b val="1"/>
      <color rgb="FFFFFFFF"/>
      <sz val="15"/>
    </font>
    <font>
      <name val="Arial"/>
      <charset val="1"/>
      <b val="1"/>
      <color rgb="FF000000"/>
      <sz val="13"/>
    </font>
    <font>
      <name val="Arial"/>
      <charset val="1"/>
      <b val="1"/>
      <color rgb="FF534AB7"/>
      <sz val="9"/>
    </font>
    <font>
      <name val="Arial"/>
      <b val="1"/>
      <color rgb="00196B23"/>
      <sz val="14"/>
    </font>
    <font>
      <name val="Arial"/>
      <color rgb="00333333"/>
      <sz val="10"/>
    </font>
    <font>
      <name val="Arial"/>
      <i val="1"/>
      <color rgb="00888888"/>
      <sz val="8"/>
    </font>
    <font>
      <name val="Arial"/>
      <b val="1"/>
      <color rgb="00FFFFFF"/>
      <sz val="10"/>
    </font>
    <font>
      <name val="Arial"/>
      <b val="1"/>
      <color rgb="00333333"/>
      <sz val="9"/>
    </font>
    <font>
      <name val="Arial"/>
      <color rgb="000000FF"/>
      <sz val="9"/>
    </font>
    <font>
      <name val="Arial"/>
      <i val="1"/>
      <color rgb="00777777"/>
      <sz val="8"/>
    </font>
    <font>
      <name val="Arial"/>
      <color rgb="00000000"/>
      <sz val="9"/>
    </font>
    <font>
      <name val="Arial"/>
      <b val="1"/>
      <color rgb="00FFFFFF"/>
      <sz val="9"/>
    </font>
    <font>
      <name val="Arial"/>
      <color rgb="00006400"/>
      <sz val="9"/>
    </font>
    <font>
      <name val="Arial"/>
      <i val="1"/>
      <color rgb="00F57F17"/>
      <sz val="8"/>
    </font>
    <font>
      <name val="Arial"/>
      <b val="1"/>
      <color rgb="00196B23"/>
      <sz val="12"/>
    </font>
    <font>
      <name val="Arial"/>
      <color rgb="00196B23"/>
      <sz val="9"/>
    </font>
    <font>
      <name val="Arial"/>
      <color rgb="009B1C1C"/>
      <sz val="9"/>
    </font>
    <font>
      <name val="Arial"/>
      <b val="1"/>
      <color rgb="000000FF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color rgb="00333333"/>
      <sz val="9"/>
    </font>
    <font>
      <name val="Arial"/>
      <i val="1"/>
      <color rgb="00BBBBBB"/>
      <sz val="8"/>
    </font>
    <font>
      <name val="Arial"/>
      <color rgb="00000000"/>
      <sz val="8"/>
    </font>
    <font>
      <name val="Arial"/>
      <charset val="1"/>
      <color rgb="FF534AB7"/>
      <sz val="10"/>
    </font>
    <font>
      <name val="Arial"/>
      <charset val="1"/>
      <color rgb="FF1A6B3A"/>
      <sz val="10"/>
    </font>
    <font>
      <name val="Arial"/>
      <charset val="1"/>
      <color rgb="FF0F6E56"/>
      <sz val="10"/>
    </font>
    <font>
      <name val="Arial"/>
      <charset val="1"/>
      <color rgb="FF0F6E56"/>
      <sz val="11"/>
    </font>
    <font>
      <name val="Arial"/>
      <charset val="1"/>
      <b val="1"/>
      <color rgb="FF1A6B3A"/>
      <sz val="11"/>
    </font>
    <font>
      <name val="Arial"/>
      <charset val="1"/>
      <color rgb="FF2C2C2A"/>
      <sz val="11"/>
    </font>
    <font>
      <name val="Arial"/>
      <b val="1"/>
      <color rgb="00196B23"/>
      <sz val="11"/>
    </font>
    <font>
      <name val="Arial"/>
      <i val="1"/>
      <color rgb="009B1C1C"/>
      <sz val="8"/>
    </font>
  </fonts>
  <fills count="36">
    <fill>
      <patternFill/>
    </fill>
    <fill>
      <patternFill patternType="gray125"/>
    </fill>
    <fill>
      <patternFill patternType="solid">
        <fgColor rgb="FFEEEDFE"/>
        <bgColor rgb="FFE8EAF6"/>
      </patternFill>
    </fill>
    <fill>
      <patternFill patternType="solid">
        <fgColor rgb="FF0F6E56"/>
        <bgColor rgb="FF008080"/>
      </patternFill>
    </fill>
    <fill>
      <patternFill patternType="solid">
        <fgColor rgb="FF854F0B"/>
        <bgColor rgb="FF806000"/>
      </patternFill>
    </fill>
    <fill>
      <patternFill patternType="solid">
        <fgColor rgb="FFFFF8E1"/>
        <bgColor rgb="FFFFF8F8"/>
      </patternFill>
    </fill>
    <fill>
      <patternFill patternType="solid">
        <fgColor rgb="FFFFFFFF"/>
        <bgColor rgb="FFFFF8F8"/>
      </patternFill>
    </fill>
    <fill>
      <patternFill patternType="solid">
        <fgColor rgb="FFF0FAF6"/>
        <bgColor rgb="FFF8F7F5"/>
      </patternFill>
    </fill>
    <fill>
      <patternFill patternType="solid">
        <fgColor rgb="FFFFF8F8"/>
        <bgColor rgb="FFF8F7F5"/>
      </patternFill>
    </fill>
    <fill>
      <patternFill patternType="solid">
        <fgColor rgb="FFFFFF00"/>
        <bgColor rgb="FF99CC00"/>
      </patternFill>
    </fill>
    <fill>
      <patternFill patternType="solid">
        <fgColor rgb="FFF1EFE8"/>
        <bgColor rgb="FFFAECE7"/>
      </patternFill>
    </fill>
    <fill>
      <patternFill patternType="solid">
        <fgColor rgb="FF534AB7"/>
        <bgColor rgb="FF5F5E5A"/>
      </patternFill>
    </fill>
    <fill>
      <patternFill patternType="solid">
        <fgColor rgb="FFE1F5EE"/>
        <bgColor rgb="FFE8F5E9"/>
      </patternFill>
    </fill>
    <fill>
      <patternFill patternType="solid">
        <fgColor rgb="FFF8F7F5"/>
        <bgColor rgb="FFFFF8F8"/>
      </patternFill>
    </fill>
    <fill>
      <patternFill patternType="solid">
        <fgColor rgb="FFFAEEDA"/>
        <bgColor rgb="FFFAECE7"/>
      </patternFill>
    </fill>
    <fill>
      <patternFill patternType="solid">
        <fgColor rgb="FFFCE4EC"/>
        <bgColor rgb="FFFAECE7"/>
      </patternFill>
    </fill>
    <fill>
      <patternFill patternType="solid">
        <fgColor rgb="FFE8EAF6"/>
        <bgColor rgb="FFEEEDFE"/>
      </patternFill>
    </fill>
    <fill>
      <patternFill patternType="solid">
        <fgColor rgb="FFE8F5E9"/>
        <bgColor rgb="FFE1F5EE"/>
      </patternFill>
    </fill>
    <fill>
      <patternFill patternType="solid">
        <fgColor rgb="FF993C1D"/>
        <bgColor rgb="FF854F0B"/>
      </patternFill>
    </fill>
    <fill>
      <patternFill patternType="solid">
        <fgColor rgb="FFFAECE7"/>
        <bgColor rgb="FFFFEEEE"/>
      </patternFill>
    </fill>
    <fill>
      <patternFill patternType="solid">
        <fgColor rgb="FFFFEEEE"/>
        <bgColor rgb="FFFAECE7"/>
      </patternFill>
    </fill>
    <fill>
      <patternFill patternType="solid">
        <fgColor rgb="00196B23"/>
      </patternFill>
    </fill>
    <fill>
      <patternFill patternType="solid">
        <fgColor rgb="00F0F0F0"/>
      </patternFill>
    </fill>
    <fill>
      <patternFill patternType="solid">
        <fgColor rgb="002E7D32"/>
      </patternFill>
    </fill>
    <fill>
      <patternFill patternType="solid">
        <fgColor rgb="00333333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FFEEEDFE"/>
        <bgColor rgb="FFE8E7F8"/>
      </patternFill>
    </fill>
    <fill>
      <patternFill patternType="solid">
        <fgColor rgb="FFF1EFE8"/>
        <bgColor rgb="FFFAEEDA"/>
      </patternFill>
    </fill>
    <fill>
      <patternFill patternType="solid">
        <fgColor rgb="FFE1F5EE"/>
        <bgColor rgb="FFE8F7EE"/>
      </patternFill>
    </fill>
    <fill>
      <patternFill patternType="solid">
        <fgColor rgb="FFFFFFFF"/>
        <bgColor rgb="FFE8F7EE"/>
      </patternFill>
    </fill>
    <fill>
      <patternFill patternType="solid">
        <fgColor rgb="FFFAEEDA"/>
        <bgColor rgb="FFF1EFE8"/>
      </patternFill>
    </fill>
    <fill>
      <patternFill patternType="solid">
        <fgColor rgb="FF0F6E56"/>
        <bgColor rgb="FF1A6B3A"/>
      </patternFill>
    </fill>
    <fill>
      <patternFill patternType="solid">
        <fgColor rgb="FFE3F2FD"/>
        <bgColor rgb="FFE1F5EE"/>
      </patternFill>
    </fill>
    <fill>
      <patternFill patternType="solid">
        <fgColor rgb="FFE8F7EE"/>
        <bgColor rgb="FFE1F5EE"/>
      </patternFill>
    </fill>
  </fills>
  <borders count="1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B4B2A9"/>
      </left>
      <right/>
      <top style="thin">
        <color rgb="FFB4B2A9"/>
      </top>
      <bottom style="thin">
        <color rgb="FFB4B2A9"/>
      </bottom>
      <diagonal/>
    </border>
    <border>
      <left style="thin">
        <color rgb="FF534AB7"/>
      </left>
      <right style="thin">
        <color rgb="FF534AB7"/>
      </right>
      <top style="thin">
        <color rgb="FF534AB7"/>
      </top>
      <bottom style="thin">
        <color rgb="FF534AB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/>
      <right/>
      <top style="thin">
        <color rgb="FFB4B2A9"/>
      </top>
      <bottom/>
      <diagonal/>
    </border>
    <border>
      <left/>
      <right/>
      <top style="thin">
        <color rgb="FFB4B2A9"/>
      </top>
      <bottom style="thin">
        <color rgb="FFB4B2A9"/>
      </bottom>
      <diagonal/>
    </border>
    <border>
      <left/>
      <right/>
      <top style="thin">
        <color rgb="FFD3D1C7"/>
      </top>
      <bottom/>
      <diagonal/>
    </border>
    <border>
      <left/>
      <right style="thin">
        <color rgb="FFD3D1C7"/>
      </right>
      <top style="thin">
        <color rgb="FFD3D1C7"/>
      </top>
      <bottom/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 style="thin">
        <color rgb="FFD3D1C7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0">
    <xf numFmtId="0" fontId="0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8" fillId="5" borderId="1" applyAlignment="1" pivotButton="0" quotePrefix="0" xfId="0">
      <alignment horizontal="center" vertical="center"/>
    </xf>
    <xf numFmtId="0" fontId="9" fillId="0" borderId="1" pivotButton="0" quotePrefix="0" xfId="0"/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0" fontId="16" fillId="5" borderId="1" applyAlignment="1" pivotButton="0" quotePrefix="0" xfId="0">
      <alignment horizontal="left" vertical="center"/>
    </xf>
    <xf numFmtId="0" fontId="3" fillId="0" borderId="0" pivotButton="0" quotePrefix="0" xfId="0"/>
    <xf numFmtId="164" fontId="16" fillId="5" borderId="1" applyAlignment="1" pivotButton="0" quotePrefix="0" xfId="0">
      <alignment horizontal="left" vertical="center"/>
    </xf>
    <xf numFmtId="49" fontId="16" fillId="5" borderId="1" applyAlignment="1" pivotButton="0" quotePrefix="0" xfId="0">
      <alignment horizontal="left" vertical="center"/>
    </xf>
    <xf numFmtId="3" fontId="16" fillId="5" borderId="1" applyAlignment="1" pivotButton="0" quotePrefix="0" xfId="0">
      <alignment horizontal="left" vertical="center"/>
    </xf>
    <xf numFmtId="165" fontId="17" fillId="7" borderId="1" applyAlignment="1" pivotButton="0" quotePrefix="0" xfId="0">
      <alignment horizontal="right" vertical="center"/>
    </xf>
    <xf numFmtId="166" fontId="16" fillId="5" borderId="1" applyAlignment="1" pivotButton="0" quotePrefix="0" xfId="0">
      <alignment horizontal="left" vertical="center"/>
    </xf>
    <xf numFmtId="166" fontId="19" fillId="6" borderId="1" applyAlignment="1" pivotButton="0" quotePrefix="0" xfId="0">
      <alignment horizontal="right" vertical="center"/>
    </xf>
    <xf numFmtId="165" fontId="16" fillId="5" borderId="1" applyAlignment="1" pivotButton="0" quotePrefix="0" xfId="0">
      <alignment horizontal="left" vertical="center"/>
    </xf>
    <xf numFmtId="167" fontId="17" fillId="7" borderId="1" applyAlignment="1" pivotButton="0" quotePrefix="0" xfId="0">
      <alignment horizontal="right" vertical="center"/>
    </xf>
    <xf numFmtId="0" fontId="20" fillId="0" borderId="0" pivotButton="0" quotePrefix="0" xfId="0"/>
    <xf numFmtId="167" fontId="21" fillId="7" borderId="1" applyAlignment="1" pivotButton="0" quotePrefix="0" xfId="0">
      <alignment horizontal="right" vertical="center"/>
    </xf>
    <xf numFmtId="0" fontId="15" fillId="0" borderId="1" pivotButton="0" quotePrefix="0" xfId="0"/>
    <xf numFmtId="0" fontId="9" fillId="1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5" fillId="12" borderId="1" pivotButton="0" quotePrefix="0" xfId="0"/>
    <xf numFmtId="168" fontId="16" fillId="5" borderId="1" pivotButton="0" quotePrefix="0" xfId="0"/>
    <xf numFmtId="168" fontId="19" fillId="6" borderId="1" applyAlignment="1" pivotButton="0" quotePrefix="0" xfId="0">
      <alignment horizontal="right" vertical="center"/>
    </xf>
    <xf numFmtId="165" fontId="19" fillId="6" borderId="1" applyAlignment="1" pivotButton="0" quotePrefix="0" xfId="0">
      <alignment horizontal="right" vertical="center"/>
    </xf>
    <xf numFmtId="49" fontId="22" fillId="5" borderId="1" applyAlignment="1" pivotButton="0" quotePrefix="0" xfId="0">
      <alignment horizontal="left" vertical="center"/>
    </xf>
    <xf numFmtId="166" fontId="22" fillId="5" borderId="1" applyAlignment="1" pivotButton="0" quotePrefix="0" xfId="0">
      <alignment horizontal="left" vertical="center"/>
    </xf>
    <xf numFmtId="0" fontId="13" fillId="0" borderId="1" pivotButton="0" quotePrefix="0" xfId="0"/>
    <xf numFmtId="0" fontId="15" fillId="13" borderId="1" pivotButton="0" quotePrefix="0" xfId="0"/>
    <xf numFmtId="168" fontId="16" fillId="5" borderId="1" applyAlignment="1" pivotButton="0" quotePrefix="0" xfId="0">
      <alignment horizontal="left" vertical="center"/>
    </xf>
    <xf numFmtId="0" fontId="23" fillId="0" borderId="0" pivotButton="0" quotePrefix="0" xfId="0"/>
    <xf numFmtId="166" fontId="23" fillId="6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pivotButton="0" quotePrefix="0" xfId="0"/>
    <xf numFmtId="0" fontId="24" fillId="13" borderId="1" applyAlignment="1" pivotButton="0" quotePrefix="0" xfId="0">
      <alignment horizontal="center" vertical="center"/>
    </xf>
    <xf numFmtId="0" fontId="13" fillId="13" borderId="1" pivotButton="0" quotePrefix="0" xfId="0"/>
    <xf numFmtId="0" fontId="7" fillId="6" borderId="1" applyAlignment="1" pivotButton="0" quotePrefix="0" xfId="0">
      <alignment horizontal="center" vertical="center"/>
    </xf>
    <xf numFmtId="0" fontId="9" fillId="14" borderId="1" pivotButton="0" quotePrefix="0" xfId="0"/>
    <xf numFmtId="0" fontId="25" fillId="14" borderId="1" applyAlignment="1" pivotButton="0" quotePrefix="0" xfId="0">
      <alignment horizontal="center" vertical="center"/>
    </xf>
    <xf numFmtId="0" fontId="13" fillId="6" borderId="1" pivotButton="0" quotePrefix="0" xfId="0"/>
    <xf numFmtId="0" fontId="7" fillId="6" borderId="1" pivotButton="0" quotePrefix="0" xfId="0"/>
    <xf numFmtId="0" fontId="24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7" fillId="15" borderId="1" pivotButton="0" quotePrefix="0" xfId="0"/>
    <xf numFmtId="0" fontId="27" fillId="15" borderId="1" applyAlignment="1" pivotButton="0" quotePrefix="0" xfId="0">
      <alignment horizontal="center" vertical="center"/>
    </xf>
    <xf numFmtId="0" fontId="13" fillId="15" borderId="1" pivotButton="0" quotePrefix="0" xfId="0"/>
    <xf numFmtId="169" fontId="16" fillId="5" borderId="1" applyAlignment="1" pivotButton="0" quotePrefix="0" xfId="0">
      <alignment horizontal="left" vertical="center"/>
    </xf>
    <xf numFmtId="168" fontId="17" fillId="7" borderId="1" applyAlignment="1" pivotButton="0" quotePrefix="0" xfId="0">
      <alignment horizontal="right" vertical="center"/>
    </xf>
    <xf numFmtId="167" fontId="19" fillId="6" borderId="1" applyAlignment="1" pivotButton="0" quotePrefix="0" xfId="0">
      <alignment horizontal="right" vertical="center"/>
    </xf>
    <xf numFmtId="49" fontId="16" fillId="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7" fillId="16" borderId="1" pivotButton="0" quotePrefix="0" xfId="0"/>
    <xf numFmtId="0" fontId="27" fillId="16" borderId="1" applyAlignment="1" pivotButton="0" quotePrefix="0" xfId="0">
      <alignment horizontal="center" vertical="center"/>
    </xf>
    <xf numFmtId="0" fontId="13" fillId="16" borderId="1" pivotButton="0" quotePrefix="0" xfId="0"/>
    <xf numFmtId="49" fontId="25" fillId="14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7" fillId="17" borderId="1" pivotButton="0" quotePrefix="0" xfId="0"/>
    <xf numFmtId="0" fontId="27" fillId="17" borderId="1" applyAlignment="1" pivotButton="0" quotePrefix="0" xfId="0">
      <alignment horizontal="center" vertical="center"/>
    </xf>
    <xf numFmtId="0" fontId="13" fillId="17" borderId="1" pivotButton="0" quotePrefix="0" xfId="0"/>
    <xf numFmtId="0" fontId="7" fillId="5" borderId="1" applyAlignment="1" pivotButton="0" quotePrefix="0" xfId="0">
      <alignment horizontal="center" vertical="center"/>
    </xf>
    <xf numFmtId="0" fontId="7" fillId="5" borderId="1" pivotButton="0" quotePrefix="0" xfId="0"/>
    <xf numFmtId="0" fontId="27" fillId="5" borderId="1" applyAlignment="1" pivotButton="0" quotePrefix="0" xfId="0">
      <alignment horizontal="center" vertical="center"/>
    </xf>
    <xf numFmtId="0" fontId="13" fillId="5" borderId="1" pivotButton="0" quotePrefix="0" xfId="0"/>
    <xf numFmtId="167" fontId="28" fillId="6" borderId="1" applyAlignment="1" pivotButton="0" quotePrefix="0" xfId="0">
      <alignment horizontal="right" vertical="center"/>
    </xf>
    <xf numFmtId="0" fontId="9" fillId="14" borderId="1" applyAlignment="1" pivotButton="0" quotePrefix="0" xfId="0">
      <alignment horizontal="center" vertical="center" wrapText="1"/>
    </xf>
    <xf numFmtId="0" fontId="29" fillId="13" borderId="1" applyAlignment="1" pivotButton="0" quotePrefix="0" xfId="0">
      <alignment horizontal="center" vertical="center"/>
    </xf>
    <xf numFmtId="0" fontId="3" fillId="13" borderId="1" pivotButton="0" quotePrefix="0" xfId="0"/>
    <xf numFmtId="49" fontId="30" fillId="9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center" vertical="center"/>
    </xf>
    <xf numFmtId="0" fontId="15" fillId="6" borderId="1" pivotButton="0" quotePrefix="0" xfId="0"/>
    <xf numFmtId="0" fontId="3" fillId="6" borderId="1" pivotButton="0" quotePrefix="0" xfId="0"/>
    <xf numFmtId="3" fontId="19" fillId="6" borderId="1" applyAlignment="1" pivotButton="0" quotePrefix="0" xfId="0">
      <alignment horizontal="right" vertical="center"/>
    </xf>
    <xf numFmtId="0" fontId="33" fillId="12" borderId="1" applyAlignment="1" pivotButton="0" quotePrefix="0" xfId="0">
      <alignment horizontal="center" vertical="center"/>
    </xf>
    <xf numFmtId="167" fontId="34" fillId="6" borderId="1" applyAlignment="1" pivotButton="0" quotePrefix="0" xfId="0">
      <alignment horizontal="right" vertical="center"/>
    </xf>
    <xf numFmtId="0" fontId="35" fillId="3" borderId="1" applyAlignment="1" pivotButton="0" quotePrefix="0" xfId="0">
      <alignment horizontal="center" vertical="center"/>
    </xf>
    <xf numFmtId="167" fontId="28" fillId="12" borderId="1" applyAlignment="1" pivotButton="0" quotePrefix="0" xfId="0">
      <alignment horizontal="right" vertical="center"/>
    </xf>
    <xf numFmtId="0" fontId="38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15" fillId="10" borderId="1" pivotButton="0" quotePrefix="0" xfId="0"/>
    <xf numFmtId="167" fontId="19" fillId="10" borderId="1" applyAlignment="1" pivotButton="0" quotePrefix="0" xfId="0">
      <alignment horizontal="right" vertical="center"/>
    </xf>
    <xf numFmtId="0" fontId="39" fillId="11" borderId="3" applyAlignment="1" pivotButton="0" quotePrefix="0" xfId="0">
      <alignment horizontal="left" vertical="center"/>
    </xf>
    <xf numFmtId="167" fontId="39" fillId="11" borderId="3" applyAlignment="1" pivotButton="0" quotePrefix="0" xfId="0">
      <alignment horizontal="right" vertical="center"/>
    </xf>
    <xf numFmtId="0" fontId="36" fillId="2" borderId="1" pivotButton="0" quotePrefix="0" xfId="0"/>
    <xf numFmtId="167" fontId="40" fillId="2" borderId="1" applyAlignment="1" pivotButton="0" quotePrefix="0" xfId="0">
      <alignment horizontal="right" vertical="center"/>
    </xf>
    <xf numFmtId="0" fontId="3" fillId="2" borderId="1" pivotButton="0" quotePrefix="0" xfId="0"/>
    <xf numFmtId="0" fontId="38" fillId="12" borderId="1" applyAlignment="1" pivotButton="0" quotePrefix="0" xfId="0">
      <alignment horizontal="center" vertical="center" wrapText="1"/>
    </xf>
    <xf numFmtId="3" fontId="17" fillId="7" borderId="1" applyAlignment="1" pivotButton="0" quotePrefix="0" xfId="0">
      <alignment horizontal="right" vertical="center"/>
    </xf>
    <xf numFmtId="170" fontId="19" fillId="6" borderId="1" applyAlignment="1" pivotButton="0" quotePrefix="0" xfId="0">
      <alignment horizontal="right" vertical="center"/>
    </xf>
    <xf numFmtId="49" fontId="19" fillId="6" borderId="1" applyAlignment="1" pivotButton="0" quotePrefix="0" xfId="0">
      <alignment horizontal="right" vertical="center"/>
    </xf>
    <xf numFmtId="0" fontId="41" fillId="0" borderId="1" pivotButton="0" quotePrefix="0" xfId="0"/>
    <xf numFmtId="0" fontId="42" fillId="13" borderId="1" pivotButton="0" quotePrefix="0" xfId="0"/>
    <xf numFmtId="167" fontId="16" fillId="5" borderId="1" applyAlignment="1" pivotButton="0" quotePrefix="0" xfId="0">
      <alignment horizontal="left" vertical="center"/>
    </xf>
    <xf numFmtId="0" fontId="42" fillId="6" borderId="1" pivotButton="0" quotePrefix="0" xfId="0"/>
    <xf numFmtId="0" fontId="7" fillId="14" borderId="1" pivotButton="0" quotePrefix="0" xfId="0"/>
    <xf numFmtId="49" fontId="43" fillId="9" borderId="1" applyAlignment="1" pivotButton="0" quotePrefix="0" xfId="0">
      <alignment horizontal="center" vertical="center"/>
    </xf>
    <xf numFmtId="0" fontId="44" fillId="14" borderId="1" pivotButton="0" quotePrefix="0" xfId="0"/>
    <xf numFmtId="0" fontId="9" fillId="19" borderId="1" applyAlignment="1" pivotButton="0" quotePrefix="0" xfId="0">
      <alignment horizontal="center" vertical="center" wrapText="1"/>
    </xf>
    <xf numFmtId="0" fontId="46" fillId="13" borderId="1" pivotButton="0" quotePrefix="0" xfId="0"/>
    <xf numFmtId="49" fontId="46" fillId="19" borderId="1" applyAlignment="1" pivotButton="0" quotePrefix="0" xfId="0">
      <alignment horizontal="center" vertical="center"/>
    </xf>
    <xf numFmtId="0" fontId="46" fillId="6" borderId="1" pivotButton="0" quotePrefix="0" xfId="0"/>
    <xf numFmtId="49" fontId="7" fillId="14" borderId="1" applyAlignment="1" pivotButton="0" quotePrefix="0" xfId="0">
      <alignment horizontal="center" vertical="center"/>
    </xf>
    <xf numFmtId="49" fontId="46" fillId="20" borderId="1" applyAlignment="1" pivotButton="0" quotePrefix="0" xfId="0">
      <alignment horizontal="center" vertical="center"/>
    </xf>
    <xf numFmtId="49" fontId="7" fillId="12" borderId="1" applyAlignment="1" pivotButton="0" quotePrefix="0" xfId="0">
      <alignment horizontal="center" vertical="center"/>
    </xf>
    <xf numFmtId="49" fontId="7" fillId="2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 wrapText="1"/>
    </xf>
    <xf numFmtId="49" fontId="17" fillId="7" borderId="1" applyAlignment="1" pivotButton="0" quotePrefix="0" xfId="0">
      <alignment horizontal="right" vertical="center"/>
    </xf>
    <xf numFmtId="169" fontId="17" fillId="7" borderId="1" applyAlignment="1" pivotButton="0" quotePrefix="0" xfId="0">
      <alignment horizontal="right" vertical="center"/>
    </xf>
    <xf numFmtId="0" fontId="48" fillId="2" borderId="1" applyAlignment="1" pivotButton="0" quotePrefix="0" xfId="0">
      <alignment horizontal="center" vertical="center"/>
    </xf>
    <xf numFmtId="171" fontId="22" fillId="13" borderId="1" applyAlignment="1" pivotButton="0" quotePrefix="0" xfId="0">
      <alignment horizontal="center" vertical="center"/>
    </xf>
    <xf numFmtId="171" fontId="22" fillId="6" borderId="1" applyAlignment="1" pivotButton="0" quotePrefix="0" xfId="0">
      <alignment horizontal="center" vertical="center"/>
    </xf>
    <xf numFmtId="171" fontId="49" fillId="14" borderId="1" applyAlignment="1" pivotButton="0" quotePrefix="0" xfId="0">
      <alignment horizontal="center" vertical="center"/>
    </xf>
    <xf numFmtId="0" fontId="9" fillId="13" borderId="1" pivotButton="0" quotePrefix="0" xfId="0"/>
    <xf numFmtId="0" fontId="9" fillId="6" borderId="1" pivotButton="0" quotePrefix="0" xfId="0"/>
    <xf numFmtId="0" fontId="41" fillId="12" borderId="1" pivotButton="0" quotePrefix="0" xfId="0"/>
    <xf numFmtId="0" fontId="47" fillId="2" borderId="1" applyAlignment="1" pivotButton="0" quotePrefix="0" xfId="0">
      <alignment horizontal="center" vertical="center" wrapText="1"/>
    </xf>
    <xf numFmtId="0" fontId="38" fillId="13" borderId="1" pivotButton="0" quotePrefix="0" xfId="0"/>
    <xf numFmtId="49" fontId="51" fillId="5" borderId="1" applyAlignment="1" pivotButton="0" quotePrefix="0" xfId="0">
      <alignment horizontal="center" vertical="center"/>
    </xf>
    <xf numFmtId="0" fontId="47" fillId="2" borderId="1" applyAlignment="1" pivotButton="0" quotePrefix="0" xfId="0">
      <alignment horizontal="center" vertical="center"/>
    </xf>
    <xf numFmtId="0" fontId="48" fillId="2" borderId="1" applyAlignment="1" pivotButton="0" quotePrefix="0" xfId="0">
      <alignment horizontal="center" vertical="center" wrapText="1"/>
    </xf>
    <xf numFmtId="171" fontId="17" fillId="7" borderId="1" applyAlignment="1" pivotButton="0" quotePrefix="0" xfId="0">
      <alignment horizontal="right" vertical="center"/>
    </xf>
    <xf numFmtId="167" fontId="19" fillId="1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0" fillId="2" borderId="1" pivotButton="0" quotePrefix="0" xfId="0"/>
    <xf numFmtId="171" fontId="20" fillId="2" borderId="1" applyAlignment="1" pivotButton="0" quotePrefix="0" xfId="0">
      <alignment horizontal="right" vertical="center"/>
    </xf>
    <xf numFmtId="0" fontId="0" fillId="2" borderId="1" pivotButton="0" quotePrefix="0" xfId="0"/>
    <xf numFmtId="167" fontId="20" fillId="2" borderId="1" applyAlignment="1" pivotButton="0" quotePrefix="0" xfId="0">
      <alignment horizontal="right" vertical="center"/>
    </xf>
    <xf numFmtId="171" fontId="16" fillId="5" borderId="1" applyAlignment="1" pivotButton="0" quotePrefix="0" xfId="0">
      <alignment horizontal="left" vertical="center"/>
    </xf>
    <xf numFmtId="0" fontId="20" fillId="12" borderId="1" pivotButton="0" quotePrefix="0" xfId="0"/>
    <xf numFmtId="0" fontId="0" fillId="12" borderId="1" pivotButton="0" quotePrefix="0" xfId="0"/>
    <xf numFmtId="167" fontId="20" fillId="12" borderId="1" applyAlignment="1" pivotButton="0" quotePrefix="0" xfId="0">
      <alignment horizontal="right" vertical="center"/>
    </xf>
    <xf numFmtId="0" fontId="20" fillId="14" borderId="1" pivotButton="0" quotePrefix="0" xfId="0"/>
    <xf numFmtId="0" fontId="0" fillId="14" borderId="1" pivotButton="0" quotePrefix="0" xfId="0"/>
    <xf numFmtId="167" fontId="20" fillId="14" borderId="1" applyAlignment="1" pivotButton="0" quotePrefix="0" xfId="0">
      <alignment horizontal="right" vertical="center"/>
    </xf>
    <xf numFmtId="0" fontId="52" fillId="11" borderId="1" pivotButton="0" quotePrefix="0" xfId="0"/>
    <xf numFmtId="166" fontId="4" fillId="11" borderId="1" applyAlignment="1" pivotButton="0" quotePrefix="0" xfId="0">
      <alignment horizontal="right" vertical="center"/>
    </xf>
    <xf numFmtId="0" fontId="0" fillId="11" borderId="1" pivotButton="0" quotePrefix="0" xfId="0"/>
    <xf numFmtId="167" fontId="52" fillId="11" borderId="1" applyAlignment="1" pivotButton="0" quotePrefix="0" xfId="0">
      <alignment horizontal="right" vertical="center"/>
    </xf>
    <xf numFmtId="0" fontId="26" fillId="0" borderId="0" pivotButton="0" quotePrefix="0" xfId="0"/>
    <xf numFmtId="0" fontId="53" fillId="2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right" vertical="center"/>
    </xf>
    <xf numFmtId="166" fontId="27" fillId="6" borderId="1" applyAlignment="1" pivotButton="0" quotePrefix="0" xfId="0">
      <alignment horizontal="right" vertical="center"/>
    </xf>
    <xf numFmtId="166" fontId="7" fillId="13" borderId="1" applyAlignment="1" pivotButton="0" quotePrefix="0" xfId="0">
      <alignment horizontal="right" vertical="center"/>
    </xf>
    <xf numFmtId="166" fontId="27" fillId="13" borderId="1" applyAlignment="1" pivotButton="0" quotePrefix="0" xfId="0">
      <alignment horizontal="right" vertical="center"/>
    </xf>
    <xf numFmtId="0" fontId="35" fillId="3" borderId="1" pivotButton="0" quotePrefix="0" xfId="0"/>
    <xf numFmtId="167" fontId="35" fillId="3" borderId="1" applyAlignment="1" pivotButton="0" quotePrefix="0" xfId="0">
      <alignment horizontal="right" vertical="center"/>
    </xf>
    <xf numFmtId="166" fontId="4" fillId="3" borderId="1" pivotButton="0" quotePrefix="0" xfId="0"/>
    <xf numFmtId="166" fontId="18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35" fillId="11" borderId="1" pivotButton="0" quotePrefix="0" xfId="0"/>
    <xf numFmtId="167" fontId="35" fillId="11" borderId="1" applyAlignment="1" pivotButton="0" quotePrefix="0" xfId="0">
      <alignment horizontal="right" vertical="center"/>
    </xf>
    <xf numFmtId="166" fontId="18" fillId="11" borderId="1" applyAlignment="1" pivotButton="0" quotePrefix="0" xfId="0">
      <alignment horizontal="right" vertical="center"/>
    </xf>
    <xf numFmtId="172" fontId="15" fillId="10" borderId="1" applyAlignment="1" pivotButton="0" quotePrefix="0" xfId="0">
      <alignment horizontal="right" vertical="center"/>
    </xf>
    <xf numFmtId="166" fontId="16" fillId="5" borderId="1" applyAlignment="1" pivotButton="0" quotePrefix="0" xfId="0">
      <alignment horizontal="right" vertical="center"/>
    </xf>
    <xf numFmtId="166" fontId="27" fillId="0" borderId="1" applyAlignment="1" pivotButton="0" quotePrefix="0" xfId="0">
      <alignment horizontal="right" vertical="center"/>
    </xf>
    <xf numFmtId="172" fontId="15" fillId="6" borderId="1" applyAlignment="1" pivotButton="0" quotePrefix="0" xfId="0">
      <alignment horizontal="right" vertical="center"/>
    </xf>
    <xf numFmtId="0" fontId="31" fillId="14" borderId="1" pivotButton="0" quotePrefix="0" xfId="0"/>
    <xf numFmtId="167" fontId="31" fillId="14" borderId="1" applyAlignment="1" pivotButton="0" quotePrefix="0" xfId="0">
      <alignment horizontal="right" vertical="center"/>
    </xf>
    <xf numFmtId="166" fontId="0" fillId="14" borderId="1" pivotButton="0" quotePrefix="0" xfId="0"/>
    <xf numFmtId="166" fontId="29" fillId="14" borderId="1" applyAlignment="1" pivotButton="0" quotePrefix="0" xfId="0">
      <alignment horizontal="right" vertical="center"/>
    </xf>
    <xf numFmtId="0" fontId="54" fillId="11" borderId="1" pivotButton="0" quotePrefix="0" xfId="0"/>
    <xf numFmtId="167" fontId="54" fillId="11" borderId="1" applyAlignment="1" pivotButton="0" quotePrefix="0" xfId="0">
      <alignment horizontal="right" vertical="center"/>
    </xf>
    <xf numFmtId="166" fontId="35" fillId="11" borderId="1" pivotButton="0" quotePrefix="0" xfId="0"/>
    <xf numFmtId="167" fontId="55" fillId="2" borderId="1" applyAlignment="1" pivotButton="0" quotePrefix="0" xfId="0">
      <alignment horizontal="right" vertical="center"/>
    </xf>
    <xf numFmtId="167" fontId="17" fillId="6" borderId="1" applyAlignment="1" pivotButton="0" quotePrefix="0" xfId="0">
      <alignment horizontal="right" vertical="center"/>
    </xf>
    <xf numFmtId="167" fontId="17" fillId="13" borderId="1" applyAlignment="1" pivotButton="0" quotePrefix="0" xfId="0">
      <alignment horizontal="right" vertical="center"/>
    </xf>
    <xf numFmtId="166" fontId="17" fillId="6" borderId="1" applyAlignment="1" pivotButton="0" quotePrefix="0" xfId="0">
      <alignment horizontal="right" vertical="center"/>
    </xf>
    <xf numFmtId="168" fontId="17" fillId="13" borderId="1" applyAlignment="1" pivotButton="0" quotePrefix="0" xfId="0">
      <alignment horizontal="right" vertical="center"/>
    </xf>
    <xf numFmtId="168" fontId="17" fillId="6" borderId="1" applyAlignment="1" pivotButton="0" quotePrefix="0" xfId="0">
      <alignment horizontal="right" vertical="center"/>
    </xf>
    <xf numFmtId="0" fontId="56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7" fillId="7" borderId="1" applyAlignment="1" pivotButton="0" quotePrefix="0" xfId="0">
      <alignment horizontal="right" vertical="center"/>
    </xf>
    <xf numFmtId="0" fontId="7" fillId="0" borderId="0" pivotButton="0" quotePrefix="0" xfId="0"/>
    <xf numFmtId="0" fontId="13" fillId="10" borderId="2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 wrapText="1"/>
    </xf>
    <xf numFmtId="0" fontId="26" fillId="12" borderId="0" pivotButton="0" quotePrefix="0" xfId="0"/>
    <xf numFmtId="0" fontId="20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31" fillId="0" borderId="0" pivotButton="0" quotePrefix="0" xfId="0"/>
    <xf numFmtId="0" fontId="32" fillId="0" borderId="0" pivotButton="0" quotePrefix="0" xfId="0"/>
    <xf numFmtId="49" fontId="36" fillId="7" borderId="1" applyAlignment="1" pivotButton="0" quotePrefix="0" xfId="0">
      <alignment horizontal="right" vertical="center"/>
    </xf>
    <xf numFmtId="49" fontId="37" fillId="7" borderId="1" applyAlignment="1" pivotButton="0" quotePrefix="0" xfId="0">
      <alignment horizontal="right" vertical="center"/>
    </xf>
    <xf numFmtId="0" fontId="42" fillId="0" borderId="4" pivotButton="0" quotePrefix="0" xfId="0"/>
    <xf numFmtId="0" fontId="3" fillId="12" borderId="0" pivotButton="0" quotePrefix="0" xfId="0"/>
    <xf numFmtId="0" fontId="25" fillId="14" borderId="0" applyAlignment="1" pivotButton="0" quotePrefix="0" xfId="0">
      <alignment horizontal="left" vertical="center" wrapText="1"/>
    </xf>
    <xf numFmtId="0" fontId="42" fillId="14" borderId="0" applyAlignment="1" pivotButton="0" quotePrefix="0" xfId="0">
      <alignment horizontal="left" vertical="center" wrapText="1"/>
    </xf>
    <xf numFmtId="0" fontId="42" fillId="12" borderId="0" applyAlignment="1" pivotButton="0" quotePrefix="0" xfId="0">
      <alignment horizontal="left" vertical="center" wrapText="1"/>
    </xf>
    <xf numFmtId="0" fontId="45" fillId="0" borderId="0" pivotButton="0" quotePrefix="0" xfId="0"/>
    <xf numFmtId="0" fontId="4" fillId="18" borderId="0" applyAlignment="1" pivotButton="0" quotePrefix="0" xfId="0">
      <alignment horizontal="left" vertical="center"/>
    </xf>
    <xf numFmtId="0" fontId="42" fillId="19" borderId="0" applyAlignment="1" pivotButton="0" quotePrefix="0" xfId="0">
      <alignment horizontal="left" vertical="center" wrapText="1"/>
    </xf>
    <xf numFmtId="0" fontId="3" fillId="14" borderId="4" applyAlignment="1" pivotButton="0" quotePrefix="0" xfId="0">
      <alignment horizontal="left" vertical="center" wrapText="1"/>
    </xf>
    <xf numFmtId="0" fontId="18" fillId="18" borderId="0" applyAlignment="1" pivotButton="0" quotePrefix="0" xfId="0">
      <alignment horizontal="left" vertical="center"/>
    </xf>
    <xf numFmtId="0" fontId="47" fillId="10" borderId="0" applyAlignment="1" pivotButton="0" quotePrefix="0" xfId="0">
      <alignment horizontal="left" vertical="center"/>
    </xf>
    <xf numFmtId="0" fontId="26" fillId="12" borderId="4" pivotButton="0" quotePrefix="0" xfId="0"/>
    <xf numFmtId="0" fontId="50" fillId="4" borderId="0" applyAlignment="1" pivotButton="0" quotePrefix="0" xfId="0">
      <alignment horizontal="left" vertical="center"/>
    </xf>
    <xf numFmtId="0" fontId="3" fillId="14" borderId="4" pivotButton="0" quotePrefix="0" xfId="0"/>
    <xf numFmtId="0" fontId="7" fillId="13" borderId="4" pivotButton="0" quotePrefix="0" xfId="0"/>
    <xf numFmtId="0" fontId="7" fillId="6" borderId="4" pivotButton="0" quotePrefix="0" xfId="0"/>
    <xf numFmtId="0" fontId="7" fillId="6" borderId="4" applyAlignment="1" pivotButton="0" quotePrefix="0" xfId="0">
      <alignment horizontal="left" vertical="center"/>
    </xf>
    <xf numFmtId="0" fontId="7" fillId="13" borderId="4" applyAlignment="1" pivotButton="0" quotePrefix="0" xfId="0">
      <alignment horizontal="left" vertical="center"/>
    </xf>
    <xf numFmtId="0" fontId="49" fillId="14" borderId="4" applyAlignment="1" pivotButton="0" quotePrefix="0" xfId="0">
      <alignment horizontal="left" vertical="center"/>
    </xf>
    <xf numFmtId="0" fontId="3" fillId="13" borderId="4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53" fillId="10" borderId="0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 wrapText="1"/>
    </xf>
    <xf numFmtId="0" fontId="20" fillId="7" borderId="4" applyAlignment="1" pivotButton="0" quotePrefix="0" xfId="0">
      <alignment horizontal="right" vertical="center"/>
    </xf>
    <xf numFmtId="0" fontId="7" fillId="12" borderId="4" pivotButton="0" quotePrefix="0" xfId="0"/>
    <xf numFmtId="0" fontId="42" fillId="2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60" fillId="21" borderId="0" applyAlignment="1" pivotButton="0" quotePrefix="0" xfId="0">
      <alignment horizontal="left" vertical="center"/>
    </xf>
    <xf numFmtId="0" fontId="61" fillId="22" borderId="11" applyAlignment="1" pivotButton="0" quotePrefix="0" xfId="0">
      <alignment horizontal="left" vertical="center"/>
    </xf>
    <xf numFmtId="0" fontId="62" fillId="0" borderId="11" applyAlignment="1" pivotButton="0" quotePrefix="0" xfId="0">
      <alignment horizontal="left" vertical="center" wrapText="1"/>
    </xf>
    <xf numFmtId="0" fontId="63" fillId="0" borderId="11" applyAlignment="1" pivotButton="0" quotePrefix="0" xfId="0">
      <alignment horizontal="left" vertical="center" wrapText="1"/>
    </xf>
    <xf numFmtId="3" fontId="64" fillId="0" borderId="11" applyAlignment="1" pivotButton="0" quotePrefix="0" xfId="0">
      <alignment horizontal="left" vertical="center" wrapText="1"/>
    </xf>
    <xf numFmtId="173" fontId="64" fillId="0" borderId="11" applyAlignment="1" pivotButton="0" quotePrefix="0" xfId="0">
      <alignment horizontal="left" vertical="center" wrapText="1"/>
    </xf>
    <xf numFmtId="0" fontId="64" fillId="0" borderId="11" applyAlignment="1" pivotButton="0" quotePrefix="0" xfId="0">
      <alignment horizontal="left" vertical="center" wrapText="1"/>
    </xf>
    <xf numFmtId="0" fontId="65" fillId="23" borderId="11" applyAlignment="1" pivotButton="0" quotePrefix="0" xfId="0">
      <alignment horizontal="center" vertical="center" wrapText="1"/>
    </xf>
    <xf numFmtId="0" fontId="64" fillId="0" borderId="11" applyAlignment="1" pivotButton="0" quotePrefix="0" xfId="0">
      <alignment horizontal="left" vertical="center"/>
    </xf>
    <xf numFmtId="174" fontId="64" fillId="0" borderId="11" applyAlignment="1" pivotButton="0" quotePrefix="0" xfId="0">
      <alignment horizontal="right" vertical="center"/>
    </xf>
    <xf numFmtId="0" fontId="65" fillId="24" borderId="11" applyAlignment="1" pivotButton="0" quotePrefix="0" xfId="0">
      <alignment horizontal="left" vertical="center"/>
    </xf>
    <xf numFmtId="174" fontId="65" fillId="24" borderId="11" applyAlignment="1" pivotButton="0" quotePrefix="0" xfId="0">
      <alignment horizontal="right" vertical="center"/>
    </xf>
    <xf numFmtId="0" fontId="60" fillId="21" borderId="11" applyAlignment="1" pivotButton="0" quotePrefix="0" xfId="0">
      <alignment horizontal="left" vertical="center"/>
    </xf>
    <xf numFmtId="174" fontId="60" fillId="21" borderId="11" applyAlignment="1" pivotButton="0" quotePrefix="0" xfId="0">
      <alignment horizontal="right" vertical="center"/>
    </xf>
    <xf numFmtId="174" fontId="66" fillId="0" borderId="11" applyAlignment="1" pivotButton="0" quotePrefix="0" xfId="0">
      <alignment horizontal="right" vertical="center"/>
    </xf>
    <xf numFmtId="174" fontId="62" fillId="0" borderId="11" applyAlignment="1" pivotButton="0" quotePrefix="0" xfId="0">
      <alignment horizontal="right" vertical="center"/>
    </xf>
    <xf numFmtId="0" fontId="62" fillId="0" borderId="11" applyAlignment="1" pivotButton="0" quotePrefix="0" xfId="0">
      <alignment horizontal="right" vertical="center"/>
    </xf>
    <xf numFmtId="0" fontId="67" fillId="25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left" vertical="center"/>
    </xf>
    <xf numFmtId="0" fontId="65" fillId="21" borderId="11" applyAlignment="1" pivotButton="0" quotePrefix="0" xfId="0">
      <alignment horizontal="center" vertical="center" wrapText="1"/>
    </xf>
    <xf numFmtId="0" fontId="65" fillId="23" borderId="11" applyAlignment="1" pivotButton="0" quotePrefix="0" xfId="0">
      <alignment horizontal="left" vertical="center"/>
    </xf>
    <xf numFmtId="0" fontId="64" fillId="26" borderId="11" applyAlignment="1" pivotButton="0" quotePrefix="0" xfId="0">
      <alignment horizontal="center" vertical="center" wrapText="1"/>
    </xf>
    <xf numFmtId="0" fontId="69" fillId="26" borderId="11" applyAlignment="1" pivotButton="0" quotePrefix="0" xfId="0">
      <alignment horizontal="center" vertical="center" wrapText="1"/>
    </xf>
    <xf numFmtId="0" fontId="70" fillId="26" borderId="11" applyAlignment="1" pivotButton="0" quotePrefix="0" xfId="0">
      <alignment horizontal="center" vertical="center" wrapText="1"/>
    </xf>
    <xf numFmtId="0" fontId="65" fillId="21" borderId="11" applyAlignment="1" pivotButton="0" quotePrefix="0" xfId="0">
      <alignment horizontal="left" vertical="center"/>
    </xf>
    <xf numFmtId="0" fontId="71" fillId="27" borderId="11" applyAlignment="1" pivotButton="0" quotePrefix="0" xfId="0">
      <alignment horizontal="center" vertical="center" wrapText="1"/>
    </xf>
    <xf numFmtId="0" fontId="72" fillId="26" borderId="11" applyAlignment="1" pivotButton="0" quotePrefix="0" xfId="0">
      <alignment horizontal="center" vertical="center" wrapText="1"/>
    </xf>
    <xf numFmtId="0" fontId="0" fillId="0" borderId="9" pivotButton="0" quotePrefix="0" xfId="0"/>
    <xf numFmtId="0" fontId="73" fillId="21" borderId="11" applyAlignment="1" pivotButton="0" quotePrefix="0" xfId="0">
      <alignment horizontal="center" vertical="center" wrapText="1"/>
    </xf>
    <xf numFmtId="0" fontId="74" fillId="26" borderId="11" applyAlignment="1" pivotButton="0" quotePrefix="0" xfId="0">
      <alignment horizontal="left" vertical="center"/>
    </xf>
    <xf numFmtId="0" fontId="75" fillId="0" borderId="11" pivotButton="0" quotePrefix="0" xfId="0"/>
    <xf numFmtId="175" fontId="76" fillId="0" borderId="11" applyAlignment="1" pivotButton="0" quotePrefix="0" xfId="0">
      <alignment horizontal="right" vertical="center"/>
    </xf>
    <xf numFmtId="174" fontId="65" fillId="21" borderId="11" applyAlignment="1" pivotButton="0" quotePrefix="0" xfId="0">
      <alignment horizontal="right" vertical="center"/>
    </xf>
    <xf numFmtId="0" fontId="52" fillId="11" borderId="0" applyAlignment="1" pivotButton="0" quotePrefix="0" xfId="0">
      <alignment horizontal="left" vertical="center"/>
    </xf>
    <xf numFmtId="0" fontId="77" fillId="28" borderId="0" applyAlignment="1" pivotButton="0" quotePrefix="0" xfId="0">
      <alignment horizontal="left" vertical="center"/>
    </xf>
    <xf numFmtId="0" fontId="38" fillId="29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38" fillId="31" borderId="1" applyAlignment="1" pivotButton="0" quotePrefix="0" xfId="0">
      <alignment horizontal="center" vertical="center" wrapText="1"/>
    </xf>
    <xf numFmtId="49" fontId="15" fillId="31" borderId="1" applyAlignment="1" pivotButton="0" quotePrefix="0" xfId="0">
      <alignment horizontal="left" vertical="center"/>
    </xf>
    <xf numFmtId="167" fontId="15" fillId="28" borderId="1" applyAlignment="1" pivotButton="0" quotePrefix="0" xfId="0">
      <alignment horizontal="right" vertical="center"/>
    </xf>
    <xf numFmtId="167" fontId="15" fillId="30" borderId="1" applyAlignment="1" pivotButton="0" quotePrefix="0" xfId="0">
      <alignment horizontal="right" vertical="center"/>
    </xf>
    <xf numFmtId="167" fontId="15" fillId="29" borderId="1" applyAlignment="1" pivotButton="0" quotePrefix="0" xfId="0">
      <alignment horizontal="right" vertical="center"/>
    </xf>
    <xf numFmtId="176" fontId="15" fillId="29" borderId="1" applyAlignment="1" pivotButton="0" quotePrefix="0" xfId="0">
      <alignment horizontal="right" vertical="center"/>
    </xf>
    <xf numFmtId="49" fontId="78" fillId="29" borderId="1" applyAlignment="1" pivotButton="0" quotePrefix="0" xfId="0">
      <alignment horizontal="left" vertical="center"/>
    </xf>
    <xf numFmtId="49" fontId="15" fillId="31" borderId="1" applyAlignment="1" pivotButton="0" quotePrefix="0" xfId="0">
      <alignment horizontal="left" vertical="center" wrapText="1"/>
    </xf>
    <xf numFmtId="49" fontId="15" fillId="29" borderId="1" applyAlignment="1" pivotButton="0" quotePrefix="0" xfId="0">
      <alignment horizontal="left" vertical="center"/>
    </xf>
    <xf numFmtId="49" fontId="32" fillId="29" borderId="1" applyAlignment="1" pivotButton="0" quotePrefix="0" xfId="0">
      <alignment horizontal="left" vertical="center"/>
    </xf>
    <xf numFmtId="0" fontId="15" fillId="28" borderId="1" applyAlignment="1" pivotButton="0" quotePrefix="0" xfId="0">
      <alignment horizontal="right" vertical="center"/>
    </xf>
    <xf numFmtId="0" fontId="15" fillId="30" borderId="1" applyAlignment="1" pivotButton="0" quotePrefix="0" xfId="0">
      <alignment horizontal="right" vertical="center"/>
    </xf>
    <xf numFmtId="0" fontId="38" fillId="32" borderId="1" applyAlignment="1" pivotButton="0" quotePrefix="0" xfId="0">
      <alignment horizontal="center" vertical="center" wrapText="1"/>
    </xf>
    <xf numFmtId="0" fontId="15" fillId="31" borderId="1" applyAlignment="1" pivotButton="0" quotePrefix="0" xfId="0">
      <alignment horizontal="left" vertical="center"/>
    </xf>
    <xf numFmtId="167" fontId="15" fillId="32" borderId="1" applyAlignment="1" pivotButton="0" quotePrefix="0" xfId="0">
      <alignment horizontal="right" vertical="center"/>
    </xf>
    <xf numFmtId="167" fontId="15" fillId="31" borderId="1" applyAlignment="1" pivotButton="0" quotePrefix="0" xfId="0">
      <alignment horizontal="right" vertical="center"/>
    </xf>
    <xf numFmtId="0" fontId="15" fillId="31" borderId="1" applyAlignment="1" pivotButton="0" quotePrefix="0" xfId="0">
      <alignment horizontal="center" vertical="center"/>
    </xf>
    <xf numFmtId="0" fontId="15" fillId="31" borderId="1" applyAlignment="1" pivotButton="0" quotePrefix="0" xfId="0">
      <alignment horizontal="left" vertical="center" wrapText="1"/>
    </xf>
    <xf numFmtId="0" fontId="15" fillId="29" borderId="1" applyAlignment="1" pivotButton="0" quotePrefix="0" xfId="0">
      <alignment horizontal="left" vertical="center"/>
    </xf>
    <xf numFmtId="0" fontId="15" fillId="29" borderId="1" applyAlignment="1" pivotButton="0" quotePrefix="0" xfId="0">
      <alignment horizontal="center" vertical="center"/>
    </xf>
    <xf numFmtId="0" fontId="15" fillId="29" borderId="1" applyAlignment="1" pivotButton="0" quotePrefix="0" xfId="0">
      <alignment horizontal="left" vertical="center" wrapText="1"/>
    </xf>
    <xf numFmtId="0" fontId="15" fillId="32" borderId="1" applyAlignment="1" pivotButton="0" quotePrefix="0" xfId="0">
      <alignment horizontal="right" vertical="center"/>
    </xf>
    <xf numFmtId="0" fontId="15" fillId="31" borderId="1" applyAlignment="1" pivotButton="0" quotePrefix="0" xfId="0">
      <alignment horizontal="right" vertical="center"/>
    </xf>
    <xf numFmtId="0" fontId="20" fillId="28" borderId="1" pivotButton="0" quotePrefix="0" xfId="0"/>
    <xf numFmtId="0" fontId="0" fillId="0" borderId="10" pivotButton="0" quotePrefix="0" xfId="0"/>
    <xf numFmtId="167" fontId="20" fillId="28" borderId="1" pivotButton="0" quotePrefix="0" xfId="0"/>
    <xf numFmtId="0" fontId="52" fillId="33" borderId="0" applyAlignment="1" pivotButton="0" quotePrefix="0" xfId="0">
      <alignment horizontal="left" vertical="center"/>
    </xf>
    <xf numFmtId="0" fontId="79" fillId="30" borderId="0" applyAlignment="1" pivotButton="0" quotePrefix="0" xfId="0">
      <alignment horizontal="left" vertical="center"/>
    </xf>
    <xf numFmtId="0" fontId="38" fillId="30" borderId="1" applyAlignment="1" pivotButton="0" quotePrefix="0" xfId="0">
      <alignment horizontal="center" vertical="center" wrapText="1"/>
    </xf>
    <xf numFmtId="0" fontId="15" fillId="30" borderId="1" pivotButton="0" quotePrefix="0" xfId="0"/>
    <xf numFmtId="167" fontId="0" fillId="31" borderId="1" applyAlignment="1" pivotButton="0" quotePrefix="0" xfId="0">
      <alignment horizontal="right" vertical="center"/>
    </xf>
    <xf numFmtId="167" fontId="16" fillId="34" borderId="1" applyAlignment="1" pivotButton="0" quotePrefix="0" xfId="0">
      <alignment horizontal="right" vertical="center"/>
    </xf>
    <xf numFmtId="166" fontId="0" fillId="31" borderId="1" applyAlignment="1" pivotButton="0" quotePrefix="0" xfId="0">
      <alignment horizontal="right" vertical="center"/>
    </xf>
    <xf numFmtId="167" fontId="0" fillId="29" borderId="1" applyAlignment="1" pivotButton="0" quotePrefix="0" xfId="0">
      <alignment horizontal="right" vertical="center"/>
    </xf>
    <xf numFmtId="166" fontId="0" fillId="29" borderId="1" applyAlignment="1" pivotButton="0" quotePrefix="0" xfId="0">
      <alignment horizontal="right" vertical="center"/>
    </xf>
    <xf numFmtId="0" fontId="45" fillId="30" borderId="1" pivotButton="0" quotePrefix="0" xfId="0"/>
    <xf numFmtId="167" fontId="45" fillId="30" borderId="1" applyAlignment="1" pivotButton="0" quotePrefix="0" xfId="0">
      <alignment horizontal="right" vertical="center"/>
    </xf>
    <xf numFmtId="166" fontId="45" fillId="30" borderId="1" applyAlignment="1" pivotButton="0" quotePrefix="0" xfId="0">
      <alignment horizontal="right" vertical="center"/>
    </xf>
    <xf numFmtId="0" fontId="39" fillId="11" borderId="0" applyAlignment="1" pivotButton="0" quotePrefix="0" xfId="0">
      <alignment horizontal="left" vertical="center"/>
    </xf>
    <xf numFmtId="0" fontId="38" fillId="29" borderId="1" pivotButton="0" quotePrefix="0" xfId="0"/>
    <xf numFmtId="0" fontId="77" fillId="28" borderId="1" pivotButton="0" quotePrefix="0" xfId="0"/>
    <xf numFmtId="0" fontId="6" fillId="28" borderId="1" pivotButton="0" quotePrefix="0" xfId="0"/>
    <xf numFmtId="167" fontId="20" fillId="28" borderId="1" applyAlignment="1" pivotButton="0" quotePrefix="0" xfId="0">
      <alignment horizontal="right" vertical="center"/>
    </xf>
    <xf numFmtId="0" fontId="15" fillId="31" borderId="1" pivotButton="0" quotePrefix="0" xfId="0"/>
    <xf numFmtId="167" fontId="80" fillId="30" borderId="1" applyAlignment="1" pivotButton="0" quotePrefix="0" xfId="0">
      <alignment horizontal="right" vertical="center"/>
    </xf>
    <xf numFmtId="167" fontId="31" fillId="32" borderId="1" applyAlignment="1" pivotButton="0" quotePrefix="0" xfId="0">
      <alignment horizontal="right" vertical="center"/>
    </xf>
    <xf numFmtId="0" fontId="38" fillId="31" borderId="1" pivotButton="0" quotePrefix="0" xfId="0"/>
    <xf numFmtId="167" fontId="81" fillId="35" borderId="1" applyAlignment="1" pivotButton="0" quotePrefix="0" xfId="0">
      <alignment horizontal="right" vertical="center"/>
    </xf>
    <xf numFmtId="0" fontId="15" fillId="29" borderId="1" pivotButton="0" quotePrefix="0" xfId="0"/>
    <xf numFmtId="167" fontId="82" fillId="29" borderId="1" applyAlignment="1" pivotButton="0" quotePrefix="0" xfId="0">
      <alignment horizontal="right" vertical="center"/>
    </xf>
    <xf numFmtId="166" fontId="82" fillId="29" borderId="1" applyAlignment="1" pivotButton="0" quotePrefix="0" xfId="0">
      <alignment horizontal="right" vertical="center"/>
    </xf>
    <xf numFmtId="0" fontId="4" fillId="33" borderId="0" applyAlignment="1" pivotButton="0" quotePrefix="0" xfId="0">
      <alignment horizontal="left" vertical="center"/>
    </xf>
    <xf numFmtId="0" fontId="5" fillId="30" borderId="1" applyAlignment="1" pivotButton="0" quotePrefix="0" xfId="0">
      <alignment horizontal="center" vertical="center"/>
    </xf>
    <xf numFmtId="0" fontId="32" fillId="31" borderId="1" applyAlignment="1" pivotButton="0" quotePrefix="0" xfId="0">
      <alignment horizontal="left" vertical="center"/>
    </xf>
    <xf numFmtId="0" fontId="32" fillId="31" borderId="1" applyAlignment="1" pivotButton="0" quotePrefix="0" xfId="0">
      <alignment horizontal="center" vertical="center"/>
    </xf>
    <xf numFmtId="0" fontId="32" fillId="31" borderId="1" applyAlignment="1" pivotButton="0" quotePrefix="0" xfId="0">
      <alignment horizontal="left" vertical="center" wrapText="1"/>
    </xf>
    <xf numFmtId="0" fontId="83" fillId="0" borderId="0" applyAlignment="1" pivotButton="0" quotePrefix="0" xfId="0">
      <alignment horizontal="left" vertical="center"/>
    </xf>
    <xf numFmtId="0" fontId="84" fillId="0" borderId="0" applyAlignment="1" pivotButton="0" quotePrefix="0" xfId="0">
      <alignment horizontal="left" vertical="center"/>
    </xf>
    <xf numFmtId="0" fontId="66" fillId="0" borderId="11" applyAlignment="1" pivotButton="0" quotePrefix="0" xfId="0">
      <alignment horizontal="left" vertical="center" wrapText="1"/>
    </xf>
    <xf numFmtId="0" fontId="84" fillId="25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6000"/>
      <rgbColor rgb="FF800080"/>
      <rgbColor rgb="FF0F6E56"/>
      <rgbColor rgb="FFB4B2A9"/>
      <rgbColor rgb="FF808080"/>
      <rgbColor rgb="FFF8F7F5"/>
      <rgbColor rgb="FF854F0B"/>
      <rgbColor rgb="FFFFF8E1"/>
      <rgbColor rgb="FFE1F5EE"/>
      <rgbColor rgb="FF660066"/>
      <rgbColor rgb="FFFF8080"/>
      <rgbColor rgb="FF0066CC"/>
      <rgbColor rgb="FFD3D1C7"/>
      <rgbColor rgb="FF000080"/>
      <rgbColor rgb="FFFF00FF"/>
      <rgbColor rgb="FFF1EFE8"/>
      <rgbColor rgb="FF00FFFF"/>
      <rgbColor rgb="FF800080"/>
      <rgbColor rgb="FF800000"/>
      <rgbColor rgb="FF008080"/>
      <rgbColor rgb="FF0000FF"/>
      <rgbColor rgb="FF00CCFF"/>
      <rgbColor rgb="FFE8F5E9"/>
      <rgbColor rgb="FFF0FAF6"/>
      <rgbColor rgb="FFFAEEDA"/>
      <rgbColor rgb="FFE8EAF6"/>
      <rgbColor rgb="FFFAECE7"/>
      <rgbColor rgb="FFEEEDFE"/>
      <rgbColor rgb="FFFCE4EC"/>
      <rgbColor rgb="FF3366FF"/>
      <rgbColor rgb="FF33CCCC"/>
      <rgbColor rgb="FF99CC00"/>
      <rgbColor rgb="FFFFEEEE"/>
      <rgbColor rgb="FFFF9900"/>
      <rgbColor rgb="FFFF6600"/>
      <rgbColor rgb="FF5F5E5A"/>
      <rgbColor rgb="FFFFF8F8"/>
      <rgbColor rgb="FF003366"/>
      <rgbColor rgb="FF339966"/>
      <rgbColor rgb="FF003300"/>
      <rgbColor rgb="FF444441"/>
      <rgbColor rgb="FF993C1D"/>
      <rgbColor rgb="FF993366"/>
      <rgbColor rgb="FF534AB7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twoCellAnchor editAs="absolute">
    <from>
      <col>0</col>
      <colOff>191880</colOff>
      <row>0</row>
      <rowOff>27360</rowOff>
    </from>
    <to>
      <col>4</col>
      <colOff>1181940</colOff>
      <row>1</row>
      <rowOff>7920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1880" y="27360"/>
          <a:ext cx="6400440" cy="456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absolute">
    <from>
      <col>0</col>
      <colOff>191880</colOff>
      <row>0</row>
      <rowOff>27360</rowOff>
    </from>
    <to>
      <col>7</col>
      <colOff>741960</colOff>
      <row>1</row>
      <rowOff>7920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1880" y="27360"/>
          <a:ext cx="6400440" cy="456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absolute">
    <from>
      <col>0</col>
      <colOff>191880</colOff>
      <row>0</row>
      <rowOff>27360</rowOff>
    </from>
    <to>
      <col>5</col>
      <colOff>3511950</colOff>
      <row>1</row>
      <rowOff>7920</rowOff>
    </to>
    <pic>
      <nvPicPr>
        <cNvPr id="3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1880" y="27360"/>
          <a:ext cx="6400440" cy="456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absolute">
    <from>
      <col>0</col>
      <colOff>191880</colOff>
      <row>0</row>
      <rowOff>27360</rowOff>
    </from>
    <to>
      <col>7</col>
      <colOff>1864125</colOff>
      <row>1</row>
      <rowOff>7920</rowOff>
    </to>
    <pic>
      <nvPicPr>
        <cNvPr id="4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1880" y="27360"/>
          <a:ext cx="6400440" cy="456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absolute">
    <from>
      <col>0</col>
      <colOff>191880</colOff>
      <row>0</row>
      <rowOff>27360</rowOff>
    </from>
    <to>
      <col>7</col>
      <colOff>601200</colOff>
      <row>1</row>
      <rowOff>7920</rowOff>
    </to>
    <pic>
      <nvPicPr>
        <cNvPr id="6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1880" y="27360"/>
          <a:ext cx="6400440" cy="456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absolute">
    <from>
      <col>0</col>
      <colOff>191880</colOff>
      <row>0</row>
      <rowOff>27361</rowOff>
    </from>
    <to>
      <col>4</col>
      <colOff>2363040</colOff>
      <row>1</row>
      <rowOff>7919</rowOff>
    </to>
    <pic>
      <nvPicPr>
        <cNvPr id="7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1880" y="27360"/>
          <a:ext cx="6400440" cy="456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absolute">
    <from>
      <col>0</col>
      <colOff>191880</colOff>
      <row>0</row>
      <rowOff>27360</rowOff>
    </from>
    <to>
      <col>6</col>
      <colOff>107640</colOff>
      <row>1</row>
      <rowOff>7920</rowOff>
    </to>
    <pic>
      <nvPicPr>
        <cNvPr id="8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1880" y="27360"/>
          <a:ext cx="6400440" cy="456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absolute">
    <from>
      <col>0</col>
      <colOff>191880</colOff>
      <row>0</row>
      <rowOff>27360</rowOff>
    </from>
    <to>
      <col>6</col>
      <colOff>178200</colOff>
      <row>1</row>
      <rowOff>7920</rowOff>
    </to>
    <pic>
      <nvPicPr>
        <cNvPr id="9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1880" y="27360"/>
          <a:ext cx="6400440" cy="456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absolute">
    <from>
      <col>0</col>
      <colOff>191880</colOff>
      <row>0</row>
      <rowOff>27360</rowOff>
    </from>
    <to>
      <col>5</col>
      <colOff>883080</colOff>
      <row>1</row>
      <rowOff>7920</rowOff>
    </to>
    <pic>
      <nvPicPr>
        <cNvPr id="13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1880" y="27360"/>
          <a:ext cx="6400440" cy="456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absolute">
    <from>
      <col>0</col>
      <colOff>191880</colOff>
      <row>0</row>
      <rowOff>27360</rowOff>
    </from>
    <to>
      <col>5</col>
      <colOff>1164960</colOff>
      <row>1</row>
      <rowOff>7920</rowOff>
    </to>
    <pic>
      <nvPicPr>
        <cNvPr id="1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1880" y="27360"/>
          <a:ext cx="6400440" cy="456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absolute">
    <from>
      <col>0</col>
      <colOff>191880</colOff>
      <row>0</row>
      <rowOff>27360</rowOff>
    </from>
    <to>
      <col>5</col>
      <colOff>460080</colOff>
      <row>1</row>
      <rowOff>7920</rowOff>
    </to>
    <pic>
      <nvPicPr>
        <cNvPr id="14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1880" y="27360"/>
          <a:ext cx="6400440" cy="456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tabColor rgb="00196B23"/>
    <outlinePr summaryBelow="1" summaryRight="1"/>
    <pageSetUpPr/>
  </sheetPr>
  <dimension ref="B1:F69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8" customWidth="1" min="3" max="3"/>
    <col width="2" customWidth="1" min="4" max="4"/>
    <col width="28" customWidth="1" min="5" max="5"/>
    <col width="32" customWidth="1" min="6" max="6"/>
  </cols>
  <sheetData>
    <row r="1" ht="15" customHeight="1">
      <c r="B1" s="229" t="inlineStr">
        <is>
          <t>M4Di  |  OI Tool + ALDi Budget Tracker</t>
        </is>
      </c>
    </row>
    <row r="2" ht="15" customHeight="1">
      <c r="B2" s="230" t="inlineStr">
        <is>
          <t>1212 Lobdel Avenue — Multi-Unit Affordable Infill  |  Document M2_2026_004  |  Version v1</t>
        </is>
      </c>
    </row>
    <row r="3" ht="15" customHeight="1">
      <c r="B3" s="231" t="inlineStr">
        <is>
          <t>April 9, 2026  |  Gate: G0 — ROM  |  Lead: Merge 4 Design LLC (M4D)  |  (c) 2026 M4Di / M4D</t>
        </is>
      </c>
    </row>
    <row r="4" ht="15" customHeight="1"/>
    <row r="5" ht="16" customHeight="1">
      <c r="B5" s="232" t="inlineStr">
        <is>
          <t>PROJECT IDENTITY</t>
        </is>
      </c>
    </row>
    <row r="6" ht="14" customHeight="1">
      <c r="B6" s="233" t="inlineStr">
        <is>
          <t>Project Code</t>
        </is>
      </c>
      <c r="C6" s="234" t="inlineStr">
        <is>
          <t>M2_2026_004</t>
        </is>
      </c>
      <c r="E6" s="235" t="inlineStr">
        <is>
          <t>ALDi document number</t>
        </is>
      </c>
    </row>
    <row r="7" ht="14" customHeight="1">
      <c r="B7" s="233" t="inlineStr">
        <is>
          <t>Project Name</t>
        </is>
      </c>
      <c r="C7" s="234" t="inlineStr">
        <is>
          <t>1212 Lobdel Avenue — Multi-Unit Affordable Infill</t>
        </is>
      </c>
    </row>
    <row r="8" ht="14" customHeight="1">
      <c r="B8" s="233" t="inlineStr">
        <is>
          <t>Address</t>
        </is>
      </c>
      <c r="C8" s="234" t="inlineStr">
        <is>
          <t>1212 Lobdel Avenue, Wilmington, DE 19801</t>
        </is>
      </c>
    </row>
    <row r="9" ht="14" customHeight="1">
      <c r="B9" s="233" t="inlineStr">
        <is>
          <t>Client / Owner</t>
        </is>
      </c>
      <c r="C9" s="234" t="inlineStr">
        <is>
          <t>Wilmington Housing Authority (WHA)</t>
        </is>
      </c>
    </row>
    <row r="10" ht="14" customHeight="1">
      <c r="B10" s="233" t="inlineStr">
        <is>
          <t>Lead Firm</t>
        </is>
      </c>
      <c r="C10" s="234" t="inlineStr">
        <is>
          <t>Merge 4 Design LLC (M4D)</t>
        </is>
      </c>
      <c r="E10" s="235" t="inlineStr">
        <is>
          <t>M4D holds prime WHA contract</t>
        </is>
      </c>
    </row>
    <row r="11" ht="14" customHeight="1">
      <c r="B11" s="233" t="inlineStr">
        <is>
          <t>AOR</t>
        </is>
      </c>
      <c r="C11" s="234" t="inlineStr">
        <is>
          <t>Aubyn Architecture LLC (subconsultant)</t>
        </is>
      </c>
      <c r="E11" s="235" t="inlineStr">
        <is>
          <t>Subconsultant to M4D</t>
        </is>
      </c>
    </row>
    <row r="12" ht="14" customHeight="1">
      <c r="B12" s="233" t="inlineStr">
        <is>
          <t>ALDi Gate</t>
        </is>
      </c>
      <c r="C12" s="234" t="inlineStr">
        <is>
          <t>G0 — ROM</t>
        </is>
      </c>
      <c r="E12" s="235" t="inlineStr">
        <is>
          <t>G0=ROM | G1=Feasibility | G2=75%DD | G3=GMP | G4=Closeout</t>
        </is>
      </c>
    </row>
    <row r="13" ht="14" customHeight="1">
      <c r="B13" s="233" t="inlineStr">
        <is>
          <t>Document Date</t>
        </is>
      </c>
      <c r="C13" s="234" t="inlineStr">
        <is>
          <t>April 9, 2026</t>
        </is>
      </c>
    </row>
    <row r="14" ht="14" customHeight="1">
      <c r="B14" s="233" t="inlineStr">
        <is>
          <t>Version</t>
        </is>
      </c>
      <c r="C14" s="234" t="inlineStr">
        <is>
          <t>v1</t>
        </is>
      </c>
      <c r="E14" s="235" t="inlineStr">
        <is>
          <t>Each version is a fresh complete document</t>
        </is>
      </c>
    </row>
    <row r="15" ht="14" customHeight="1">
      <c r="B15" s="233" t="inlineStr">
        <is>
          <t>Governing Code</t>
        </is>
      </c>
      <c r="C15" s="234" t="inlineStr">
        <is>
          <t>City of Wilmington R-3 — One-Family Row Houses (Ch.48)</t>
        </is>
      </c>
      <c r="E15" s="235" t="inlineStr">
        <is>
          <t>NOT NCC UDC — City of Wilmington Ch.48 only</t>
        </is>
      </c>
    </row>
    <row r="17" ht="16" customHeight="1">
      <c r="B17" s="232" t="inlineStr">
        <is>
          <t>SITE &amp; PROGRAM — DATA SPINE</t>
        </is>
      </c>
    </row>
    <row r="18" ht="14" customHeight="1">
      <c r="B18" s="233" t="inlineStr">
        <is>
          <t>Site Area (SF)</t>
        </is>
      </c>
      <c r="C18" s="236" t="n">
        <v>61705</v>
      </c>
      <c r="E18" s="235" t="inlineStr">
        <is>
          <t>Confirmed: 175 ft x 352.6 ft</t>
        </is>
      </c>
    </row>
    <row r="19" ht="14" customHeight="1">
      <c r="B19" s="233" t="inlineStr">
        <is>
          <t>Site Area (Acres)</t>
        </is>
      </c>
      <c r="C19" s="237" t="n">
        <v>1.39</v>
      </c>
    </row>
    <row r="20" ht="14" customHeight="1">
      <c r="B20" s="233" t="inlineStr">
        <is>
          <t>Site Dimensions</t>
        </is>
      </c>
      <c r="C20" s="234" t="inlineStr">
        <is>
          <t>175 ft x 352.6 ft</t>
        </is>
      </c>
      <c r="E20" s="235" t="inlineStr">
        <is>
          <t>Width x Depth</t>
        </is>
      </c>
    </row>
    <row r="21" ht="14" customHeight="1">
      <c r="B21" s="233" t="inlineStr">
        <is>
          <t>Former Use</t>
        </is>
      </c>
      <c r="C21" s="234" t="inlineStr">
        <is>
          <t>School facility — fully cleared</t>
        </is>
      </c>
      <c r="E21" s="235" t="inlineStr">
        <is>
          <t>No demolition assumed</t>
        </is>
      </c>
    </row>
    <row r="22" ht="14" customHeight="1">
      <c r="B22" s="233" t="inlineStr">
        <is>
          <t>Zoning</t>
        </is>
      </c>
      <c r="C22" s="234" t="inlineStr">
        <is>
          <t>R-3</t>
        </is>
      </c>
      <c r="E22" s="235" t="inlineStr">
        <is>
          <t>City of Wilmington One-Family Row Houses</t>
        </is>
      </c>
    </row>
    <row r="23" ht="14" customHeight="1">
      <c r="B23" s="233" t="inlineStr">
        <is>
          <t>Construction Type</t>
        </is>
      </c>
      <c r="C23" s="234" t="inlineStr">
        <is>
          <t>B - Off-Site Modular</t>
        </is>
      </c>
      <c r="E23" s="235" t="inlineStr">
        <is>
          <t>A=CLT/SIP | B=Modular | C=Stick</t>
        </is>
      </c>
    </row>
    <row r="24" ht="14" customHeight="1">
      <c r="B24" s="233" t="inlineStr">
        <is>
          <t>Total Units (Scen. I)</t>
        </is>
      </c>
      <c r="C24" s="236" t="n">
        <v>36</v>
      </c>
      <c r="E24" s="235" t="inlineStr">
        <is>
          <t>4 rows x 9 units x 18 ft wide</t>
        </is>
      </c>
    </row>
    <row r="25" ht="14" customHeight="1">
      <c r="B25" s="233" t="inlineStr">
        <is>
          <t>Units Per Row</t>
        </is>
      </c>
      <c r="C25" s="238" t="n">
        <v>9</v>
      </c>
      <c r="E25" s="235" t="inlineStr">
        <is>
          <t>Max 10 per Wilmington building code Sec.504.4.2</t>
        </is>
      </c>
    </row>
    <row r="26" ht="14" customHeight="1">
      <c r="B26" s="233" t="inlineStr">
        <is>
          <t>Number of Rows</t>
        </is>
      </c>
      <c r="C26" s="238" t="n">
        <v>4</v>
      </c>
      <c r="E26" s="235" t="inlineStr">
        <is>
          <t>4-row layout</t>
        </is>
      </c>
    </row>
    <row r="27" ht="14" customHeight="1">
      <c r="B27" s="233" t="inlineStr">
        <is>
          <t>Unit Width (ft)</t>
        </is>
      </c>
      <c r="C27" s="236" t="n">
        <v>18</v>
      </c>
      <c r="E27" s="235" t="inlineStr">
        <is>
          <t>Exceeds existing 14-16 ft block face stock</t>
        </is>
      </c>
    </row>
    <row r="28" ht="14" customHeight="1">
      <c r="B28" s="233" t="inlineStr">
        <is>
          <t>Unit Depth (ft)</t>
        </is>
      </c>
      <c r="C28" s="236" t="n">
        <v>35</v>
      </c>
    </row>
    <row r="29" ht="14" customHeight="1">
      <c r="B29" s="233" t="inlineStr">
        <is>
          <t>Unit Size (SF)</t>
        </is>
      </c>
      <c r="C29" s="236" t="n">
        <v>1260</v>
      </c>
      <c r="E29" s="235" t="inlineStr">
        <is>
          <t>18 ft x 35 ft x 2 stories</t>
        </is>
      </c>
    </row>
    <row r="30" ht="14" customHeight="1">
      <c r="B30" s="233" t="inlineStr">
        <is>
          <t>Total GFA (SF)</t>
        </is>
      </c>
      <c r="C30" s="236" t="n">
        <v>45360</v>
      </c>
      <c r="E30" s="235" t="inlineStr">
        <is>
          <t>36 units x 1260 SF</t>
        </is>
      </c>
    </row>
    <row r="31" ht="14" customHeight="1">
      <c r="B31" s="233" t="inlineStr">
        <is>
          <t>Front Setback (adopted, ft)</t>
        </is>
      </c>
      <c r="C31" s="236" t="n">
        <v>20</v>
      </c>
      <c r="E31" s="235" t="inlineStr">
        <is>
          <t>Exceeds &lt;17 ft contextual avg. New standard.</t>
        </is>
      </c>
    </row>
    <row r="32" ht="14" customHeight="1">
      <c r="B32" s="233" t="inlineStr">
        <is>
          <t>Rear Setback (required, ft)</t>
        </is>
      </c>
      <c r="C32" s="236" t="n">
        <v>20</v>
      </c>
      <c r="E32" s="235" t="inlineStr">
        <is>
          <t>Per Sec.48-155</t>
        </is>
      </c>
    </row>
    <row r="33" ht="14" customHeight="1">
      <c r="B33" s="233" t="inlineStr">
        <is>
          <t>Site Depth Used (ft)</t>
        </is>
      </c>
      <c r="C33" s="236" t="n">
        <v>240</v>
      </c>
      <c r="E33" s="235" t="inlineStr">
        <is>
          <t>20+4x35+3x20+20 = 240 ft</t>
        </is>
      </c>
    </row>
    <row r="34" ht="14" customHeight="1">
      <c r="B34" s="233" t="inlineStr">
        <is>
          <t>Surplus Depth (ft)</t>
        </is>
      </c>
      <c r="C34" s="237" t="n">
        <v>112.6</v>
      </c>
      <c r="E34" s="235" t="inlineStr">
        <is>
          <t>Parking, garden, bio-retention</t>
        </is>
      </c>
    </row>
    <row r="37" ht="16" customHeight="1">
      <c r="B37" s="232" t="inlineStr">
        <is>
          <t>COLUMN D — ROM (LOCKED AT GATE 0)</t>
        </is>
      </c>
    </row>
    <row r="38" ht="15" customHeight="1">
      <c r="B38" s="239" t="inlineStr">
        <is>
          <t>LINE ITEM</t>
        </is>
      </c>
      <c r="C38" s="239" t="inlineStr">
        <is>
          <t>AMOUNT ($)</t>
        </is>
      </c>
      <c r="E38" s="239" t="inlineStr">
        <is>
          <t>NOTES</t>
        </is>
      </c>
    </row>
    <row r="39" ht="14" customHeight="1">
      <c r="B39" s="240" t="inlineStr">
        <is>
          <t>Sitework / Civil</t>
        </is>
      </c>
      <c r="C39" s="241" t="n">
        <v>432000</v>
      </c>
    </row>
    <row r="40" ht="14" customHeight="1">
      <c r="B40" s="240" t="inlineStr">
        <is>
          <t>Foundations (modular-spec)</t>
        </is>
      </c>
      <c r="C40" s="241" t="n">
        <v>816480</v>
      </c>
    </row>
    <row r="41" ht="14" customHeight="1">
      <c r="B41" s="240" t="inlineStr">
        <is>
          <t>Modular Factory Units (factory-complete)</t>
        </is>
      </c>
      <c r="C41" s="241" t="n">
        <v>3009600</v>
      </c>
    </row>
    <row r="42" ht="14" customHeight="1">
      <c r="B42" s="240" t="inlineStr">
        <is>
          <t>Freight + Set (crane, ~200 mi)</t>
        </is>
      </c>
      <c r="C42" s="241" t="n">
        <v>540000</v>
      </c>
    </row>
    <row r="43" ht="14" customHeight="1">
      <c r="B43" s="240" t="inlineStr">
        <is>
          <t>Site MEP Tie-Ins + Utility Connections</t>
        </is>
      </c>
      <c r="C43" s="241" t="n">
        <v>306000</v>
      </c>
    </row>
    <row r="44" ht="14" customHeight="1">
      <c r="B44" s="240" t="inlineStr">
        <is>
          <t>Exterior Finish Completion</t>
        </is>
      </c>
      <c r="C44" s="241" t="n">
        <v>726000</v>
      </c>
    </row>
    <row r="45" ht="14" customHeight="1">
      <c r="B45" s="240" t="inlineStr">
        <is>
          <t>Interior Finish Completion (punch-out)</t>
        </is>
      </c>
      <c r="C45" s="241" t="n">
        <v>234000</v>
      </c>
    </row>
    <row r="46" ht="14" customHeight="1">
      <c r="B46" s="240" t="inlineStr">
        <is>
          <t>Shared Open Space / Parking Court</t>
        </is>
      </c>
      <c r="C46" s="241" t="n">
        <v>200000</v>
      </c>
    </row>
    <row r="47" ht="14" customHeight="1">
      <c r="B47" s="240" t="inlineStr">
        <is>
          <t>Landscaping / Fencing / Unit Walks</t>
        </is>
      </c>
      <c r="C47" s="241" t="n">
        <v>162000</v>
      </c>
    </row>
    <row r="48" ht="15" customHeight="1">
      <c r="B48" s="242" t="inlineStr">
        <is>
          <t>HARD COST SUBTOTAL</t>
        </is>
      </c>
      <c r="C48" s="243">
        <f>SUM(C39:C47)</f>
        <v/>
      </c>
    </row>
    <row r="49" ht="14" customHeight="1">
      <c r="B49" s="240" t="inlineStr">
        <is>
          <t>General Conditions (8%)</t>
        </is>
      </c>
      <c r="C49" s="241">
        <f>0.08*C48</f>
        <v/>
      </c>
    </row>
    <row r="50" ht="14" customHeight="1">
      <c r="B50" s="240" t="inlineStr">
        <is>
          <t>OH&amp;P / GC Fee (6%)</t>
        </is>
      </c>
      <c r="C50" s="241">
        <f>0.06*(C48+C49)</f>
        <v/>
      </c>
    </row>
    <row r="51" ht="14" customHeight="1">
      <c r="B51" s="240" t="inlineStr">
        <is>
          <t>Design Contingency (6%)</t>
        </is>
      </c>
      <c r="C51" s="241">
        <f>0.06*(C48+C49+C50)</f>
        <v/>
      </c>
    </row>
    <row r="52" ht="14" customHeight="1">
      <c r="B52" s="240" t="inlineStr">
        <is>
          <t>Soft Costs (12%)</t>
        </is>
      </c>
      <c r="C52" s="241">
        <f>0.12*(C48+C49+C50+C51)</f>
        <v/>
      </c>
    </row>
    <row r="53" ht="14" customHeight="1">
      <c r="B53" s="240" t="inlineStr">
        <is>
          <t>Owner Contingency (5%)</t>
        </is>
      </c>
      <c r="C53" s="241">
        <f>0.05*(C48+C49+C50+C51+C52)</f>
        <v/>
      </c>
    </row>
    <row r="54" ht="18" customHeight="1">
      <c r="B54" s="244" t="inlineStr">
        <is>
          <t>TOTAL PROJECT ROM — COLUMN D (LOCKED)</t>
        </is>
      </c>
      <c r="C54" s="245">
        <f>SUM(C48,C49,C50,C51,C52,C53)</f>
        <v/>
      </c>
    </row>
    <row r="56" ht="16" customHeight="1">
      <c r="B56" s="232" t="inlineStr">
        <is>
          <t>UNIT ECONOMICS — DATA SPINE OUTPUT</t>
        </is>
      </c>
    </row>
    <row r="57" ht="14" customHeight="1">
      <c r="B57" s="233" t="inlineStr">
        <is>
          <t>Total Project ROM (= Col D)</t>
        </is>
      </c>
      <c r="C57" s="246">
        <f>C54</f>
        <v/>
      </c>
      <c r="E57" s="235" t="inlineStr">
        <is>
          <t>Locked. Cross-ref to BUDGET TRACKER Col D.</t>
        </is>
      </c>
    </row>
    <row r="58" ht="14" customHeight="1">
      <c r="B58" s="233" t="inlineStr">
        <is>
          <t>Total Units (Scenario I)</t>
        </is>
      </c>
      <c r="C58" s="246">
        <f>C24</f>
        <v/>
      </c>
      <c r="E58" s="235" t="inlineStr">
        <is>
          <t>From Site &amp; Program above.</t>
        </is>
      </c>
    </row>
    <row r="59" ht="14" customHeight="1">
      <c r="B59" s="233" t="inlineStr">
        <is>
          <t>Cost Per Unit</t>
        </is>
      </c>
      <c r="C59" s="246">
        <f>C57/C58</f>
        <v/>
      </c>
      <c r="E59" s="235" t="inlineStr">
        <is>
          <t>ROM / units</t>
        </is>
      </c>
    </row>
    <row r="60" ht="14" customHeight="1">
      <c r="B60" s="233" t="inlineStr">
        <is>
          <t>Target Sales Price (WHA)</t>
        </is>
      </c>
      <c r="C60" s="247" t="n">
        <v>215000</v>
      </c>
      <c r="E60" s="235" t="inlineStr">
        <is>
          <t>$200K-$235K WHA program target</t>
        </is>
      </c>
    </row>
    <row r="61" ht="14" customHeight="1">
      <c r="B61" s="233" t="inlineStr">
        <is>
          <t>Subsidy Gap Per Unit</t>
        </is>
      </c>
      <c r="C61" s="246">
        <f>C59-C60</f>
        <v/>
      </c>
      <c r="E61" s="235" t="inlineStr">
        <is>
          <t>Gap = cost/unit - target</t>
        </is>
      </c>
    </row>
    <row r="62" ht="14" customHeight="1">
      <c r="B62" s="233" t="inlineStr">
        <is>
          <t>Total Subsidy Gap</t>
        </is>
      </c>
      <c r="C62" s="246">
        <f>C61*C58</f>
        <v/>
      </c>
      <c r="E62" s="235" t="inlineStr">
        <is>
          <t>Gap x units</t>
        </is>
      </c>
    </row>
    <row r="63" ht="14" customHeight="1">
      <c r="B63" s="233" t="inlineStr">
        <is>
          <t>Catalyst Fund Potential</t>
        </is>
      </c>
      <c r="C63" s="246">
        <f>35000*C58</f>
        <v/>
      </c>
      <c r="E63" s="235" t="inlineStr">
        <is>
          <t>$35K/unit x units</t>
        </is>
      </c>
    </row>
    <row r="64" ht="14" customHeight="1">
      <c r="B64" s="233" t="inlineStr">
        <is>
          <t>Hard Cost / SF</t>
        </is>
      </c>
      <c r="C64" s="246">
        <f>C48/C30</f>
        <v/>
      </c>
      <c r="E64" s="235">
        <f> Hard cost / GFA</f>
        <v/>
      </c>
    </row>
    <row r="65" ht="14" customHeight="1">
      <c r="B65" s="233" t="inlineStr">
        <is>
          <t>Total Cost / SF</t>
        </is>
      </c>
      <c r="C65" s="246">
        <f>C54/C30</f>
        <v/>
      </c>
      <c r="E65" s="235">
        <f> ROM / GFA</f>
        <v/>
      </c>
    </row>
    <row r="66" ht="14" customHeight="1">
      <c r="B66" s="233" t="inlineStr">
        <is>
          <t>ENR Index Applied</t>
        </is>
      </c>
      <c r="C66" s="248" t="inlineStr">
        <is>
          <t>Mid-Atlantic Q2 2026</t>
        </is>
      </c>
    </row>
    <row r="67" ht="14" customHeight="1">
      <c r="B67" s="233" t="inlineStr">
        <is>
          <t>Bid Date Assumption</t>
        </is>
      </c>
      <c r="C67" s="248" t="inlineStr">
        <is>
          <t>Q4 2026 / Q1 2027</t>
        </is>
      </c>
    </row>
    <row r="69">
      <c r="B69" s="249" t="inlineStr">
        <is>
          <t>COLOR KEY: Blue = hardcoded input (your data)  |  Black = formula (do not override)  |  Dark green = cross-sheet link</t>
        </is>
      </c>
    </row>
  </sheetData>
  <mergeCells count="8">
    <mergeCell ref="B69:F69"/>
    <mergeCell ref="B2:F2"/>
    <mergeCell ref="B3:F3"/>
    <mergeCell ref="B5:F5"/>
    <mergeCell ref="B37:F37"/>
    <mergeCell ref="B1:F1"/>
    <mergeCell ref="B17:F17"/>
    <mergeCell ref="B56:F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E39"/>
  <sheetViews>
    <sheetView showGridLines="0" topLeftCell="A17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43.42578125" customWidth="1" min="2" max="2"/>
    <col width="28.28515625" customWidth="1" min="3" max="3"/>
    <col width="3" customWidth="1" min="4" max="4"/>
    <col width="80" customWidth="1" min="5" max="5"/>
  </cols>
  <sheetData>
    <row r="1" ht="37.5" customHeight="1">
      <c r="B1" s="187" t="inlineStr">
        <is>
          <t>PROJECT ASSUMPTIONS &amp; CONTROLS</t>
        </is>
      </c>
    </row>
    <row r="2" ht="15" customHeight="1">
      <c r="B2" s="9" t="inlineStr">
        <is>
          <t>Input</t>
        </is>
      </c>
      <c r="C2" s="9" t="inlineStr">
        <is>
          <t>Value</t>
        </is>
      </c>
      <c r="E2" s="9" t="inlineStr">
        <is>
          <t>Notes</t>
        </is>
      </c>
    </row>
    <row r="3" ht="18" customHeight="1">
      <c r="B3" s="10" t="inlineStr">
        <is>
          <t>Project Name</t>
        </is>
      </c>
      <c r="C3" s="11" t="inlineStr">
        <is>
          <t>1212 Lobdel Avenue — Multi-Unit Affordable Infill</t>
        </is>
      </c>
      <c r="E3" s="12" t="inlineStr">
        <is>
          <t>Use a short, consistent project code (e.g., WHACC-2026).</t>
        </is>
      </c>
    </row>
    <row r="4" ht="18" customHeight="1">
      <c r="B4" s="10" t="inlineStr">
        <is>
          <t>Estimate Date</t>
        </is>
      </c>
      <c r="C4" s="13" t="n"/>
      <c r="E4" s="12" t="inlineStr">
        <is>
          <t>Enter as MM/DD/YYYY. Update with each revision.</t>
        </is>
      </c>
    </row>
    <row r="5" ht="18" customHeight="1">
      <c r="B5" s="10" t="inlineStr">
        <is>
          <t>Estimate Type</t>
        </is>
      </c>
      <c r="C5" s="14" t="inlineStr">
        <is>
          <t>ROM / Conceptual</t>
        </is>
      </c>
      <c r="E5" s="12" t="inlineStr">
        <is>
          <t>ROM / Conceptual | Schematic | Design Development | GMP</t>
        </is>
      </c>
    </row>
    <row r="6" ht="18" customHeight="1">
      <c r="B6" s="10" t="inlineStr">
        <is>
          <t>Project Type</t>
        </is>
      </c>
      <c r="C6" s="14" t="inlineStr">
        <is>
          <t>Interior Improvement</t>
        </is>
      </c>
      <c r="E6" s="12" t="inlineStr">
        <is>
          <t>Interior Improvement | Adaptive Reuse | New Construction | Mixed-Use</t>
        </is>
      </c>
    </row>
    <row r="7" ht="18" customHeight="1">
      <c r="B7" s="10" t="inlineStr">
        <is>
          <t>Client / Owner</t>
        </is>
      </c>
      <c r="C7" s="14" t="n"/>
      <c r="E7" s="12" t="inlineStr">
        <is>
          <t>Legal entity name of the owner organization.</t>
        </is>
      </c>
    </row>
    <row r="8" ht="18" customHeight="1">
      <c r="B8" s="10" t="inlineStr">
        <is>
          <t>Site Address</t>
        </is>
      </c>
      <c r="C8" s="14" t="n"/>
      <c r="E8" s="12" t="inlineStr">
        <is>
          <t>Full property address for zoning lookup reference.</t>
        </is>
      </c>
    </row>
    <row r="9" ht="18" customHeight="1">
      <c r="B9" s="10" t="inlineStr">
        <is>
          <t>Total Gross Area (SF)</t>
        </is>
      </c>
      <c r="C9" s="15" t="n">
        <v>8700</v>
      </c>
      <c r="E9" s="12" t="inlineStr">
        <is>
          <t>Total gross building SF affected by the scope.</t>
        </is>
      </c>
    </row>
    <row r="10" ht="18" customHeight="1">
      <c r="B10" s="10" t="inlineStr">
        <is>
          <t>Base Region</t>
        </is>
      </c>
      <c r="C10" s="14" t="inlineStr">
        <is>
          <t>Delaware</t>
        </is>
      </c>
      <c r="E10" s="12" t="inlineStr">
        <is>
          <t>Delaware = M4Di baseline. All unit prices sourced from Delaware competitive bid market.</t>
        </is>
      </c>
    </row>
    <row r="11" ht="18" customHeight="1">
      <c r="B11" s="10" t="inlineStr">
        <is>
          <t>Selected Pricing Region</t>
        </is>
      </c>
      <c r="C11" s="14" t="inlineStr">
        <is>
          <t>New Castle/Wilmington</t>
        </is>
      </c>
      <c r="E11" s="12" t="inlineStr">
        <is>
          <t>Must match a region defined in REGIONAL FACTORS sheet.</t>
        </is>
      </c>
    </row>
    <row r="12" ht="18" customHeight="1">
      <c r="B12" s="10" t="inlineStr">
        <is>
          <t>Weighted Trade Labor Factor</t>
        </is>
      </c>
      <c r="C12" s="16">
        <f>IFERROR(INDEX('REGIONAL FACTORS'!H$4:H$20,MATCH(C11,'REGIONAL FACTORS'!A$4:A$20,0)),1)</f>
        <v/>
      </c>
      <c r="E12" s="12" t="inlineStr">
        <is>
          <t>Auto-pulled from REGIONAL FACTORS. 1.000x = Delaware baseline. Philadelphia Metro ≈ 1.145x.</t>
        </is>
      </c>
    </row>
    <row r="13" ht="19.5" customHeight="1">
      <c r="B13" s="188" t="inlineStr">
        <is>
          <t>COST ESCALATION</t>
        </is>
      </c>
    </row>
    <row r="14" ht="18" customHeight="1">
      <c r="B14" s="10" t="inlineStr">
        <is>
          <t>ENR Construction Cost Index (CCI) Escalation %</t>
        </is>
      </c>
      <c r="C14" s="17" t="n">
        <v>0.027</v>
      </c>
      <c r="E14" s="12" t="inlineStr">
        <is>
          <t>Source: ENR CCI Q1 2026. Update quarterly. Applies to all labor-heavy items.</t>
        </is>
      </c>
    </row>
    <row r="15" ht="18" customHeight="1">
      <c r="B15" s="10" t="inlineStr">
        <is>
          <t>ENR Building Cost Index (BCI) Escalation %</t>
        </is>
      </c>
      <c r="C15" s="17" t="n">
        <v>0.043</v>
      </c>
      <c r="E15" s="12" t="inlineStr">
        <is>
          <t>Source: ENR BCI Q1 2026. Update quarterly. Applies to material-heavy items.</t>
        </is>
      </c>
    </row>
    <row r="16" ht="18" customHeight="1">
      <c r="B16" s="10" t="inlineStr">
        <is>
          <t>Blended Escalation Rate</t>
        </is>
      </c>
      <c r="C16" s="18">
        <f>AVERAGE(C14,C15)</f>
        <v/>
      </c>
      <c r="E16" s="12" t="inlineStr">
        <is>
          <t>Formula: average of CCI and BCI. Used in unit price adjusted cost calculation.</t>
        </is>
      </c>
    </row>
    <row r="17" ht="18" customHeight="1">
      <c r="B17" s="10" t="inlineStr">
        <is>
          <t>Material / Market Factor</t>
        </is>
      </c>
      <c r="C17" s="19" t="n">
        <v>1</v>
      </c>
      <c r="E17" s="12" t="inlineStr">
        <is>
          <t>Adjust for procurement pressure, bid climate volatility, or material shortages. 1.000x = neutral.</t>
        </is>
      </c>
    </row>
    <row r="18" ht="19.5" customHeight="1">
      <c r="B18" s="189" t="inlineStr">
        <is>
          <t>MARKUPS &amp; CONTINGENCIES</t>
        </is>
      </c>
    </row>
    <row r="19" ht="18" customHeight="1">
      <c r="B19" s="10" t="inlineStr">
        <is>
          <t>General Conditions %</t>
        </is>
      </c>
      <c r="C19" s="17" t="n">
        <v>0.08</v>
      </c>
      <c r="E19" s="12" t="inlineStr">
        <is>
          <t>Typical range: 6%–10%. Covers on-site supervision, temporary facilities, insurance.</t>
        </is>
      </c>
    </row>
    <row r="20" ht="18" customHeight="1">
      <c r="B20" s="10" t="inlineStr">
        <is>
          <t>Overhead &amp; Profit (OH&amp;P) %</t>
        </is>
      </c>
      <c r="C20" s="17" t="n">
        <v>0.1</v>
      </c>
      <c r="E20" s="12" t="inlineStr">
        <is>
          <t>Typical range: 8%–12%. Applied to subtotal after GC.</t>
        </is>
      </c>
    </row>
    <row r="21" ht="18" customHeight="1">
      <c r="B21" s="10" t="inlineStr">
        <is>
          <t>Design Contingency %</t>
        </is>
      </c>
      <c r="C21" s="17" t="n">
        <v>0.12</v>
      </c>
      <c r="E21" s="12" t="inlineStr">
        <is>
          <t>Reduce to 8% at SD; 5% at DD; 0% at GMP. Reflects design development risk.</t>
        </is>
      </c>
    </row>
    <row r="22" ht="18" customHeight="1">
      <c r="B22" s="10" t="inlineStr">
        <is>
          <t>Existing Conditions Contingency %</t>
        </is>
      </c>
      <c r="C22" s="17" t="n">
        <v>0.1</v>
      </c>
      <c r="E22" s="12" t="inlineStr">
        <is>
          <t>Higher for gut renovations (12%–15%). Covers concealed conditions and substrate damage.</t>
        </is>
      </c>
    </row>
    <row r="23" ht="18" customHeight="1">
      <c r="B23" s="10" t="inlineStr">
        <is>
          <t>Equipment / Owner Selection Contingency %</t>
        </is>
      </c>
      <c r="C23" s="17" t="n">
        <v>0.08</v>
      </c>
      <c r="E23" s="12" t="inlineStr">
        <is>
          <t>Reduce as owner selections are confirmed. Set to 0% when all allowances are locked.</t>
        </is>
      </c>
    </row>
    <row r="24" ht="18" customHeight="1">
      <c r="B24" s="10" t="inlineStr">
        <is>
          <t>Bid / Permit / Bonds %</t>
        </is>
      </c>
      <c r="C24" s="17" t="n">
        <v>0.02</v>
      </c>
      <c r="E24" s="12" t="inlineStr">
        <is>
          <t>Covers permitting fees, bid bonds, performance bonds. Adjust for municipality.</t>
        </is>
      </c>
    </row>
    <row r="25" ht="18" customHeight="1">
      <c r="B25" s="10" t="inlineStr">
        <is>
          <t>Sales Tax %</t>
        </is>
      </c>
      <c r="C25" s="17" t="n">
        <v>0</v>
      </c>
      <c r="E25" s="12" t="inlineStr">
        <is>
          <t>Delaware: 0%. Adjust for other jurisdictions. Apply only to taxable material costs if split.</t>
        </is>
      </c>
    </row>
    <row r="26" ht="18" customHeight="1">
      <c r="B26" s="10" t="inlineStr">
        <is>
          <t>Total Contingency %</t>
        </is>
      </c>
      <c r="C26" s="18">
        <f>C21+C22+C23</f>
        <v/>
      </c>
      <c r="E26" s="12" t="inlineStr">
        <is>
          <t>Sum of all contingency lines. For reference only.</t>
        </is>
      </c>
    </row>
    <row r="27"/>
    <row r="28" ht="19.5" customHeight="1">
      <c r="B28" s="190" t="inlineStr">
        <is>
          <t>QUICK REFERENCE TOTALS (auto-calculated from BID SUMMARY)</t>
        </is>
      </c>
    </row>
    <row r="29" ht="16.5" customHeight="1">
      <c r="B29" s="10" t="inlineStr">
        <is>
          <t>Base Building Subtotal</t>
        </is>
      </c>
      <c r="C29" s="20">
        <f>'BID SUMMARY'!C3</f>
        <v/>
      </c>
    </row>
    <row r="30" ht="16.5" customHeight="1">
      <c r="B30" s="10" t="inlineStr">
        <is>
          <t>Equipment Allowances</t>
        </is>
      </c>
      <c r="C30" s="20">
        <f>'BID SUMMARY'!C4</f>
        <v/>
      </c>
    </row>
    <row r="31" ht="16.5" customHeight="1">
      <c r="B31" s="10" t="inlineStr">
        <is>
          <t>Subtotal Before Markups</t>
        </is>
      </c>
      <c r="C31" s="20">
        <f>'BID SUMMARY'!C5</f>
        <v/>
      </c>
    </row>
    <row r="32" ht="16.5" customHeight="1">
      <c r="B32" s="10" t="inlineStr">
        <is>
          <t>General Conditions</t>
        </is>
      </c>
      <c r="C32" s="20">
        <f>'BID SUMMARY'!C6</f>
        <v/>
      </c>
    </row>
    <row r="33" ht="16.5" customHeight="1">
      <c r="B33" s="10" t="inlineStr">
        <is>
          <t>OH&amp;P</t>
        </is>
      </c>
      <c r="C33" s="20">
        <f>'BID SUMMARY'!C7</f>
        <v/>
      </c>
    </row>
    <row r="34" ht="16.5" customHeight="1">
      <c r="B34" s="10" t="inlineStr">
        <is>
          <t>Total Contingencies</t>
        </is>
      </c>
      <c r="C34" s="20">
        <f>'BID SUMMARY'!C8</f>
        <v/>
      </c>
    </row>
    <row r="35" ht="16.5" customHeight="1">
      <c r="B35" s="10" t="inlineStr">
        <is>
          <t>Bid / Permit / Bonds</t>
        </is>
      </c>
      <c r="C35" s="20">
        <f>'BID SUMMARY'!C9</f>
        <v/>
      </c>
    </row>
    <row r="36" ht="16.5" customHeight="1">
      <c r="B36" s="195" t="inlineStr">
        <is>
          <t>TOTAL PROJECT ROM</t>
        </is>
      </c>
      <c r="C36" s="22">
        <f>'BID SUMMARY'!C10</f>
        <v/>
      </c>
    </row>
    <row r="37" ht="19.5" customHeight="1">
      <c r="B37" s="191" t="inlineStr">
        <is>
          <t>FEE SCHEDULE CONTROLS (feeds SOFT COSTS sheet)</t>
        </is>
      </c>
    </row>
    <row r="38" ht="18" customHeight="1">
      <c r="B38" s="23" t="inlineStr">
        <is>
          <t>AIA Project Type Code</t>
        </is>
      </c>
      <c r="C38" s="14" t="inlineStr">
        <is>
          <t>C</t>
        </is>
      </c>
      <c r="E38" s="12" t="inlineStr">
        <is>
          <t>A=warehouse, B=office, C=school/fitness (M4Di default), D=clinic/theater, E=hospital/research.</t>
        </is>
      </c>
    </row>
    <row r="39" ht="18" customHeight="1">
      <c r="B39" s="23" t="inlineStr">
        <is>
          <t>Renovation Project?</t>
        </is>
      </c>
      <c r="C39" s="14" t="inlineStr">
        <is>
          <t>Yes</t>
        </is>
      </c>
      <c r="E39" s="12" t="inlineStr">
        <is>
          <t>Yes adds renovation premium to base architecture fee. WHACC = Yes.</t>
        </is>
      </c>
    </row>
  </sheetData>
  <mergeCells count="5">
    <mergeCell ref="B18:E18"/>
    <mergeCell ref="B1:E1"/>
    <mergeCell ref="B13:E13"/>
    <mergeCell ref="B37:E37"/>
    <mergeCell ref="B28:E28"/>
  </mergeCells>
  <dataValidations count="2">
    <dataValidation sqref="C8 C11" showDropDown="0" showInputMessage="0" showErrorMessage="1" allowBlank="0" errorTitle="Invalid Entry" error="Select from list" type="list">
      <formula1>"Delaware,New Castle/Wilmington,Philadelphia Metro,New Jersey,Baltimore Area,Washington DC Metro,Custom"</formula1>
      <formula2>0</formula2>
    </dataValidation>
    <dataValidation sqref="C6" showDropDown="0" showInputMessage="0" showErrorMessage="0" allowBlank="0" type="list">
      <formula1>"Interior Improvement,Adaptive Reuse,New Construction,Mixed-Use,Renovation + Addition"</formula1>
      <formula2>0</formula2>
    </dataValidation>
  </dataValidations>
  <pageMargins left="0.75" right="0.75" top="1" bottom="1" header="0.511811023622047" footer="0.511805555555556"/>
  <pageSetup orientation="portrait" paperSize="9" horizontalDpi="300" verticalDpi="300"/>
  <headerFooter>
    <oddHeader/>
    <oddFooter>&amp;L&amp;8 M4Di — Merge 4 Development Institute, Inc.&amp;C&amp;8 Page &amp;P of &amp;N  ·  Draft — Internal Use Only  ·  © 2026 M4Di, Inc.&amp;R&amp;8 M4Di.Oi™  ALDi™  FeasOps™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388E3C"/>
    <outlinePr summaryBelow="1" summaryRight="1"/>
    <pageSetUpPr/>
  </sheetPr>
  <dimension ref="B1:M11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22" customWidth="1" min="2" max="2"/>
    <col width="11" customWidth="1" min="3" max="4"/>
    <col width="12" customWidth="1" min="5" max="5"/>
    <col width="11" customWidth="1" min="6" max="6"/>
    <col width="13" customWidth="1" min="7" max="7"/>
    <col width="14" customWidth="1" min="8" max="8"/>
    <col width="13" customWidth="1" min="9" max="9"/>
    <col width="14" customWidth="1" min="10" max="10"/>
    <col width="16.140625" customWidth="1" min="11" max="11"/>
    <col width="10" customWidth="1" min="12" max="12"/>
    <col width="64.5703125" customWidth="1" min="13" max="13"/>
  </cols>
  <sheetData>
    <row r="1" ht="37.5" customHeight="1">
      <c r="B1" s="192" t="inlineStr">
        <is>
          <t>REGIONAL MARKET FACTORS — Public Data-Based Labor Basket</t>
        </is>
      </c>
    </row>
    <row r="2" ht="30" customHeight="1">
      <c r="B2" s="24" t="inlineStr">
        <is>
          <t>Region</t>
        </is>
      </c>
      <c r="C2" s="24" t="inlineStr">
        <is>
          <t>Carpenters
$/hr</t>
        </is>
      </c>
      <c r="D2" s="24" t="inlineStr">
        <is>
          <t>Laborers
$/hr</t>
        </is>
      </c>
      <c r="E2" s="24" t="inlineStr">
        <is>
          <t>Electricians
$/hr</t>
        </is>
      </c>
      <c r="F2" s="24" t="inlineStr">
        <is>
          <t>Painters
$/hr</t>
        </is>
      </c>
      <c r="G2" s="24" t="inlineStr">
        <is>
          <t>Concrete
Finishers $/hr</t>
        </is>
      </c>
      <c r="H2" s="24" t="inlineStr">
        <is>
          <t>Drywall/Ceiling
$/hr</t>
        </is>
      </c>
      <c r="I2" s="24" t="inlineStr">
        <is>
          <t>Weighted Labor
Basket</t>
        </is>
      </c>
      <c r="J2" s="24" t="inlineStr">
        <is>
          <t>Region Factor
vs. Delaware</t>
        </is>
      </c>
      <c r="K2" s="25" t="inlineStr">
        <is>
          <t>Trade</t>
        </is>
      </c>
      <c r="L2" s="25" t="inlineStr">
        <is>
          <t>Weight</t>
        </is>
      </c>
    </row>
    <row r="3" ht="18" customHeight="1">
      <c r="B3" s="26" t="inlineStr">
        <is>
          <t>Delaware</t>
        </is>
      </c>
      <c r="C3" s="27" t="n">
        <v>29.3</v>
      </c>
      <c r="D3" s="27" t="n">
        <v>22.57</v>
      </c>
      <c r="E3" s="27" t="n">
        <v>30.93</v>
      </c>
      <c r="F3" s="27" t="n">
        <v>23.48</v>
      </c>
      <c r="G3" s="27" t="n">
        <v>25.47</v>
      </c>
      <c r="H3" s="27" t="n">
        <v>25.32</v>
      </c>
      <c r="I3" s="28">
        <f>C3*$L$3+D3*$L$4+E3*$L$5+F3*$L$6+G3*$L$7+H3*$L$8</f>
        <v/>
      </c>
      <c r="J3" s="29">
        <f>1</f>
        <v/>
      </c>
      <c r="K3" s="30" t="inlineStr">
        <is>
          <t>Carpenters</t>
        </is>
      </c>
      <c r="L3" s="31" t="n">
        <v>0.3</v>
      </c>
      <c r="M3" s="32" t="inlineStr">
        <is>
          <t>Baseline — Delaware statewide OEWS wages. Source: BLS OEWS 2024, State=DE.</t>
        </is>
      </c>
    </row>
    <row r="4" ht="18" customHeight="1">
      <c r="B4" s="33" t="inlineStr">
        <is>
          <t>New Castle/Wilmington</t>
        </is>
      </c>
      <c r="C4" s="27" t="n">
        <v>29.5</v>
      </c>
      <c r="D4" s="27" t="n">
        <v>22.5</v>
      </c>
      <c r="E4" s="27" t="n">
        <v>30.5</v>
      </c>
      <c r="F4" s="27" t="n">
        <v>22.9</v>
      </c>
      <c r="G4" s="27" t="n">
        <v>25.3</v>
      </c>
      <c r="H4" s="27" t="n">
        <v>25.2</v>
      </c>
      <c r="I4" s="28">
        <f>C4*$L$3+D4*$L$4+E4*$L$5+F4*$L$6+G4*$L$7+H4*$L$8</f>
        <v/>
      </c>
      <c r="J4" s="29">
        <f>I4/I$3</f>
        <v/>
      </c>
      <c r="K4" s="30" t="inlineStr">
        <is>
          <t>Laborers</t>
        </is>
      </c>
      <c r="L4" s="31" t="n">
        <v>0.2</v>
      </c>
      <c r="M4" s="32" t="inlineStr">
        <is>
          <t>New Castle County sub-market proxy. Slightly above state average for urban premium.</t>
        </is>
      </c>
    </row>
    <row r="5" ht="18" customHeight="1">
      <c r="B5" s="33" t="inlineStr">
        <is>
          <t>Philadelphia Metro</t>
        </is>
      </c>
      <c r="C5" s="27" t="n">
        <v>31.47</v>
      </c>
      <c r="D5" s="27" t="n">
        <v>27.82</v>
      </c>
      <c r="E5" s="27" t="n">
        <v>37.24</v>
      </c>
      <c r="F5" s="27" t="n">
        <v>26.36</v>
      </c>
      <c r="G5" s="27" t="n">
        <v>30.83</v>
      </c>
      <c r="H5" s="27" t="n">
        <v>28.7</v>
      </c>
      <c r="I5" s="28">
        <f>C5*$L$3+D5*$L$4+E5*$L$5+F5*$L$6+G5*$L$7+H5*$L$8</f>
        <v/>
      </c>
      <c r="J5" s="29">
        <f>I5/I$3</f>
        <v/>
      </c>
      <c r="K5" s="30" t="inlineStr">
        <is>
          <t>Electricians</t>
        </is>
      </c>
      <c r="L5" s="31" t="n">
        <v>0.1</v>
      </c>
      <c r="M5" s="32" t="inlineStr">
        <is>
          <t>Philadelphia-Camden-Wilmington MSA. Source: BLS OEWS 2024, MSA=37980.</t>
        </is>
      </c>
    </row>
    <row r="6" ht="18" customHeight="1">
      <c r="B6" s="33" t="inlineStr">
        <is>
          <t>New Jersey</t>
        </is>
      </c>
      <c r="C6" s="27" t="n">
        <v>35.16</v>
      </c>
      <c r="D6" s="27" t="n">
        <v>34.27</v>
      </c>
      <c r="E6" s="27" t="n">
        <v>38.51</v>
      </c>
      <c r="F6" s="27" t="n">
        <v>31.16</v>
      </c>
      <c r="G6" s="27" t="n">
        <v>34.78</v>
      </c>
      <c r="H6" s="27" t="n">
        <v>29.5</v>
      </c>
      <c r="I6" s="28">
        <f>C6*$L$3+D6*$L$4+E6*$L$5+F6*$L$6+G6*$L$7+H6*$L$8</f>
        <v/>
      </c>
      <c r="J6" s="29">
        <f>I6/I$3</f>
        <v/>
      </c>
      <c r="K6" s="30" t="inlineStr">
        <is>
          <t>Painters</t>
        </is>
      </c>
      <c r="L6" s="31" t="n">
        <v>0.2</v>
      </c>
      <c r="M6" s="32" t="inlineStr">
        <is>
          <t>NJ statewide OEWS 2024, all industries. Higher union density drives premium.</t>
        </is>
      </c>
    </row>
    <row r="7" ht="18" customHeight="1">
      <c r="B7" s="33" t="inlineStr">
        <is>
          <t>Baltimore Area</t>
        </is>
      </c>
      <c r="C7" s="27" t="n">
        <v>28.74</v>
      </c>
      <c r="D7" s="27" t="n">
        <v>22.99</v>
      </c>
      <c r="E7" s="27" t="n">
        <v>33.83</v>
      </c>
      <c r="F7" s="27" t="n">
        <v>27.86</v>
      </c>
      <c r="G7" s="27" t="n">
        <v>26.34</v>
      </c>
      <c r="H7" s="27" t="n">
        <v>24.13</v>
      </c>
      <c r="I7" s="28">
        <f>C7*$L$3+D7*$L$4+E7*$L$5+F7*$L$6+G7*$L$7+H7*$L$8</f>
        <v/>
      </c>
      <c r="J7" s="29">
        <f>I7/I$3</f>
        <v/>
      </c>
      <c r="K7" s="30" t="inlineStr">
        <is>
          <t>Concrete Finishers</t>
        </is>
      </c>
      <c r="L7" s="31" t="n">
        <v>0.1</v>
      </c>
      <c r="M7" s="32" t="inlineStr">
        <is>
          <t>Baltimore-Columbia-Towson MSA proxy. Source: BLS OEWS 2024, MSA=12580.</t>
        </is>
      </c>
    </row>
    <row r="8" ht="18" customHeight="1">
      <c r="B8" s="33" t="inlineStr">
        <is>
          <t>Washington DC Metro</t>
        </is>
      </c>
      <c r="C8" s="27" t="n">
        <v>34.5</v>
      </c>
      <c r="D8" s="27" t="n">
        <v>27.1</v>
      </c>
      <c r="E8" s="27" t="n">
        <v>40.2</v>
      </c>
      <c r="F8" s="27" t="n">
        <v>29.5</v>
      </c>
      <c r="G8" s="27" t="n">
        <v>31.2</v>
      </c>
      <c r="H8" s="27" t="n">
        <v>30.4</v>
      </c>
      <c r="I8" s="28">
        <f>C8*$L$3+D8*$L$4+E8*$L$5+F8*$L$6+G8*$L$7+H8*$L$8</f>
        <v/>
      </c>
      <c r="J8" s="29">
        <f>I8/I$3</f>
        <v/>
      </c>
      <c r="K8" s="30" t="inlineStr">
        <is>
          <t>Drywall/Ceiling</t>
        </is>
      </c>
      <c r="L8" s="31" t="n">
        <v>0.1</v>
      </c>
      <c r="M8" s="32" t="inlineStr">
        <is>
          <t>DC-VA-MD-WV MSA. Source: BLS OEWS 2024, MSA=47900. High labor market tightness.</t>
        </is>
      </c>
    </row>
    <row r="9" ht="18" customHeight="1">
      <c r="B9" s="33" t="inlineStr">
        <is>
          <t>Custom</t>
        </is>
      </c>
      <c r="C9" s="34" t="n">
        <v>0</v>
      </c>
      <c r="D9" s="34" t="n">
        <v>0</v>
      </c>
      <c r="E9" s="34" t="n">
        <v>0</v>
      </c>
      <c r="F9" s="34" t="n">
        <v>0</v>
      </c>
      <c r="G9" s="34" t="n">
        <v>0</v>
      </c>
      <c r="H9" s="34" t="n">
        <v>0</v>
      </c>
      <c r="I9" s="28">
        <f>C9*$L$3+D9*$L$4+E9*$L$5+F9*$L$6+G9*$L$7+H9*$L$8</f>
        <v/>
      </c>
      <c r="J9" s="29">
        <f>I9/I$3</f>
        <v/>
      </c>
      <c r="K9" s="35" t="inlineStr">
        <is>
          <t>TOTAL</t>
        </is>
      </c>
      <c r="L9" s="36">
        <f>SUM(L3:L8)</f>
        <v/>
      </c>
      <c r="M9" s="32" t="inlineStr">
        <is>
          <t>Enter custom wage rates. Factor auto-calculates vs. Delaware baseline.</t>
        </is>
      </c>
    </row>
    <row r="11" ht="36" customHeight="1">
      <c r="B11" s="193" t="inlineStr">
        <is>
          <t>NOTE: Weighted Labor Basket is an internal blended labor-only ROM index using BLS OEWS wage data and the trade weightings shown at right. It is not a full construction location factor. ENR City Cost Indexes should be used for full project-level location adjustment when available.</t>
        </is>
      </c>
    </row>
  </sheetData>
  <mergeCells count="2">
    <mergeCell ref="B11:J11"/>
    <mergeCell ref="B1:L1"/>
  </mergeCells>
  <pageMargins left="0.75" right="0.75" top="1" bottom="1" header="0.511811023622047" footer="0.511805555555556"/>
  <pageSetup orientation="portrait" paperSize="9" horizontalDpi="300" verticalDpi="300"/>
  <headerFooter>
    <oddHeader/>
    <oddFooter>&amp;L&amp;8 M4Di — Merge 4 Development Institute, Inc.&amp;C&amp;8 Page &amp;P of &amp;N  ·  Draft — Internal Use Only  ·  © 2026 M4Di, Inc.&amp;R&amp;8 M4Di.Oi™  ALDi™  FeasOps™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43A047"/>
    <outlinePr summaryBelow="1" summaryRight="1"/>
    <pageSetUpPr/>
  </sheetPr>
  <dimension ref="B1:M32"/>
  <sheetViews>
    <sheetView showGridLines="0" topLeftCell="A1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6" customWidth="1" min="2" max="2"/>
    <col width="10" customWidth="1" min="3" max="4"/>
    <col width="12" customWidth="1" min="5" max="5"/>
    <col width="52.7109375" customWidth="1" min="6" max="6"/>
    <col width="6" customWidth="1" min="7" max="7"/>
    <col width="12" customWidth="1" min="8" max="8"/>
    <col width="10" customWidth="1" min="9" max="10"/>
    <col width="14" customWidth="1" min="11" max="11"/>
    <col width="10.7109375" customWidth="1" min="12" max="12"/>
    <col width="61.7109375" customWidth="1" min="13" max="13"/>
  </cols>
  <sheetData>
    <row r="1" ht="37.5" customHeight="1">
      <c r="B1" s="187" t="inlineStr">
        <is>
          <t>UNIT PRICE LIBRARY — Architectural / Athletic / Community Facility Scope</t>
        </is>
      </c>
    </row>
    <row r="2" ht="31.5" customHeight="1">
      <c r="B2" s="37" t="inlineStr">
        <is>
          <t>Div</t>
        </is>
      </c>
      <c r="C2" s="37" t="inlineStr">
        <is>
          <t>Cost Code</t>
        </is>
      </c>
      <c r="D2" s="37" t="inlineStr">
        <is>
          <t>Spec Section</t>
        </is>
      </c>
      <c r="E2" s="37" t="inlineStr">
        <is>
          <t>Bid Package</t>
        </is>
      </c>
      <c r="F2" s="37" t="inlineStr">
        <is>
          <t>Scope Item</t>
        </is>
      </c>
      <c r="G2" s="37" t="inlineStr">
        <is>
          <t>Unit</t>
        </is>
      </c>
      <c r="H2" s="37" t="inlineStr">
        <is>
          <t>Base Unit Price
(Baseline Region)</t>
        </is>
      </c>
      <c r="I2" s="37" t="inlineStr">
        <is>
          <t>Region
Factor</t>
        </is>
      </c>
      <c r="J2" s="37" t="inlineStr">
        <is>
          <t>Escalation
Factor</t>
        </is>
      </c>
      <c r="K2" s="37" t="inlineStr">
        <is>
          <t>Adjusted
Unit Price</t>
        </is>
      </c>
      <c r="L2" s="37" t="inlineStr">
        <is>
          <t>Owner Selection
Sensitive?</t>
        </is>
      </c>
      <c r="M2" s="37" t="inlineStr">
        <is>
          <t>Source / Basis</t>
        </is>
      </c>
    </row>
    <row r="3" ht="15.75" customHeight="1">
      <c r="B3" s="38" t="inlineStr">
        <is>
          <t>02</t>
        </is>
      </c>
      <c r="C3" s="38" t="inlineStr">
        <is>
          <t>DEM-01</t>
        </is>
      </c>
      <c r="D3" s="38" t="inlineStr">
        <is>
          <t>02 41 19</t>
        </is>
      </c>
      <c r="E3" s="38" t="n"/>
      <c r="F3" s="39" t="inlineStr">
        <is>
          <t>Selective demolition – interior finishes</t>
        </is>
      </c>
      <c r="G3" s="38" t="inlineStr">
        <is>
          <t>SF</t>
        </is>
      </c>
      <c r="H3" s="34" t="n">
        <v>6.5</v>
      </c>
      <c r="I3" s="16">
        <f>IFERROR(INDEX('REGIONAL FACTORS'!I$3:I$10,MATCH(ASSUMPTIONS!$C$11,'REGIONAL FACTORS'!$A$3:$A$10,0)),1)</f>
        <v/>
      </c>
      <c r="J3" s="16">
        <f>1+ASSUMPTIONS!$C$16</f>
        <v/>
      </c>
      <c r="K3" s="28">
        <f>H3*I3*J3</f>
        <v/>
      </c>
      <c r="L3" s="40" t="inlineStr">
        <is>
          <t>No</t>
        </is>
      </c>
      <c r="M3" s="41" t="inlineStr">
        <is>
          <t>Placeholder. Calibrate to local GC pricing. Range: $4–9/SF for interior gut renovation.</t>
        </is>
      </c>
    </row>
    <row r="4" ht="15.75" customHeight="1">
      <c r="B4" s="42" t="inlineStr">
        <is>
          <t>02</t>
        </is>
      </c>
      <c r="C4" s="42" t="inlineStr">
        <is>
          <t>DEM-02</t>
        </is>
      </c>
      <c r="D4" s="42" t="inlineStr">
        <is>
          <t>02 41 19</t>
        </is>
      </c>
      <c r="E4" s="42" t="n"/>
      <c r="F4" s="43" t="inlineStr">
        <is>
          <t>Selective demolition – athletic equipment removal</t>
        </is>
      </c>
      <c r="G4" s="42" t="inlineStr">
        <is>
          <t>EA</t>
        </is>
      </c>
      <c r="H4" s="34" t="n">
        <v>450</v>
      </c>
      <c r="I4" s="16">
        <f>IFERROR(INDEX('REGIONAL FACTORS'!I$3:I$10,MATCH(ASSUMPTIONS!$C$11,'REGIONAL FACTORS'!$A$3:$A$10,0)),1)</f>
        <v/>
      </c>
      <c r="J4" s="16">
        <f>1+ASSUMPTIONS!$C$16</f>
        <v/>
      </c>
      <c r="K4" s="28">
        <f>H4*I4*J4</f>
        <v/>
      </c>
      <c r="L4" s="44" t="inlineStr">
        <is>
          <t>Yes</t>
        </is>
      </c>
      <c r="M4" s="45" t="inlineStr">
        <is>
          <t>Allowance. Depends on equipment type. Coordinate with equipment supplier.</t>
        </is>
      </c>
    </row>
    <row r="5" ht="15.75" customHeight="1">
      <c r="B5" s="38" t="inlineStr">
        <is>
          <t>03</t>
        </is>
      </c>
      <c r="C5" s="38" t="inlineStr">
        <is>
          <t>CON-01</t>
        </is>
      </c>
      <c r="D5" s="38" t="inlineStr">
        <is>
          <t>03 30 00</t>
        </is>
      </c>
      <c r="E5" s="38" t="n"/>
      <c r="F5" s="39" t="inlineStr">
        <is>
          <t>Concrete housekeeping pad, reinforced (4" slab)</t>
        </is>
      </c>
      <c r="G5" s="38" t="inlineStr">
        <is>
          <t>CY</t>
        </is>
      </c>
      <c r="H5" s="34" t="n">
        <v>1450</v>
      </c>
      <c r="I5" s="16">
        <f>IFERROR(INDEX('REGIONAL FACTORS'!I$3:I$10,MATCH(ASSUMPTIONS!$C$11,'REGIONAL FACTORS'!$A$3:$A$10,0)),1)</f>
        <v/>
      </c>
      <c r="J5" s="16">
        <f>1+ASSUMPTIONS!$C$16</f>
        <v/>
      </c>
      <c r="K5" s="28">
        <f>H5*I5*J5</f>
        <v/>
      </c>
      <c r="L5" s="40" t="inlineStr">
        <is>
          <t>No</t>
        </is>
      </c>
      <c r="M5" s="41" t="inlineStr">
        <is>
          <t>Includes forming, rebar, pour, finish. Verify structural requirements.</t>
        </is>
      </c>
    </row>
    <row r="6" ht="15.75" customHeight="1">
      <c r="B6" s="42" t="inlineStr">
        <is>
          <t>04</t>
        </is>
      </c>
      <c r="C6" s="42" t="inlineStr">
        <is>
          <t>MAS-01</t>
        </is>
      </c>
      <c r="D6" s="42" t="inlineStr">
        <is>
          <t>04 20 00</t>
        </is>
      </c>
      <c r="E6" s="42" t="n"/>
      <c r="F6" s="46" t="inlineStr">
        <is>
          <t>CMU infill / repair, reinforced</t>
        </is>
      </c>
      <c r="G6" s="42" t="inlineStr">
        <is>
          <t>SF</t>
        </is>
      </c>
      <c r="H6" s="34" t="n">
        <v>28</v>
      </c>
      <c r="I6" s="16">
        <f>IFERROR(INDEX('REGIONAL FACTORS'!I$3:I$10,MATCH(ASSUMPTIONS!$C$11,'REGIONAL FACTORS'!$A$3:$A$10,0)),1)</f>
        <v/>
      </c>
      <c r="J6" s="16">
        <f>1+ASSUMPTIONS!$C$16</f>
        <v/>
      </c>
      <c r="K6" s="28">
        <f>H6*I6*J6</f>
        <v/>
      </c>
      <c r="L6" s="47" t="inlineStr">
        <is>
          <t>No</t>
        </is>
      </c>
      <c r="M6" s="45" t="inlineStr">
        <is>
          <t>For openings or damaged block. Includes masonry, grout, block.</t>
        </is>
      </c>
    </row>
    <row r="7" ht="15.75" customHeight="1">
      <c r="B7" s="38" t="inlineStr">
        <is>
          <t>05</t>
        </is>
      </c>
      <c r="C7" s="38" t="inlineStr">
        <is>
          <t>MET-01</t>
        </is>
      </c>
      <c r="D7" s="38" t="inlineStr">
        <is>
          <t>05 52 13</t>
        </is>
      </c>
      <c r="E7" s="38" t="n"/>
      <c r="F7" s="39" t="inlineStr">
        <is>
          <t>Aluminum/glass guardrail, per ASTM F2923</t>
        </is>
      </c>
      <c r="G7" s="38" t="inlineStr">
        <is>
          <t>LF</t>
        </is>
      </c>
      <c r="H7" s="34" t="n">
        <v>350</v>
      </c>
      <c r="I7" s="16">
        <f>IFERROR(INDEX('REGIONAL FACTORS'!I$3:I$10,MATCH(ASSUMPTIONS!$C$11,'REGIONAL FACTORS'!$A$3:$A$10,0)),1)</f>
        <v/>
      </c>
      <c r="J7" s="16">
        <f>1+ASSUMPTIONS!$C$16</f>
        <v/>
      </c>
      <c r="K7" s="28">
        <f>H7*I7*J7</f>
        <v/>
      </c>
      <c r="L7" s="40" t="inlineStr">
        <is>
          <t>No</t>
        </is>
      </c>
      <c r="M7" s="41" t="inlineStr">
        <is>
          <t>IBC-compliant. Includes anchor system. Powder coat finish standard.</t>
        </is>
      </c>
    </row>
    <row r="8" ht="15.75" customHeight="1">
      <c r="B8" s="42" t="inlineStr">
        <is>
          <t>05</t>
        </is>
      </c>
      <c r="C8" s="42" t="inlineStr">
        <is>
          <t>MET-02</t>
        </is>
      </c>
      <c r="D8" s="42" t="inlineStr">
        <is>
          <t>05 52 13</t>
        </is>
      </c>
      <c r="E8" s="42" t="n"/>
      <c r="F8" s="46" t="inlineStr">
        <is>
          <t>Painted aluminum handrail, 1.5" dia.</t>
        </is>
      </c>
      <c r="G8" s="42" t="inlineStr">
        <is>
          <t>LF</t>
        </is>
      </c>
      <c r="H8" s="34" t="n">
        <v>165</v>
      </c>
      <c r="I8" s="16">
        <f>IFERROR(INDEX('REGIONAL FACTORS'!I$3:I$10,MATCH(ASSUMPTIONS!$C$11,'REGIONAL FACTORS'!$A$3:$A$10,0)),1)</f>
        <v/>
      </c>
      <c r="J8" s="16">
        <f>1+ASSUMPTIONS!$C$16</f>
        <v/>
      </c>
      <c r="K8" s="28">
        <f>H8*I8*J8</f>
        <v/>
      </c>
      <c r="L8" s="47" t="inlineStr">
        <is>
          <t>No</t>
        </is>
      </c>
      <c r="M8" s="45" t="inlineStr">
        <is>
          <t>Standard IBC rail. Field paint after installation.</t>
        </is>
      </c>
    </row>
    <row r="9" ht="15.75" customHeight="1">
      <c r="B9" s="38" t="inlineStr">
        <is>
          <t>06</t>
        </is>
      </c>
      <c r="C9" s="38" t="inlineStr">
        <is>
          <t>CAR-01</t>
        </is>
      </c>
      <c r="D9" s="38" t="inlineStr">
        <is>
          <t>06 10 00</t>
        </is>
      </c>
      <c r="E9" s="38" t="n"/>
      <c r="F9" s="39" t="inlineStr">
        <is>
          <t>Rough carpentry, blocking and backing</t>
        </is>
      </c>
      <c r="G9" s="38" t="inlineStr">
        <is>
          <t>SF</t>
        </is>
      </c>
      <c r="H9" s="34" t="n">
        <v>18</v>
      </c>
      <c r="I9" s="16">
        <f>IFERROR(INDEX('REGIONAL FACTORS'!I$3:I$10,MATCH(ASSUMPTIONS!$C$11,'REGIONAL FACTORS'!$A$3:$A$10,0)),1)</f>
        <v/>
      </c>
      <c r="J9" s="16">
        <f>1+ASSUMPTIONS!$C$16</f>
        <v/>
      </c>
      <c r="K9" s="28">
        <f>H9*I9*J9</f>
        <v/>
      </c>
      <c r="L9" s="40" t="inlineStr">
        <is>
          <t>No</t>
        </is>
      </c>
      <c r="M9" s="41" t="inlineStr">
        <is>
          <t>Includes lumber, installation labor. For equipment attachment points.</t>
        </is>
      </c>
    </row>
    <row r="10" ht="15.75" customHeight="1">
      <c r="B10" s="42" t="inlineStr">
        <is>
          <t>07</t>
        </is>
      </c>
      <c r="C10" s="42" t="inlineStr">
        <is>
          <t>INS-01</t>
        </is>
      </c>
      <c r="D10" s="42" t="inlineStr">
        <is>
          <t>07 21 00</t>
        </is>
      </c>
      <c r="E10" s="42" t="n"/>
      <c r="F10" s="46" t="inlineStr">
        <is>
          <t>Batt insulation, 3.5" R-13</t>
        </is>
      </c>
      <c r="G10" s="42" t="inlineStr">
        <is>
          <t>SF</t>
        </is>
      </c>
      <c r="H10" s="34" t="n">
        <v>2.5</v>
      </c>
      <c r="I10" s="16">
        <f>IFERROR(INDEX('REGIONAL FACTORS'!I$3:I$10,MATCH(ASSUMPTIONS!$C$11,'REGIONAL FACTORS'!$A$3:$A$10,0)),1)</f>
        <v/>
      </c>
      <c r="J10" s="16">
        <f>1+ASSUMPTIONS!$C$16</f>
        <v/>
      </c>
      <c r="K10" s="28">
        <f>H10*I10*J10</f>
        <v/>
      </c>
      <c r="L10" s="47" t="inlineStr">
        <is>
          <t>No</t>
        </is>
      </c>
      <c r="M10" s="45" t="inlineStr">
        <is>
          <t>Faced batt in exterior walls. Energy code compliance item.</t>
        </is>
      </c>
    </row>
    <row r="11" ht="15.75" customHeight="1">
      <c r="B11" s="38" t="inlineStr">
        <is>
          <t>08</t>
        </is>
      </c>
      <c r="C11" s="38" t="inlineStr">
        <is>
          <t>DOO-01</t>
        </is>
      </c>
      <c r="D11" s="38" t="inlineStr">
        <is>
          <t>08 11 13</t>
        </is>
      </c>
      <c r="E11" s="38" t="n"/>
      <c r="F11" s="39" t="inlineStr">
        <is>
          <t>New HM door frame + hollow metal door + hardware, complete</t>
        </is>
      </c>
      <c r="G11" s="38" t="inlineStr">
        <is>
          <t>EA</t>
        </is>
      </c>
      <c r="H11" s="34" t="n">
        <v>3800</v>
      </c>
      <c r="I11" s="16">
        <f>IFERROR(INDEX('REGIONAL FACTORS'!I$3:I$10,MATCH(ASSUMPTIONS!$C$11,'REGIONAL FACTORS'!$A$3:$A$10,0)),1)</f>
        <v/>
      </c>
      <c r="J11" s="16">
        <f>1+ASSUMPTIONS!$C$16</f>
        <v/>
      </c>
      <c r="K11" s="28">
        <f>H11*I11*J11</f>
        <v/>
      </c>
      <c r="L11" s="40" t="inlineStr">
        <is>
          <t>No</t>
        </is>
      </c>
      <c r="M11" s="41" t="inlineStr">
        <is>
          <t>Complete unit: frame, door, closer, HW set. ADA lever required.</t>
        </is>
      </c>
    </row>
    <row r="12" ht="15.75" customHeight="1">
      <c r="B12" s="42" t="inlineStr">
        <is>
          <t>08</t>
        </is>
      </c>
      <c r="C12" s="42" t="inlineStr">
        <is>
          <t>DOO-02</t>
        </is>
      </c>
      <c r="D12" s="42" t="inlineStr">
        <is>
          <t>08 11 13</t>
        </is>
      </c>
      <c r="E12" s="42" t="n"/>
      <c r="F12" s="46" t="inlineStr">
        <is>
          <t>Door frame only – existing door reused</t>
        </is>
      </c>
      <c r="G12" s="42" t="inlineStr">
        <is>
          <t>EA</t>
        </is>
      </c>
      <c r="H12" s="34" t="n">
        <v>1200</v>
      </c>
      <c r="I12" s="16">
        <f>IFERROR(INDEX('REGIONAL FACTORS'!I$3:I$10,MATCH(ASSUMPTIONS!$C$11,'REGIONAL FACTORS'!$A$3:$A$10,0)),1)</f>
        <v/>
      </c>
      <c r="J12" s="16">
        <f>1+ASSUMPTIONS!$C$16</f>
        <v/>
      </c>
      <c r="K12" s="28">
        <f>H12*I12*J12</f>
        <v/>
      </c>
      <c r="L12" s="47" t="inlineStr">
        <is>
          <t>No</t>
        </is>
      </c>
      <c r="M12" s="45" t="inlineStr">
        <is>
          <t>Replace damaged frame, retain serviceable door and hardware.</t>
        </is>
      </c>
    </row>
    <row r="13" ht="15.75" customHeight="1">
      <c r="B13" s="38" t="inlineStr">
        <is>
          <t>09</t>
        </is>
      </c>
      <c r="C13" s="38" t="inlineStr">
        <is>
          <t>FIN-01</t>
        </is>
      </c>
      <c r="D13" s="38" t="inlineStr">
        <is>
          <t>09 91 00</t>
        </is>
      </c>
      <c r="E13" s="38" t="n"/>
      <c r="F13" s="39" t="inlineStr">
        <is>
          <t>High-performance corrosion-resistant coating (2-coat system)</t>
        </is>
      </c>
      <c r="G13" s="38" t="inlineStr">
        <is>
          <t>SF</t>
        </is>
      </c>
      <c r="H13" s="34" t="n">
        <v>9.5</v>
      </c>
      <c r="I13" s="16">
        <f>IFERROR(INDEX('REGIONAL FACTORS'!I$3:I$10,MATCH(ASSUMPTIONS!$C$11,'REGIONAL FACTORS'!$A$3:$A$10,0)),1)</f>
        <v/>
      </c>
      <c r="J13" s="16">
        <f>1+ASSUMPTIONS!$C$16</f>
        <v/>
      </c>
      <c r="K13" s="28">
        <f>H13*I13*J13</f>
        <v/>
      </c>
      <c r="L13" s="40" t="inlineStr">
        <is>
          <t>No</t>
        </is>
      </c>
      <c r="M13" s="41" t="inlineStr">
        <is>
          <t>For pool decks, pump rooms, humid athletic spaces. Tnemec or equal.</t>
        </is>
      </c>
    </row>
    <row r="14" ht="15.75" customHeight="1">
      <c r="B14" s="42" t="inlineStr">
        <is>
          <t>09</t>
        </is>
      </c>
      <c r="C14" s="42" t="inlineStr">
        <is>
          <t>FIN-02</t>
        </is>
      </c>
      <c r="D14" s="42" t="inlineStr">
        <is>
          <t>09 91 00</t>
        </is>
      </c>
      <c r="E14" s="42" t="n"/>
      <c r="F14" s="46" t="inlineStr">
        <is>
          <t>Standard interior latex paint system (2 coats)</t>
        </is>
      </c>
      <c r="G14" s="42" t="inlineStr">
        <is>
          <t>SF</t>
        </is>
      </c>
      <c r="H14" s="34" t="n">
        <v>3.75</v>
      </c>
      <c r="I14" s="16">
        <f>IFERROR(INDEX('REGIONAL FACTORS'!I$3:I$10,MATCH(ASSUMPTIONS!$C$11,'REGIONAL FACTORS'!$A$3:$A$10,0)),1)</f>
        <v/>
      </c>
      <c r="J14" s="16">
        <f>1+ASSUMPTIONS!$C$16</f>
        <v/>
      </c>
      <c r="K14" s="28">
        <f>H14*I14*J14</f>
        <v/>
      </c>
      <c r="L14" s="47" t="inlineStr">
        <is>
          <t>No</t>
        </is>
      </c>
      <c r="M14" s="45" t="inlineStr">
        <is>
          <t>Two coat system walls + ceiling. Does not include prep beyond light sanding.</t>
        </is>
      </c>
    </row>
    <row r="15" ht="15.75" customHeight="1">
      <c r="B15" s="38" t="inlineStr">
        <is>
          <t>09</t>
        </is>
      </c>
      <c r="C15" s="38" t="inlineStr">
        <is>
          <t>FIN-03</t>
        </is>
      </c>
      <c r="D15" s="38" t="inlineStr">
        <is>
          <t>09 64 66</t>
        </is>
      </c>
      <c r="E15" s="38" t="n"/>
      <c r="F15" s="39" t="inlineStr">
        <is>
          <t>Wood athletic floor refinishing – sand, recoat, stripe</t>
        </is>
      </c>
      <c r="G15" s="38" t="inlineStr">
        <is>
          <t>SF</t>
        </is>
      </c>
      <c r="H15" s="34" t="n">
        <v>8.5</v>
      </c>
      <c r="I15" s="16">
        <f>IFERROR(INDEX('REGIONAL FACTORS'!I$3:I$10,MATCH(ASSUMPTIONS!$C$11,'REGIONAL FACTORS'!$A$3:$A$10,0)),1)</f>
        <v/>
      </c>
      <c r="J15" s="16">
        <f>1+ASSUMPTIONS!$C$16</f>
        <v/>
      </c>
      <c r="K15" s="28">
        <f>H15*I15*J15</f>
        <v/>
      </c>
      <c r="L15" s="40" t="inlineStr">
        <is>
          <t>No</t>
        </is>
      </c>
      <c r="M15" s="41" t="inlineStr">
        <is>
          <t>Per MFMA standards. Includes sanding, 3 coats finish, re-striping.</t>
        </is>
      </c>
    </row>
    <row r="16" ht="15.75" customHeight="1">
      <c r="B16" s="42" t="inlineStr">
        <is>
          <t>09</t>
        </is>
      </c>
      <c r="C16" s="42" t="inlineStr">
        <is>
          <t>FIN-04</t>
        </is>
      </c>
      <c r="D16" s="42" t="inlineStr">
        <is>
          <t>09 65 66</t>
        </is>
      </c>
      <c r="E16" s="42" t="n"/>
      <c r="F16" s="43" t="inlineStr">
        <is>
          <t>Rubber athletic flooring system (6mm standard thickness)</t>
        </is>
      </c>
      <c r="G16" s="42" t="inlineStr">
        <is>
          <t>SF</t>
        </is>
      </c>
      <c r="H16" s="34" t="n">
        <v>14.5</v>
      </c>
      <c r="I16" s="16">
        <f>IFERROR(INDEX('REGIONAL FACTORS'!I$3:I$10,MATCH(ASSUMPTIONS!$C$11,'REGIONAL FACTORS'!$A$3:$A$10,0)),1)</f>
        <v/>
      </c>
      <c r="J16" s="16">
        <f>1+ASSUMPTIONS!$C$16</f>
        <v/>
      </c>
      <c r="K16" s="28">
        <f>H16*I16*J16</f>
        <v/>
      </c>
      <c r="L16" s="44" t="inlineStr">
        <is>
          <t>Yes</t>
        </is>
      </c>
      <c r="M16" s="45" t="inlineStr">
        <is>
          <t>Allowance based on Mondo/Ecore/Gerflor. Thickness TBD by owner.</t>
        </is>
      </c>
    </row>
    <row r="17" ht="15.75" customHeight="1">
      <c r="B17" s="38" t="inlineStr">
        <is>
          <t>09</t>
        </is>
      </c>
      <c r="C17" s="38" t="inlineStr">
        <is>
          <t>FIN-05</t>
        </is>
      </c>
      <c r="D17" s="38" t="inlineStr">
        <is>
          <t>09 65 00</t>
        </is>
      </c>
      <c r="E17" s="38" t="n"/>
      <c r="F17" s="39" t="inlineStr">
        <is>
          <t>VCT replacement / refinishing in place</t>
        </is>
      </c>
      <c r="G17" s="38" t="inlineStr">
        <is>
          <t>SF</t>
        </is>
      </c>
      <c r="H17" s="34" t="n">
        <v>7.25</v>
      </c>
      <c r="I17" s="16">
        <f>IFERROR(INDEX('REGIONAL FACTORS'!I$3:I$10,MATCH(ASSUMPTIONS!$C$11,'REGIONAL FACTORS'!$A$3:$A$10,0)),1)</f>
        <v/>
      </c>
      <c r="J17" s="16">
        <f>1+ASSUMPTIONS!$C$16</f>
        <v/>
      </c>
      <c r="K17" s="28">
        <f>H17*I17*J17</f>
        <v/>
      </c>
      <c r="L17" s="40" t="inlineStr">
        <is>
          <t>No</t>
        </is>
      </c>
      <c r="M17" s="41" t="inlineStr">
        <is>
          <t>New VCT over existing slab. Includes adhesive, installation, wax.</t>
        </is>
      </c>
    </row>
    <row r="18" ht="15.75" customHeight="1">
      <c r="B18" s="42" t="inlineStr">
        <is>
          <t>09</t>
        </is>
      </c>
      <c r="C18" s="42" t="inlineStr">
        <is>
          <t>FIN-06</t>
        </is>
      </c>
      <c r="D18" s="42" t="inlineStr">
        <is>
          <t>09 51 00</t>
        </is>
      </c>
      <c r="E18" s="42" t="n"/>
      <c r="F18" s="46" t="inlineStr">
        <is>
          <t>ACT ceiling – grid + tile replacement (2x2 standard)</t>
        </is>
      </c>
      <c r="G18" s="42" t="inlineStr">
        <is>
          <t>SF</t>
        </is>
      </c>
      <c r="H18" s="34" t="n">
        <v>8.75</v>
      </c>
      <c r="I18" s="16">
        <f>IFERROR(INDEX('REGIONAL FACTORS'!I$3:I$10,MATCH(ASSUMPTIONS!$C$11,'REGIONAL FACTORS'!$A$3:$A$10,0)),1)</f>
        <v/>
      </c>
      <c r="J18" s="16">
        <f>1+ASSUMPTIONS!$C$16</f>
        <v/>
      </c>
      <c r="K18" s="28">
        <f>H18*I18*J18</f>
        <v/>
      </c>
      <c r="L18" s="47" t="inlineStr">
        <is>
          <t>No</t>
        </is>
      </c>
      <c r="M18" s="45" t="inlineStr">
        <is>
          <t>Standard 2x2 ACT. Includes grid, tile, suspension wires. Does not include MEP.</t>
        </is>
      </c>
    </row>
    <row r="19" ht="15.75" customHeight="1">
      <c r="B19" s="38" t="inlineStr">
        <is>
          <t>09</t>
        </is>
      </c>
      <c r="C19" s="38" t="inlineStr">
        <is>
          <t>FIN-07</t>
        </is>
      </c>
      <c r="D19" s="38" t="inlineStr">
        <is>
          <t>09 29 00</t>
        </is>
      </c>
      <c r="E19" s="38" t="n"/>
      <c r="F19" s="39" t="inlineStr">
        <is>
          <t>GWB partition – 3-5/8" metal stud, taped, primed</t>
        </is>
      </c>
      <c r="G19" s="38" t="inlineStr">
        <is>
          <t>SF</t>
        </is>
      </c>
      <c r="H19" s="34" t="n">
        <v>16.5</v>
      </c>
      <c r="I19" s="16">
        <f>IFERROR(INDEX('REGIONAL FACTORS'!I$3:I$10,MATCH(ASSUMPTIONS!$C$11,'REGIONAL FACTORS'!$A$3:$A$10,0)),1)</f>
        <v/>
      </c>
      <c r="J19" s="16">
        <f>1+ASSUMPTIONS!$C$16</f>
        <v/>
      </c>
      <c r="K19" s="28">
        <f>H19*I19*J19</f>
        <v/>
      </c>
      <c r="L19" s="40" t="inlineStr">
        <is>
          <t>No</t>
        </is>
      </c>
      <c r="M19" s="41" t="inlineStr">
        <is>
          <t>Full-height partition, per-face cost. Double for both faces.</t>
        </is>
      </c>
    </row>
    <row r="20" ht="15.75" customHeight="1">
      <c r="B20" s="42" t="inlineStr">
        <is>
          <t>10</t>
        </is>
      </c>
      <c r="C20" s="42" t="inlineStr">
        <is>
          <t>ACC-01</t>
        </is>
      </c>
      <c r="D20" s="42" t="inlineStr">
        <is>
          <t>10 28 13</t>
        </is>
      </c>
      <c r="E20" s="42" t="n"/>
      <c r="F20" s="43" t="inlineStr">
        <is>
          <t>Mirrors, wall-mounted, tempered safety glass</t>
        </is>
      </c>
      <c r="G20" s="42" t="inlineStr">
        <is>
          <t>SF</t>
        </is>
      </c>
      <c r="H20" s="34" t="n">
        <v>28</v>
      </c>
      <c r="I20" s="16">
        <f>IFERROR(INDEX('REGIONAL FACTORS'!I$3:I$10,MATCH(ASSUMPTIONS!$C$11,'REGIONAL FACTORS'!$A$3:$A$10,0)),1)</f>
        <v/>
      </c>
      <c r="J20" s="16">
        <f>1+ASSUMPTIONS!$C$16</f>
        <v/>
      </c>
      <c r="K20" s="28">
        <f>H20*I20*J20</f>
        <v/>
      </c>
      <c r="L20" s="44" t="inlineStr">
        <is>
          <t>Yes</t>
        </is>
      </c>
      <c r="M20" s="45" t="inlineStr">
        <is>
          <t>Allowance. Size/count TBD by owner. Boxing gym standard: 8'x5' panels.</t>
        </is>
      </c>
    </row>
    <row r="21" ht="15.75" customHeight="1">
      <c r="B21" s="38" t="inlineStr">
        <is>
          <t>10</t>
        </is>
      </c>
      <c r="C21" s="38" t="inlineStr">
        <is>
          <t>ACC-02</t>
        </is>
      </c>
      <c r="D21" s="38" t="inlineStr">
        <is>
          <t>10 26 00</t>
        </is>
      </c>
      <c r="E21" s="38" t="n"/>
      <c r="F21" s="39" t="inlineStr">
        <is>
          <t>Wall corner guards, stainless steel</t>
        </is>
      </c>
      <c r="G21" s="38" t="inlineStr">
        <is>
          <t>LF</t>
        </is>
      </c>
      <c r="H21" s="34" t="n">
        <v>35</v>
      </c>
      <c r="I21" s="16">
        <f>IFERROR(INDEX('REGIONAL FACTORS'!I$3:I$10,MATCH(ASSUMPTIONS!$C$11,'REGIONAL FACTORS'!$A$3:$A$10,0)),1)</f>
        <v/>
      </c>
      <c r="J21" s="16">
        <f>1+ASSUMPTIONS!$C$16</f>
        <v/>
      </c>
      <c r="K21" s="28">
        <f>H21*I21*J21</f>
        <v/>
      </c>
      <c r="L21" s="40" t="inlineStr">
        <is>
          <t>No</t>
        </is>
      </c>
      <c r="M21" s="41" t="inlineStr">
        <is>
          <t>Impact-resistant stainless, mechanically attached.</t>
        </is>
      </c>
    </row>
    <row r="22" ht="15.75" customHeight="1">
      <c r="B22" s="42" t="inlineStr">
        <is>
          <t>11</t>
        </is>
      </c>
      <c r="C22" s="42" t="inlineStr">
        <is>
          <t>ATH-01</t>
        </is>
      </c>
      <c r="D22" s="42" t="inlineStr">
        <is>
          <t>11 66 23</t>
        </is>
      </c>
      <c r="E22" s="42" t="n"/>
      <c r="F22" s="43" t="inlineStr">
        <is>
          <t>Gymnasium wall padding (2" thick, floor to 6')</t>
        </is>
      </c>
      <c r="G22" s="42" t="inlineStr">
        <is>
          <t>SF</t>
        </is>
      </c>
      <c r="H22" s="34" t="n">
        <v>36</v>
      </c>
      <c r="I22" s="16">
        <f>IFERROR(INDEX('REGIONAL FACTORS'!I$3:I$10,MATCH(ASSUMPTIONS!$C$11,'REGIONAL FACTORS'!$A$3:$A$10,0)),1)</f>
        <v/>
      </c>
      <c r="J22" s="16">
        <f>1+ASSUMPTIONS!$C$16</f>
        <v/>
      </c>
      <c r="K22" s="28">
        <f>H22*I22*J22</f>
        <v/>
      </c>
      <c r="L22" s="44" t="inlineStr">
        <is>
          <t>Yes</t>
        </is>
      </c>
      <c r="M22" s="45" t="inlineStr">
        <is>
          <t>Allowance: Jaypro/Safety Padding/Bison. Color and graphic scope TBD.</t>
        </is>
      </c>
    </row>
    <row r="23" ht="15.75" customHeight="1">
      <c r="B23" s="38" t="inlineStr">
        <is>
          <t>11</t>
        </is>
      </c>
      <c r="C23" s="38" t="inlineStr">
        <is>
          <t>ATH-02</t>
        </is>
      </c>
      <c r="D23" s="38" t="inlineStr">
        <is>
          <t>11 66 23</t>
        </is>
      </c>
      <c r="E23" s="38" t="n"/>
      <c r="F23" s="43" t="inlineStr">
        <is>
          <t>Scoreboard / control system – gymnasium</t>
        </is>
      </c>
      <c r="G23" s="38" t="inlineStr">
        <is>
          <t>EA</t>
        </is>
      </c>
      <c r="H23" s="34" t="n">
        <v>18000</v>
      </c>
      <c r="I23" s="16">
        <f>IFERROR(INDEX('REGIONAL FACTORS'!I$3:I$10,MATCH(ASSUMPTIONS!$C$11,'REGIONAL FACTORS'!$A$3:$A$10,0)),1)</f>
        <v/>
      </c>
      <c r="J23" s="16">
        <f>1+ASSUMPTIONS!$C$16</f>
        <v/>
      </c>
      <c r="K23" s="28">
        <f>H23*I23*J23</f>
        <v/>
      </c>
      <c r="L23" s="44" t="inlineStr">
        <is>
          <t>Yes</t>
        </is>
      </c>
      <c r="M23" s="41" t="inlineStr">
        <is>
          <t>Allowance: Daktronics/Watchfire/Electro-Mech. Power/data coordination required.</t>
        </is>
      </c>
    </row>
    <row r="24" ht="15.75" customHeight="1">
      <c r="B24" s="42" t="inlineStr">
        <is>
          <t>11</t>
        </is>
      </c>
      <c r="C24" s="42" t="inlineStr">
        <is>
          <t>ATH-03</t>
        </is>
      </c>
      <c r="D24" s="42" t="inlineStr">
        <is>
          <t>11 66 23</t>
        </is>
      </c>
      <c r="E24" s="42" t="n"/>
      <c r="F24" s="43" t="inlineStr">
        <is>
          <t>Telescoping bleacher system – gymnasium</t>
        </is>
      </c>
      <c r="G24" s="42" t="inlineStr">
        <is>
          <t>LS</t>
        </is>
      </c>
      <c r="H24" s="34" t="n">
        <v>95000</v>
      </c>
      <c r="I24" s="16">
        <f>IFERROR(INDEX('REGIONAL FACTORS'!I$3:I$10,MATCH(ASSUMPTIONS!$C$11,'REGIONAL FACTORS'!$A$3:$A$10,0)),1)</f>
        <v/>
      </c>
      <c r="J24" s="16">
        <f>1+ASSUMPTIONS!$C$16</f>
        <v/>
      </c>
      <c r="K24" s="28">
        <f>H24*I24*J24</f>
        <v/>
      </c>
      <c r="L24" s="44" t="inlineStr">
        <is>
          <t>Yes</t>
        </is>
      </c>
      <c r="M24" s="45" t="inlineStr">
        <is>
          <t>Allowance: Jaypro/Irwin/Hussey. Row count, ADA seating, and finish TBD.</t>
        </is>
      </c>
    </row>
    <row r="25" ht="15.75" customHeight="1">
      <c r="B25" s="38" t="inlineStr">
        <is>
          <t>11</t>
        </is>
      </c>
      <c r="C25" s="38" t="inlineStr">
        <is>
          <t>ATH-04</t>
        </is>
      </c>
      <c r="D25" s="38" t="inlineStr">
        <is>
          <t>11 66 23</t>
        </is>
      </c>
      <c r="E25" s="38" t="n"/>
      <c r="F25" s="43" t="inlineStr">
        <is>
          <t>Basketball backstop system (single court)</t>
        </is>
      </c>
      <c r="G25" s="38" t="inlineStr">
        <is>
          <t>EA</t>
        </is>
      </c>
      <c r="H25" s="34" t="n">
        <v>14500</v>
      </c>
      <c r="I25" s="16">
        <f>IFERROR(INDEX('REGIONAL FACTORS'!I$3:I$10,MATCH(ASSUMPTIONS!$C$11,'REGIONAL FACTORS'!$A$3:$A$10,0)),1)</f>
        <v/>
      </c>
      <c r="J25" s="16">
        <f>1+ASSUMPTIONS!$C$16</f>
        <v/>
      </c>
      <c r="K25" s="28">
        <f>H25*I25*J25</f>
        <v/>
      </c>
      <c r="L25" s="44" t="inlineStr">
        <is>
          <t>Yes</t>
        </is>
      </c>
      <c r="M25" s="41" t="inlineStr">
        <is>
          <t>Allowance: Jaypro/Porter/Draper J800 or equal. Extension length and mounting TBD.</t>
        </is>
      </c>
    </row>
    <row r="26" ht="15.75" customHeight="1">
      <c r="B26" s="42" t="inlineStr">
        <is>
          <t>11</t>
        </is>
      </c>
      <c r="C26" s="42" t="inlineStr">
        <is>
          <t>ATH-05</t>
        </is>
      </c>
      <c r="D26" s="42" t="inlineStr">
        <is>
          <t>11 66 23</t>
        </is>
      </c>
      <c r="E26" s="42" t="n"/>
      <c r="F26" s="43" t="inlineStr">
        <is>
          <t>Volleyball post/sleeve system</t>
        </is>
      </c>
      <c r="G26" s="42" t="inlineStr">
        <is>
          <t>EA</t>
        </is>
      </c>
      <c r="H26" s="34" t="n">
        <v>3500</v>
      </c>
      <c r="I26" s="16">
        <f>IFERROR(INDEX('REGIONAL FACTORS'!I$3:I$10,MATCH(ASSUMPTIONS!$C$11,'REGIONAL FACTORS'!$A$3:$A$10,0)),1)</f>
        <v/>
      </c>
      <c r="J26" s="16">
        <f>1+ASSUMPTIONS!$C$16</f>
        <v/>
      </c>
      <c r="K26" s="28">
        <f>H26*I26*J26</f>
        <v/>
      </c>
      <c r="L26" s="44" t="inlineStr">
        <is>
          <t>Yes</t>
        </is>
      </c>
      <c r="M26" s="45" t="inlineStr">
        <is>
          <t>Allowance: Jaypro 7000-series or equal. Sleeve sleeve coordination with slab.</t>
        </is>
      </c>
    </row>
    <row r="27" ht="15.75" customHeight="1">
      <c r="B27" s="38" t="inlineStr">
        <is>
          <t>11</t>
        </is>
      </c>
      <c r="C27" s="38" t="inlineStr">
        <is>
          <t>ATH-06</t>
        </is>
      </c>
      <c r="D27" s="38" t="inlineStr">
        <is>
          <t>11 66 43</t>
        </is>
      </c>
      <c r="E27" s="38" t="n"/>
      <c r="F27" s="43" t="inlineStr">
        <is>
          <t>Boxing ring, 14x14, new training ring</t>
        </is>
      </c>
      <c r="G27" s="38" t="inlineStr">
        <is>
          <t>EA</t>
        </is>
      </c>
      <c r="H27" s="34" t="n">
        <v>18000</v>
      </c>
      <c r="I27" s="16">
        <f>IFERROR(INDEX('REGIONAL FACTORS'!I$3:I$10,MATCH(ASSUMPTIONS!$C$11,'REGIONAL FACTORS'!$A$3:$A$10,0)),1)</f>
        <v/>
      </c>
      <c r="J27" s="16">
        <f>1+ASSUMPTIONS!$C$16</f>
        <v/>
      </c>
      <c r="K27" s="28">
        <f>H27*I27*J27</f>
        <v/>
      </c>
      <c r="L27" s="44" t="inlineStr">
        <is>
          <t>Yes</t>
        </is>
      </c>
      <c r="M27" s="41" t="inlineStr">
        <is>
          <t>Allowance: Title/Ringside/Everlast. Model, ropes, corner pads, canvas TBD.</t>
        </is>
      </c>
    </row>
    <row r="28" ht="15.75" customHeight="1">
      <c r="B28" s="42" t="inlineStr">
        <is>
          <t>11</t>
        </is>
      </c>
      <c r="C28" s="42" t="inlineStr">
        <is>
          <t>ATH-07</t>
        </is>
      </c>
      <c r="D28" s="42" t="inlineStr">
        <is>
          <t>11 66 43</t>
        </is>
      </c>
      <c r="E28" s="42" t="n"/>
      <c r="F28" s="43" t="inlineStr">
        <is>
          <t>Bag systems / speed bag station – boxing</t>
        </is>
      </c>
      <c r="G28" s="42" t="inlineStr">
        <is>
          <t>LS</t>
        </is>
      </c>
      <c r="H28" s="34" t="n">
        <v>14000</v>
      </c>
      <c r="I28" s="16">
        <f>IFERROR(INDEX('REGIONAL FACTORS'!I$3:I$10,MATCH(ASSUMPTIONS!$C$11,'REGIONAL FACTORS'!$A$3:$A$10,0)),1)</f>
        <v/>
      </c>
      <c r="J28" s="16">
        <f>1+ASSUMPTIONS!$C$16</f>
        <v/>
      </c>
      <c r="K28" s="28">
        <f>H28*I28*J28</f>
        <v/>
      </c>
      <c r="L28" s="44" t="inlineStr">
        <is>
          <t>Yes</t>
        </is>
      </c>
      <c r="M28" s="45" t="inlineStr">
        <is>
          <t>Allowance: Various. Count, mounting type, and bag style TBD.</t>
        </is>
      </c>
    </row>
    <row r="29" ht="15.75" customHeight="1">
      <c r="B29" s="38" t="inlineStr">
        <is>
          <t>15</t>
        </is>
      </c>
      <c r="C29" s="38" t="inlineStr">
        <is>
          <t>PLB-01</t>
        </is>
      </c>
      <c r="D29" s="38" t="inlineStr">
        <is>
          <t>22 11 16</t>
        </is>
      </c>
      <c r="E29" s="38" t="n"/>
      <c r="F29" s="39" t="inlineStr">
        <is>
          <t>Plumbing rough-in per fixture (allowance)</t>
        </is>
      </c>
      <c r="G29" s="38" t="inlineStr">
        <is>
          <t>EA</t>
        </is>
      </c>
      <c r="H29" s="34" t="n">
        <v>3500</v>
      </c>
      <c r="I29" s="16">
        <f>IFERROR(INDEX('REGIONAL FACTORS'!I$3:I$10,MATCH(ASSUMPTIONS!$C$11,'REGIONAL FACTORS'!$A$3:$A$10,0)),1)</f>
        <v/>
      </c>
      <c r="J29" s="16">
        <f>1+ASSUMPTIONS!$C$16</f>
        <v/>
      </c>
      <c r="K29" s="28">
        <f>H29*I29*J29</f>
        <v/>
      </c>
      <c r="L29" s="40" t="inlineStr">
        <is>
          <t>No</t>
        </is>
      </c>
      <c r="M29" s="41" t="inlineStr">
        <is>
          <t>MEP allowance per fixture for minor plumbing modifications. Verify with MEP engineer.</t>
        </is>
      </c>
    </row>
    <row r="30" ht="15.75" customHeight="1">
      <c r="B30" s="42" t="inlineStr">
        <is>
          <t>16</t>
        </is>
      </c>
      <c r="C30" s="42" t="inlineStr">
        <is>
          <t>ELC-01</t>
        </is>
      </c>
      <c r="D30" s="42" t="inlineStr">
        <is>
          <t>26 05 00</t>
        </is>
      </c>
      <c r="E30" s="42" t="n"/>
      <c r="F30" s="46" t="inlineStr">
        <is>
          <t>Electrical rough-in / circuit additions (allowance)</t>
        </is>
      </c>
      <c r="G30" s="42" t="inlineStr">
        <is>
          <t>EA</t>
        </is>
      </c>
      <c r="H30" s="34" t="n">
        <v>2800</v>
      </c>
      <c r="I30" s="16">
        <f>IFERROR(INDEX('REGIONAL FACTORS'!I$3:I$10,MATCH(ASSUMPTIONS!$C$11,'REGIONAL FACTORS'!$A$3:$A$10,0)),1)</f>
        <v/>
      </c>
      <c r="J30" s="16">
        <f>1+ASSUMPTIONS!$C$16</f>
        <v/>
      </c>
      <c r="K30" s="28">
        <f>H30*I30*J30</f>
        <v/>
      </c>
      <c r="L30" s="47" t="inlineStr">
        <is>
          <t>No</t>
        </is>
      </c>
      <c r="M30" s="45" t="inlineStr">
        <is>
          <t>MEP allowance per new circuit. Verify panel capacity. Coordinate with MEP.</t>
        </is>
      </c>
    </row>
    <row r="31" ht="15.75" customHeight="1">
      <c r="B31" s="38" t="inlineStr">
        <is>
          <t>16</t>
        </is>
      </c>
      <c r="C31" s="38" t="inlineStr">
        <is>
          <t>ELC-02</t>
        </is>
      </c>
      <c r="D31" s="38" t="inlineStr">
        <is>
          <t>26 05 00</t>
        </is>
      </c>
      <c r="E31" s="38" t="n"/>
      <c r="F31" s="43" t="inlineStr">
        <is>
          <t>Scoreboard/specialty equipment power feed</t>
        </is>
      </c>
      <c r="G31" s="38" t="inlineStr">
        <is>
          <t>EA</t>
        </is>
      </c>
      <c r="H31" s="34" t="n">
        <v>4500</v>
      </c>
      <c r="I31" s="16">
        <f>IFERROR(INDEX('REGIONAL FACTORS'!I$3:I$10,MATCH(ASSUMPTIONS!$C$11,'REGIONAL FACTORS'!$A$3:$A$10,0)),1)</f>
        <v/>
      </c>
      <c r="J31" s="16">
        <f>1+ASSUMPTIONS!$C$16</f>
        <v/>
      </c>
      <c r="K31" s="28">
        <f>H31*I31*J31</f>
        <v/>
      </c>
      <c r="L31" s="44" t="inlineStr">
        <is>
          <t>Yes</t>
        </is>
      </c>
      <c r="M31" s="41" t="inlineStr">
        <is>
          <t>Dedicated circuit for scoreboard, PA, or specialty equip. Allowance pending design.</t>
        </is>
      </c>
    </row>
    <row r="32" ht="15" customHeight="1">
      <c r="B32" s="194" t="inlineStr">
        <is>
          <t>→ ADD NEW SCOPE ITEMS BELOW THIS ROW. Copy formulas in columns I–K from any row above.</t>
        </is>
      </c>
    </row>
  </sheetData>
  <mergeCells count="2">
    <mergeCell ref="B32:M32"/>
    <mergeCell ref="B1:M1"/>
  </mergeCells>
  <pageMargins left="0.75" right="0.75" top="1" bottom="1" header="0.511811023622047" footer="0.511805555555556"/>
  <pageSetup orientation="portrait" paperSize="9" horizontalDpi="300" verticalDpi="300"/>
  <headerFooter>
    <oddHeader/>
    <oddFooter>&amp;L&amp;8 M4Di — Merge 4 Development Institute, Inc.&amp;C&amp;8 Page &amp;P of &amp;N  ·  Draft — Internal Use Only  ·  © 2026 M4Di, Inc.&amp;R&amp;8 M4Di.Oi™  ALDi™  FeasOps™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4CAF50"/>
    <outlinePr summaryBelow="1" summaryRight="1"/>
    <pageSetUpPr/>
  </sheetPr>
  <dimension ref="B1:O30"/>
  <sheetViews>
    <sheetView showGridLines="0" topLeftCell="A1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6" customWidth="1" min="2" max="2"/>
    <col width="20.7109375" customWidth="1" min="3" max="3"/>
    <col width="6" customWidth="1" min="4" max="4"/>
    <col width="10" customWidth="1" min="5" max="7"/>
    <col width="41.7109375" customWidth="1" min="8" max="8"/>
    <col width="6" customWidth="1" min="9" max="9"/>
    <col width="11" customWidth="1" min="10" max="10"/>
    <col width="10" customWidth="1" min="11" max="11"/>
    <col width="14" customWidth="1" min="12" max="12"/>
    <col width="11" customWidth="1" min="13" max="13"/>
    <col width="15.7109375" customWidth="1" min="14" max="14"/>
    <col width="33" customWidth="1" min="15" max="15"/>
  </cols>
  <sheetData>
    <row r="1" ht="37.5" customHeight="1">
      <c r="B1" s="187" t="inlineStr">
        <is>
          <t>QUANTITY TAKEOFF — By Floor / Division / Scope Item</t>
        </is>
      </c>
    </row>
    <row r="2" ht="30" customHeight="1">
      <c r="B2" s="37" t="inlineStr">
        <is>
          <t>Floor</t>
        </is>
      </c>
      <c r="C2" s="37" t="inlineStr">
        <is>
          <t>Area / Zone</t>
        </is>
      </c>
      <c r="D2" s="37" t="inlineStr">
        <is>
          <t>Div</t>
        </is>
      </c>
      <c r="E2" s="37" t="inlineStr">
        <is>
          <t>Spec
Section</t>
        </is>
      </c>
      <c r="F2" s="37" t="inlineStr">
        <is>
          <t>Bid
Package</t>
        </is>
      </c>
      <c r="G2" s="37" t="inlineStr">
        <is>
          <t>Cost
Code</t>
        </is>
      </c>
      <c r="H2" s="37" t="inlineStr">
        <is>
          <t>Scope Item</t>
        </is>
      </c>
      <c r="I2" s="37" t="inlineStr">
        <is>
          <t>Unit</t>
        </is>
      </c>
      <c r="J2" s="37" t="inlineStr">
        <is>
          <t>Quantity
Source</t>
        </is>
      </c>
      <c r="K2" s="37" t="inlineStr">
        <is>
          <t>Quantity</t>
        </is>
      </c>
      <c r="L2" s="37" t="inlineStr">
        <is>
          <t>Adj. Unit Cost
(from Library)</t>
        </is>
      </c>
      <c r="M2" s="37" t="inlineStr">
        <is>
          <t>Line Total</t>
        </is>
      </c>
      <c r="N2" s="37" t="inlineStr">
        <is>
          <t>Included?</t>
        </is>
      </c>
      <c r="O2" s="37" t="inlineStr">
        <is>
          <t>Comments</t>
        </is>
      </c>
    </row>
    <row r="3" ht="15.75" customHeight="1">
      <c r="B3" s="48" t="inlineStr">
        <is>
          <t>LL</t>
        </is>
      </c>
      <c r="C3" s="48" t="inlineStr">
        <is>
          <t>Pump Room/Pool Area</t>
        </is>
      </c>
      <c r="D3" s="48" t="inlineStr">
        <is>
          <t>02</t>
        </is>
      </c>
      <c r="E3" s="48" t="inlineStr">
        <is>
          <t>02 41 19</t>
        </is>
      </c>
      <c r="F3" s="48" t="n"/>
      <c r="G3" s="48" t="inlineStr">
        <is>
          <t>DEM-01</t>
        </is>
      </c>
      <c r="H3" s="49" t="inlineStr">
        <is>
          <t>Selective demolition – interior finishes</t>
        </is>
      </c>
      <c r="I3" s="50" t="inlineStr">
        <is>
          <t>SF</t>
        </is>
      </c>
      <c r="J3" s="51" t="inlineStr">
        <is>
          <t>Pump Rm Area</t>
        </is>
      </c>
      <c r="K3" s="52" t="n">
        <v>953</v>
      </c>
      <c r="L3" s="53">
        <f>IFERROR(VLOOKUP(G3,'UNIT PRICE LIBRARY'!$C$3:$K$60,9,0),0)</f>
        <v/>
      </c>
      <c r="M3" s="54">
        <f>IF(OR(N3="No",N3="TBD"),0,K3*L3)</f>
        <v/>
      </c>
      <c r="N3" s="55" t="inlineStr">
        <is>
          <t>Yes</t>
        </is>
      </c>
      <c r="O3" s="51" t="n"/>
    </row>
    <row r="4" ht="15.75" customHeight="1">
      <c r="B4" s="48" t="inlineStr">
        <is>
          <t>LL</t>
        </is>
      </c>
      <c r="C4" s="48" t="inlineStr">
        <is>
          <t>Pump Room/Pool Area</t>
        </is>
      </c>
      <c r="D4" s="48" t="inlineStr">
        <is>
          <t>03</t>
        </is>
      </c>
      <c r="E4" s="48" t="inlineStr">
        <is>
          <t>03 30 00</t>
        </is>
      </c>
      <c r="F4" s="48" t="n"/>
      <c r="G4" s="48" t="inlineStr">
        <is>
          <t>CON-01</t>
        </is>
      </c>
      <c r="H4" s="49" t="inlineStr">
        <is>
          <t>Concrete housekeeping pad, reinforced</t>
        </is>
      </c>
      <c r="I4" s="50" t="inlineStr">
        <is>
          <t>CY</t>
        </is>
      </c>
      <c r="J4" s="51" t="inlineStr">
        <is>
          <t>11'x7'x6" calc</t>
        </is>
      </c>
      <c r="K4" s="52" t="n">
        <v>1.43</v>
      </c>
      <c r="L4" s="53">
        <f>IFERROR(VLOOKUP(G4,'UNIT PRICE LIBRARY'!$C$3:$K$60,9,0),0)</f>
        <v/>
      </c>
      <c r="M4" s="54">
        <f>IF(OR(N4="No",N4="TBD"),0,K4*L4)</f>
        <v/>
      </c>
      <c r="N4" s="55" t="inlineStr">
        <is>
          <t>Yes</t>
        </is>
      </c>
      <c r="O4" s="51" t="inlineStr">
        <is>
          <t>11 ft x 7 ft x 0.5 ft / 27 = 1.43 CY</t>
        </is>
      </c>
    </row>
    <row r="5" ht="15.75" customHeight="1">
      <c r="B5" s="48" t="inlineStr">
        <is>
          <t>LL</t>
        </is>
      </c>
      <c r="C5" s="48" t="inlineStr">
        <is>
          <t>Pump Room/Pool Area</t>
        </is>
      </c>
      <c r="D5" s="48" t="inlineStr">
        <is>
          <t>09</t>
        </is>
      </c>
      <c r="E5" s="48" t="inlineStr">
        <is>
          <t>09 91 00</t>
        </is>
      </c>
      <c r="F5" s="48" t="n"/>
      <c r="G5" s="48" t="inlineStr">
        <is>
          <t>FIN-01</t>
        </is>
      </c>
      <c r="H5" s="49" t="inlineStr">
        <is>
          <t>High-performance corrosion coating – pump room</t>
        </is>
      </c>
      <c r="I5" s="50" t="inlineStr">
        <is>
          <t>SF</t>
        </is>
      </c>
      <c r="J5" s="51" t="inlineStr">
        <is>
          <t>Pump Rm Area</t>
        </is>
      </c>
      <c r="K5" s="52" t="n">
        <v>3170</v>
      </c>
      <c r="L5" s="53">
        <f>IFERROR(VLOOKUP(G5,'UNIT PRICE LIBRARY'!$C$3:$K$60,9,0),0)</f>
        <v/>
      </c>
      <c r="M5" s="54">
        <f>IF(OR(N5="No",N5="TBD"),0,K5*L5)</f>
        <v/>
      </c>
      <c r="N5" s="55" t="inlineStr">
        <is>
          <t>Yes</t>
        </is>
      </c>
      <c r="O5" s="51" t="inlineStr">
        <is>
          <t>Walls + ceiling + 20% surface factor</t>
        </is>
      </c>
    </row>
    <row r="6" ht="15.75" customHeight="1">
      <c r="B6" s="48" t="inlineStr">
        <is>
          <t>LL</t>
        </is>
      </c>
      <c r="C6" s="48" t="inlineStr">
        <is>
          <t>Pool Area</t>
        </is>
      </c>
      <c r="D6" s="48" t="inlineStr">
        <is>
          <t>09</t>
        </is>
      </c>
      <c r="E6" s="48" t="inlineStr">
        <is>
          <t>09 91 00</t>
        </is>
      </c>
      <c r="F6" s="48" t="n"/>
      <c r="G6" s="48" t="inlineStr">
        <is>
          <t>FIN-01</t>
        </is>
      </c>
      <c r="H6" s="49" t="inlineStr">
        <is>
          <t>High-performance corrosion coating – pool walls</t>
        </is>
      </c>
      <c r="I6" s="50" t="inlineStr">
        <is>
          <t>SF</t>
        </is>
      </c>
      <c r="J6" s="51" t="inlineStr">
        <is>
          <t>Pool Area</t>
        </is>
      </c>
      <c r="K6" s="52" t="n">
        <v>16300</v>
      </c>
      <c r="L6" s="53">
        <f>IFERROR(VLOOKUP(G6,'UNIT PRICE LIBRARY'!$C$3:$K$60,9,0),0)</f>
        <v/>
      </c>
      <c r="M6" s="54">
        <f>IF(OR(N6="No",N6="TBD"),0,K6*L6)</f>
        <v/>
      </c>
      <c r="N6" s="55" t="inlineStr">
        <is>
          <t>Yes</t>
        </is>
      </c>
      <c r="O6" s="51" t="inlineStr">
        <is>
          <t>Pool walls and ceiling + 15% surface factor</t>
        </is>
      </c>
    </row>
    <row r="7" ht="15.75" customHeight="1">
      <c r="B7" s="48" t="inlineStr">
        <is>
          <t>LL</t>
        </is>
      </c>
      <c r="C7" s="48" t="inlineStr">
        <is>
          <t>Stair Tower</t>
        </is>
      </c>
      <c r="D7" s="48" t="inlineStr">
        <is>
          <t>09</t>
        </is>
      </c>
      <c r="E7" s="48" t="inlineStr">
        <is>
          <t>09 91 00</t>
        </is>
      </c>
      <c r="F7" s="48" t="n"/>
      <c r="G7" s="48" t="inlineStr">
        <is>
          <t>FIN-01</t>
        </is>
      </c>
      <c r="H7" s="49" t="inlineStr">
        <is>
          <t>High-performance corrosion coating – stair</t>
        </is>
      </c>
      <c r="I7" s="50" t="inlineStr">
        <is>
          <t>SF</t>
        </is>
      </c>
      <c r="J7" s="51" t="inlineStr">
        <is>
          <t>Stair Area</t>
        </is>
      </c>
      <c r="K7" s="52" t="n">
        <v>3070</v>
      </c>
      <c r="L7" s="53">
        <f>IFERROR(VLOOKUP(G7,'UNIT PRICE LIBRARY'!$C$3:$K$60,9,0),0)</f>
        <v/>
      </c>
      <c r="M7" s="54">
        <f>IF(OR(N7="No",N7="TBD"),0,K7*L7)</f>
        <v/>
      </c>
      <c r="N7" s="55" t="inlineStr">
        <is>
          <t>Yes</t>
        </is>
      </c>
      <c r="O7" s="51" t="inlineStr">
        <is>
          <t>Stair walls and ceiling + 35% surface factor</t>
        </is>
      </c>
    </row>
    <row r="8" ht="15.75" customHeight="1">
      <c r="B8" s="56" t="inlineStr">
        <is>
          <t>1F</t>
        </is>
      </c>
      <c r="C8" s="56" t="inlineStr">
        <is>
          <t>Bleachers/Balcony</t>
        </is>
      </c>
      <c r="D8" s="56" t="inlineStr">
        <is>
          <t>02</t>
        </is>
      </c>
      <c r="E8" s="56" t="inlineStr">
        <is>
          <t>02 41 19</t>
        </is>
      </c>
      <c r="F8" s="56" t="n"/>
      <c r="G8" s="56" t="inlineStr">
        <is>
          <t>DEM-01</t>
        </is>
      </c>
      <c r="H8" s="57" t="inlineStr">
        <is>
          <t>Selective demolition – interior finishes</t>
        </is>
      </c>
      <c r="I8" s="58" t="inlineStr">
        <is>
          <t>SF</t>
        </is>
      </c>
      <c r="J8" s="59" t="inlineStr">
        <is>
          <t>Balcony Area</t>
        </is>
      </c>
      <c r="K8" s="52" t="n">
        <v>1130</v>
      </c>
      <c r="L8" s="53">
        <f>IFERROR(VLOOKUP(G8,'UNIT PRICE LIBRARY'!$C$3:$K$60,9,0),0)</f>
        <v/>
      </c>
      <c r="M8" s="54">
        <f>IF(OR(N8="No",N8="TBD"),0,K8*L8)</f>
        <v/>
      </c>
      <c r="N8" s="55" t="inlineStr">
        <is>
          <t>Yes</t>
        </is>
      </c>
      <c r="O8" s="59" t="n"/>
    </row>
    <row r="9" ht="15.75" customHeight="1">
      <c r="B9" s="56" t="inlineStr">
        <is>
          <t>1F</t>
        </is>
      </c>
      <c r="C9" s="56" t="inlineStr">
        <is>
          <t>Bleachers/Balcony</t>
        </is>
      </c>
      <c r="D9" s="56" t="inlineStr">
        <is>
          <t>05</t>
        </is>
      </c>
      <c r="E9" s="56" t="inlineStr">
        <is>
          <t>05 52 13</t>
        </is>
      </c>
      <c r="F9" s="56" t="n"/>
      <c r="G9" s="56" t="inlineStr">
        <is>
          <t>MET-01</t>
        </is>
      </c>
      <c r="H9" s="57" t="inlineStr">
        <is>
          <t>Aluminum/glass guardrail</t>
        </is>
      </c>
      <c r="I9" s="58" t="inlineStr">
        <is>
          <t>LF</t>
        </is>
      </c>
      <c r="J9" s="59" t="inlineStr">
        <is>
          <t>Field Measure</t>
        </is>
      </c>
      <c r="K9" s="52" t="n">
        <v>92</v>
      </c>
      <c r="L9" s="53">
        <f>IFERROR(VLOOKUP(G9,'UNIT PRICE LIBRARY'!$C$3:$K$60,9,0),0)</f>
        <v/>
      </c>
      <c r="M9" s="54">
        <f>IF(OR(N9="No",N9="TBD"),0,K9*L9)</f>
        <v/>
      </c>
      <c r="N9" s="55" t="inlineStr">
        <is>
          <t>Yes</t>
        </is>
      </c>
      <c r="O9" s="59" t="n"/>
    </row>
    <row r="10" ht="15.75" customHeight="1">
      <c r="B10" s="56" t="inlineStr">
        <is>
          <t>1F</t>
        </is>
      </c>
      <c r="C10" s="56" t="inlineStr">
        <is>
          <t>Bleachers/Balcony</t>
        </is>
      </c>
      <c r="D10" s="56" t="inlineStr">
        <is>
          <t>09</t>
        </is>
      </c>
      <c r="E10" s="56" t="inlineStr">
        <is>
          <t>09 65 66</t>
        </is>
      </c>
      <c r="F10" s="56" t="n"/>
      <c r="G10" s="56" t="inlineStr">
        <is>
          <t>FIN-04</t>
        </is>
      </c>
      <c r="H10" s="57" t="inlineStr">
        <is>
          <t>Rubber athletic flooring system</t>
        </is>
      </c>
      <c r="I10" s="58" t="inlineStr">
        <is>
          <t>SF</t>
        </is>
      </c>
      <c r="J10" s="59" t="inlineStr">
        <is>
          <t>Balcony Area</t>
        </is>
      </c>
      <c r="K10" s="52" t="n">
        <v>1130</v>
      </c>
      <c r="L10" s="53">
        <f>IFERROR(VLOOKUP(G10,'UNIT PRICE LIBRARY'!$C$3:$K$60,9,0),0)</f>
        <v/>
      </c>
      <c r="M10" s="54">
        <f>IF(OR(N10="No",N10="TBD"),0,K10*L10)</f>
        <v/>
      </c>
      <c r="N10" s="60" t="inlineStr">
        <is>
          <t>Allowance</t>
        </is>
      </c>
      <c r="O10" s="59" t="inlineStr">
        <is>
          <t>Thickness TBD by owner</t>
        </is>
      </c>
    </row>
    <row r="11" ht="15.75" customHeight="1">
      <c r="B11" s="56" t="inlineStr">
        <is>
          <t>1F</t>
        </is>
      </c>
      <c r="C11" s="56" t="inlineStr">
        <is>
          <t>Bleachers/Balcony</t>
        </is>
      </c>
      <c r="D11" s="56" t="inlineStr">
        <is>
          <t>05</t>
        </is>
      </c>
      <c r="E11" s="56" t="inlineStr">
        <is>
          <t>05 52 13</t>
        </is>
      </c>
      <c r="F11" s="56" t="n"/>
      <c r="G11" s="56" t="inlineStr">
        <is>
          <t>MET-02</t>
        </is>
      </c>
      <c r="H11" s="57" t="inlineStr">
        <is>
          <t>Painted aluminum handrail</t>
        </is>
      </c>
      <c r="I11" s="58" t="inlineStr">
        <is>
          <t>LF</t>
        </is>
      </c>
      <c r="J11" s="59" t="inlineStr">
        <is>
          <t>Field Measure</t>
        </is>
      </c>
      <c r="K11" s="52" t="n">
        <v>28</v>
      </c>
      <c r="L11" s="53">
        <f>IFERROR(VLOOKUP(G11,'UNIT PRICE LIBRARY'!$C$3:$K$60,9,0),0)</f>
        <v/>
      </c>
      <c r="M11" s="54">
        <f>IF(OR(N11="No",N11="TBD"),0,K11*L11)</f>
        <v/>
      </c>
      <c r="N11" s="55" t="inlineStr">
        <is>
          <t>Yes</t>
        </is>
      </c>
      <c r="O11" s="59" t="inlineStr">
        <is>
          <t>4 × 7-ft sections in center aisle</t>
        </is>
      </c>
    </row>
    <row r="12" ht="15.75" customHeight="1">
      <c r="B12" s="56" t="inlineStr">
        <is>
          <t>1F</t>
        </is>
      </c>
      <c r="C12" s="56" t="inlineStr">
        <is>
          <t>Stair Tower</t>
        </is>
      </c>
      <c r="D12" s="56" t="inlineStr">
        <is>
          <t>09</t>
        </is>
      </c>
      <c r="E12" s="56" t="inlineStr">
        <is>
          <t>09 51 00</t>
        </is>
      </c>
      <c r="F12" s="56" t="n"/>
      <c r="G12" s="56" t="inlineStr">
        <is>
          <t>FIN-06</t>
        </is>
      </c>
      <c r="H12" s="57" t="inlineStr">
        <is>
          <t>ACT ceiling replacement</t>
        </is>
      </c>
      <c r="I12" s="58" t="inlineStr">
        <is>
          <t>SF</t>
        </is>
      </c>
      <c r="J12" s="59" t="inlineStr">
        <is>
          <t>Actual Area</t>
        </is>
      </c>
      <c r="K12" s="52" t="n">
        <v>520</v>
      </c>
      <c r="L12" s="53">
        <f>IFERROR(VLOOKUP(G12,'UNIT PRICE LIBRARY'!$C$3:$K$60,9,0),0)</f>
        <v/>
      </c>
      <c r="M12" s="54">
        <f>IF(OR(N12="No",N12="TBD"),0,K12*L12)</f>
        <v/>
      </c>
      <c r="N12" s="55" t="inlineStr">
        <is>
          <t>Yes</t>
        </is>
      </c>
      <c r="O12" s="59" t="n"/>
    </row>
    <row r="13" ht="15.75" customHeight="1">
      <c r="B13" s="61" t="inlineStr">
        <is>
          <t>2F</t>
        </is>
      </c>
      <c r="C13" s="61" t="inlineStr">
        <is>
          <t>Gymnasium/Practice</t>
        </is>
      </c>
      <c r="D13" s="61" t="inlineStr">
        <is>
          <t>09</t>
        </is>
      </c>
      <c r="E13" s="61" t="inlineStr">
        <is>
          <t>09 64 66</t>
        </is>
      </c>
      <c r="F13" s="61" t="n"/>
      <c r="G13" s="61" t="inlineStr">
        <is>
          <t>FIN-03</t>
        </is>
      </c>
      <c r="H13" s="62" t="inlineStr">
        <is>
          <t>Wood athletic floor refinishing</t>
        </is>
      </c>
      <c r="I13" s="63" t="inlineStr">
        <is>
          <t>SF</t>
        </is>
      </c>
      <c r="J13" s="64" t="inlineStr">
        <is>
          <t>Actual Area</t>
        </is>
      </c>
      <c r="K13" s="52" t="n">
        <v>6730</v>
      </c>
      <c r="L13" s="53">
        <f>IFERROR(VLOOKUP(G13,'UNIT PRICE LIBRARY'!$C$3:$K$60,9,0),0)</f>
        <v/>
      </c>
      <c r="M13" s="54">
        <f>IF(OR(N13="No",N13="TBD"),0,K13*L13)</f>
        <v/>
      </c>
      <c r="N13" s="55" t="inlineStr">
        <is>
          <t>Yes</t>
        </is>
      </c>
      <c r="O13" s="64" t="n"/>
    </row>
    <row r="14" ht="15.75" customHeight="1">
      <c r="B14" s="61" t="inlineStr">
        <is>
          <t>2F</t>
        </is>
      </c>
      <c r="C14" s="61" t="inlineStr">
        <is>
          <t>Gymnasium/Practice</t>
        </is>
      </c>
      <c r="D14" s="61" t="inlineStr">
        <is>
          <t>09</t>
        </is>
      </c>
      <c r="E14" s="61" t="inlineStr">
        <is>
          <t>09 65 00</t>
        </is>
      </c>
      <c r="F14" s="61" t="n"/>
      <c r="G14" s="61" t="inlineStr">
        <is>
          <t>FIN-05</t>
        </is>
      </c>
      <c r="H14" s="62" t="inlineStr">
        <is>
          <t>VCT replacement/refinishing</t>
        </is>
      </c>
      <c r="I14" s="63" t="inlineStr">
        <is>
          <t>SF</t>
        </is>
      </c>
      <c r="J14" s="64" t="inlineStr">
        <is>
          <t>Actual Area</t>
        </is>
      </c>
      <c r="K14" s="52" t="n">
        <v>270</v>
      </c>
      <c r="L14" s="53">
        <f>IFERROR(VLOOKUP(G14,'UNIT PRICE LIBRARY'!$C$3:$K$60,9,0),0)</f>
        <v/>
      </c>
      <c r="M14" s="54">
        <f>IF(OR(N14="No",N14="TBD"),0,K14*L14)</f>
        <v/>
      </c>
      <c r="N14" s="55" t="inlineStr">
        <is>
          <t>Yes</t>
        </is>
      </c>
      <c r="O14" s="64" t="inlineStr">
        <is>
          <t>Practice room and instructor office</t>
        </is>
      </c>
    </row>
    <row r="15" ht="15.75" customHeight="1">
      <c r="B15" s="61" t="inlineStr">
        <is>
          <t>2F</t>
        </is>
      </c>
      <c r="C15" s="61" t="inlineStr">
        <is>
          <t>Gymnasium/Practice</t>
        </is>
      </c>
      <c r="D15" s="61" t="inlineStr">
        <is>
          <t>08</t>
        </is>
      </c>
      <c r="E15" s="61" t="inlineStr">
        <is>
          <t>08 11 13</t>
        </is>
      </c>
      <c r="F15" s="61" t="n"/>
      <c r="G15" s="61" t="inlineStr">
        <is>
          <t>DOO-01</t>
        </is>
      </c>
      <c r="H15" s="62" t="inlineStr">
        <is>
          <t>New HM door + frame + hardware</t>
        </is>
      </c>
      <c r="I15" s="63" t="inlineStr">
        <is>
          <t>EA</t>
        </is>
      </c>
      <c r="J15" s="64" t="inlineStr">
        <is>
          <t>Count</t>
        </is>
      </c>
      <c r="K15" s="52" t="n">
        <v>1</v>
      </c>
      <c r="L15" s="53">
        <f>IFERROR(VLOOKUP(G15,'UNIT PRICE LIBRARY'!$C$3:$K$60,9,0),0)</f>
        <v/>
      </c>
      <c r="M15" s="54">
        <f>IF(OR(N15="No",N15="TBD"),0,K15*L15)</f>
        <v/>
      </c>
      <c r="N15" s="60" t="inlineStr">
        <is>
          <t>Allowance</t>
        </is>
      </c>
      <c r="O15" s="64" t="n"/>
    </row>
    <row r="16" ht="15.75" customHeight="1">
      <c r="B16" s="61" t="inlineStr">
        <is>
          <t>2F</t>
        </is>
      </c>
      <c r="C16" s="61" t="inlineStr">
        <is>
          <t>Gymnasium/Practice</t>
        </is>
      </c>
      <c r="D16" s="61" t="inlineStr">
        <is>
          <t>11</t>
        </is>
      </c>
      <c r="E16" s="61" t="inlineStr">
        <is>
          <t>11 66 23</t>
        </is>
      </c>
      <c r="F16" s="61" t="n"/>
      <c r="G16" s="61" t="inlineStr">
        <is>
          <t>ATH-02</t>
        </is>
      </c>
      <c r="H16" s="62" t="inlineStr">
        <is>
          <t>Scoreboard / control system</t>
        </is>
      </c>
      <c r="I16" s="63" t="inlineStr">
        <is>
          <t>EA</t>
        </is>
      </c>
      <c r="J16" s="64" t="inlineStr">
        <is>
          <t>Count</t>
        </is>
      </c>
      <c r="K16" s="52" t="n">
        <v>2</v>
      </c>
      <c r="L16" s="53">
        <f>IFERROR(VLOOKUP(G16,'UNIT PRICE LIBRARY'!$C$3:$K$60,9,0),0)</f>
        <v/>
      </c>
      <c r="M16" s="54">
        <f>IF(OR(N16="No",N16="TBD"),0,K16*L16)</f>
        <v/>
      </c>
      <c r="N16" s="60" t="inlineStr">
        <is>
          <t>Allowance</t>
        </is>
      </c>
      <c r="O16" s="64" t="inlineStr">
        <is>
          <t>One main + one practice</t>
        </is>
      </c>
    </row>
    <row r="17" ht="15.75" customHeight="1">
      <c r="B17" s="61" t="inlineStr">
        <is>
          <t>2F</t>
        </is>
      </c>
      <c r="C17" s="61" t="inlineStr">
        <is>
          <t>Gymnasium/Practice</t>
        </is>
      </c>
      <c r="D17" s="61" t="inlineStr">
        <is>
          <t>11</t>
        </is>
      </c>
      <c r="E17" s="61" t="inlineStr">
        <is>
          <t>11 66 23</t>
        </is>
      </c>
      <c r="F17" s="61" t="n"/>
      <c r="G17" s="61" t="inlineStr">
        <is>
          <t>ATH-03</t>
        </is>
      </c>
      <c r="H17" s="62" t="inlineStr">
        <is>
          <t>Telescoping bleacher system</t>
        </is>
      </c>
      <c r="I17" s="63" t="inlineStr">
        <is>
          <t>LS</t>
        </is>
      </c>
      <c r="J17" s="64" t="inlineStr">
        <is>
          <t>LS</t>
        </is>
      </c>
      <c r="K17" s="52" t="n">
        <v>1</v>
      </c>
      <c r="L17" s="53">
        <f>IFERROR(VLOOKUP(G17,'UNIT PRICE LIBRARY'!$C$3:$K$60,9,0),0)</f>
        <v/>
      </c>
      <c r="M17" s="54">
        <f>IF(OR(N17="No",N17="TBD"),0,K17*L17)</f>
        <v/>
      </c>
      <c r="N17" s="60" t="inlineStr">
        <is>
          <t>Allowance</t>
        </is>
      </c>
      <c r="O17" s="64" t="inlineStr">
        <is>
          <t>Row count and ADA layout TBD</t>
        </is>
      </c>
    </row>
    <row r="18" ht="15.75" customHeight="1">
      <c r="B18" s="61" t="inlineStr">
        <is>
          <t>2F</t>
        </is>
      </c>
      <c r="C18" s="61" t="inlineStr">
        <is>
          <t>Gymnasium/Practice</t>
        </is>
      </c>
      <c r="D18" s="61" t="inlineStr">
        <is>
          <t>11</t>
        </is>
      </c>
      <c r="E18" s="61" t="inlineStr">
        <is>
          <t>11 66 23</t>
        </is>
      </c>
      <c r="F18" s="61" t="n"/>
      <c r="G18" s="61" t="inlineStr">
        <is>
          <t>ATH-04</t>
        </is>
      </c>
      <c r="H18" s="62" t="inlineStr">
        <is>
          <t>Basketball backstop (single court)</t>
        </is>
      </c>
      <c r="I18" s="63" t="inlineStr">
        <is>
          <t>EA</t>
        </is>
      </c>
      <c r="J18" s="64" t="inlineStr">
        <is>
          <t>Count</t>
        </is>
      </c>
      <c r="K18" s="52" t="n">
        <v>4</v>
      </c>
      <c r="L18" s="53">
        <f>IFERROR(VLOOKUP(G18,'UNIT PRICE LIBRARY'!$C$3:$K$60,9,0),0)</f>
        <v/>
      </c>
      <c r="M18" s="54">
        <f>IF(OR(N18="No",N18="TBD"),0,K18*L18)</f>
        <v/>
      </c>
      <c r="N18" s="60" t="inlineStr">
        <is>
          <t>Allowance</t>
        </is>
      </c>
      <c r="O18" s="64" t="inlineStr">
        <is>
          <t>Main + 3 side courts</t>
        </is>
      </c>
    </row>
    <row r="19" ht="15.75" customHeight="1">
      <c r="B19" s="61" t="inlineStr">
        <is>
          <t>2F</t>
        </is>
      </c>
      <c r="C19" s="61" t="inlineStr">
        <is>
          <t>Gymnasium/Practice</t>
        </is>
      </c>
      <c r="D19" s="61" t="inlineStr">
        <is>
          <t>11</t>
        </is>
      </c>
      <c r="E19" s="61" t="inlineStr">
        <is>
          <t>11 66 23</t>
        </is>
      </c>
      <c r="F19" s="61" t="n"/>
      <c r="G19" s="61" t="inlineStr">
        <is>
          <t>ATH-05</t>
        </is>
      </c>
      <c r="H19" s="62" t="inlineStr">
        <is>
          <t>Volleyball post/sleeve system</t>
        </is>
      </c>
      <c r="I19" s="63" t="inlineStr">
        <is>
          <t>EA</t>
        </is>
      </c>
      <c r="J19" s="64" t="inlineStr">
        <is>
          <t>Count</t>
        </is>
      </c>
      <c r="K19" s="52" t="n">
        <v>1</v>
      </c>
      <c r="L19" s="53">
        <f>IFERROR(VLOOKUP(G19,'UNIT PRICE LIBRARY'!$C$3:$K$60,9,0),0)</f>
        <v/>
      </c>
      <c r="M19" s="54">
        <f>IF(OR(N19="No",N19="TBD"),0,K19*L19)</f>
        <v/>
      </c>
      <c r="N19" s="60" t="inlineStr">
        <is>
          <t>Allowance</t>
        </is>
      </c>
      <c r="O19" s="64" t="n"/>
    </row>
    <row r="20" ht="15.75" customHeight="1">
      <c r="B20" s="61" t="inlineStr">
        <is>
          <t>2F</t>
        </is>
      </c>
      <c r="C20" s="61" t="inlineStr">
        <is>
          <t>Gymnasium/Practice</t>
        </is>
      </c>
      <c r="D20" s="61" t="inlineStr">
        <is>
          <t>11</t>
        </is>
      </c>
      <c r="E20" s="61" t="inlineStr">
        <is>
          <t>11 66 23</t>
        </is>
      </c>
      <c r="F20" s="61" t="n"/>
      <c r="G20" s="61" t="inlineStr">
        <is>
          <t>ATH-01</t>
        </is>
      </c>
      <c r="H20" s="62" t="inlineStr">
        <is>
          <t>Gymnasium wall padding</t>
        </is>
      </c>
      <c r="I20" s="63" t="inlineStr">
        <is>
          <t>SF</t>
        </is>
      </c>
      <c r="J20" s="64" t="inlineStr">
        <is>
          <t>Actual Area</t>
        </is>
      </c>
      <c r="K20" s="52" t="n">
        <v>900</v>
      </c>
      <c r="L20" s="53">
        <f>IFERROR(VLOOKUP(G20,'UNIT PRICE LIBRARY'!$C$3:$K$60,9,0),0)</f>
        <v/>
      </c>
      <c r="M20" s="54">
        <f>IF(OR(N20="No",N20="TBD"),0,K20*L20)</f>
        <v/>
      </c>
      <c r="N20" s="60" t="inlineStr">
        <is>
          <t>Allowance</t>
        </is>
      </c>
      <c r="O20" s="64" t="inlineStr">
        <is>
          <t>75 × 2x6 pads</t>
        </is>
      </c>
    </row>
    <row r="21" ht="15.75" customHeight="1">
      <c r="B21" s="61" t="inlineStr">
        <is>
          <t>2F</t>
        </is>
      </c>
      <c r="C21" s="61" t="inlineStr">
        <is>
          <t>Gymnasium/Practice</t>
        </is>
      </c>
      <c r="D21" s="61" t="inlineStr">
        <is>
          <t>11</t>
        </is>
      </c>
      <c r="E21" s="61" t="inlineStr">
        <is>
          <t>11 66 23</t>
        </is>
      </c>
      <c r="F21" s="61" t="n"/>
      <c r="G21" s="61" t="inlineStr">
        <is>
          <t>ATH-01</t>
        </is>
      </c>
      <c r="H21" s="62" t="inlineStr">
        <is>
          <t>Gymnasium wall padding – pillar wraps</t>
        </is>
      </c>
      <c r="I21" s="63" t="inlineStr">
        <is>
          <t>SF</t>
        </is>
      </c>
      <c r="J21" s="64" t="inlineStr">
        <is>
          <t>Actual Area</t>
        </is>
      </c>
      <c r="K21" s="52" t="n">
        <v>119</v>
      </c>
      <c r="L21" s="53">
        <f>IFERROR(VLOOKUP(G21,'UNIT PRICE LIBRARY'!$C$3:$K$60,9,0),0)</f>
        <v/>
      </c>
      <c r="M21" s="54">
        <f>IF(OR(N21="No",N21="TBD"),0,K21*L21)</f>
        <v/>
      </c>
      <c r="N21" s="60" t="inlineStr">
        <is>
          <t>Allowance</t>
        </is>
      </c>
      <c r="O21" s="64" t="inlineStr">
        <is>
          <t>17 × 2x3.5 pads</t>
        </is>
      </c>
    </row>
    <row r="22" ht="15.75" customHeight="1">
      <c r="B22" s="65" t="inlineStr">
        <is>
          <t>3F</t>
        </is>
      </c>
      <c r="C22" s="65" t="inlineStr">
        <is>
          <t>Boxing Gym</t>
        </is>
      </c>
      <c r="D22" s="65" t="inlineStr">
        <is>
          <t>02</t>
        </is>
      </c>
      <c r="E22" s="65" t="inlineStr">
        <is>
          <t>02 41 19</t>
        </is>
      </c>
      <c r="F22" s="65" t="n"/>
      <c r="G22" s="65" t="inlineStr">
        <is>
          <t>DEM-01</t>
        </is>
      </c>
      <c r="H22" s="66" t="inlineStr">
        <is>
          <t>Selective demolition – interior finishes</t>
        </is>
      </c>
      <c r="I22" s="67" t="inlineStr">
        <is>
          <t>SF</t>
        </is>
      </c>
      <c r="J22" s="68" t="inlineStr">
        <is>
          <t>Actual Area</t>
        </is>
      </c>
      <c r="K22" s="52" t="n">
        <v>2700</v>
      </c>
      <c r="L22" s="53">
        <f>IFERROR(VLOOKUP(G22,'UNIT PRICE LIBRARY'!$C$3:$K$60,9,0),0)</f>
        <v/>
      </c>
      <c r="M22" s="54">
        <f>IF(OR(N22="No",N22="TBD"),0,K22*L22)</f>
        <v/>
      </c>
      <c r="N22" s="55" t="inlineStr">
        <is>
          <t>Yes</t>
        </is>
      </c>
      <c r="O22" s="68" t="n"/>
    </row>
    <row r="23" ht="15.75" customHeight="1">
      <c r="B23" s="65" t="inlineStr">
        <is>
          <t>3F</t>
        </is>
      </c>
      <c r="C23" s="65" t="inlineStr">
        <is>
          <t>Boxing Gym</t>
        </is>
      </c>
      <c r="D23" s="65" t="inlineStr">
        <is>
          <t>06</t>
        </is>
      </c>
      <c r="E23" s="65" t="inlineStr">
        <is>
          <t>06 10 00</t>
        </is>
      </c>
      <c r="F23" s="65" t="n"/>
      <c r="G23" s="65" t="inlineStr">
        <is>
          <t>CAR-01</t>
        </is>
      </c>
      <c r="H23" s="66" t="inlineStr">
        <is>
          <t>Rough carpentry / blocking / backing</t>
        </is>
      </c>
      <c r="I23" s="67" t="inlineStr">
        <is>
          <t>SF</t>
        </is>
      </c>
      <c r="J23" s="68" t="inlineStr">
        <is>
          <t>Actual Area</t>
        </is>
      </c>
      <c r="K23" s="52" t="n">
        <v>450</v>
      </c>
      <c r="L23" s="53">
        <f>IFERROR(VLOOKUP(G23,'UNIT PRICE LIBRARY'!$C$3:$K$60,9,0),0)</f>
        <v/>
      </c>
      <c r="M23" s="54">
        <f>IF(OR(N23="No",N23="TBD"),0,K23*L23)</f>
        <v/>
      </c>
      <c r="N23" s="55" t="inlineStr">
        <is>
          <t>Yes</t>
        </is>
      </c>
      <c r="O23" s="68" t="inlineStr">
        <is>
          <t>Partitions and equipment backing</t>
        </is>
      </c>
    </row>
    <row r="24" ht="15.75" customHeight="1">
      <c r="B24" s="65" t="inlineStr">
        <is>
          <t>3F</t>
        </is>
      </c>
      <c r="C24" s="65" t="inlineStr">
        <is>
          <t>Boxing Gym</t>
        </is>
      </c>
      <c r="D24" s="65" t="inlineStr">
        <is>
          <t>09</t>
        </is>
      </c>
      <c r="E24" s="65" t="inlineStr">
        <is>
          <t>09 65 66</t>
        </is>
      </c>
      <c r="F24" s="65" t="n"/>
      <c r="G24" s="65" t="inlineStr">
        <is>
          <t>FIN-04</t>
        </is>
      </c>
      <c r="H24" s="66" t="inlineStr">
        <is>
          <t>Rubber athletic flooring – boxing</t>
        </is>
      </c>
      <c r="I24" s="67" t="inlineStr">
        <is>
          <t>SF</t>
        </is>
      </c>
      <c r="J24" s="68" t="inlineStr">
        <is>
          <t>Actual Area</t>
        </is>
      </c>
      <c r="K24" s="52" t="n">
        <v>2500</v>
      </c>
      <c r="L24" s="53">
        <f>IFERROR(VLOOKUP(G24,'UNIT PRICE LIBRARY'!$C$3:$K$60,9,0),0)</f>
        <v/>
      </c>
      <c r="M24" s="54">
        <f>IF(OR(N24="No",N24="TBD"),0,K24*L24)</f>
        <v/>
      </c>
      <c r="N24" s="60" t="inlineStr">
        <is>
          <t>Allowance</t>
        </is>
      </c>
      <c r="O24" s="68" t="inlineStr">
        <is>
          <t>Thickness TBD by owner</t>
        </is>
      </c>
    </row>
    <row r="25" ht="15.75" customHeight="1">
      <c r="B25" s="65" t="inlineStr">
        <is>
          <t>3F</t>
        </is>
      </c>
      <c r="C25" s="65" t="inlineStr">
        <is>
          <t>Boxing Gym</t>
        </is>
      </c>
      <c r="D25" s="65" t="inlineStr">
        <is>
          <t>10</t>
        </is>
      </c>
      <c r="E25" s="65" t="inlineStr">
        <is>
          <t>10 28 13</t>
        </is>
      </c>
      <c r="F25" s="65" t="n"/>
      <c r="G25" s="65" t="inlineStr">
        <is>
          <t>ACC-01</t>
        </is>
      </c>
      <c r="H25" s="66" t="inlineStr">
        <is>
          <t>Mirrors, wall-mounted</t>
        </is>
      </c>
      <c r="I25" s="67" t="inlineStr">
        <is>
          <t>SF</t>
        </is>
      </c>
      <c r="J25" s="68" t="inlineStr">
        <is>
          <t>Actual Area</t>
        </is>
      </c>
      <c r="K25" s="52" t="n">
        <v>240</v>
      </c>
      <c r="L25" s="53">
        <f>IFERROR(VLOOKUP(G25,'UNIT PRICE LIBRARY'!$C$3:$K$60,9,0),0)</f>
        <v/>
      </c>
      <c r="M25" s="54">
        <f>IF(OR(N25="No",N25="TBD"),0,K25*L25)</f>
        <v/>
      </c>
      <c r="N25" s="55" t="inlineStr">
        <is>
          <t>Yes</t>
        </is>
      </c>
      <c r="O25" s="68" t="inlineStr">
        <is>
          <t>8 × 6x5 mirrors</t>
        </is>
      </c>
    </row>
    <row r="26" ht="15.75" customHeight="1">
      <c r="B26" s="65" t="inlineStr">
        <is>
          <t>3F</t>
        </is>
      </c>
      <c r="C26" s="65" t="inlineStr">
        <is>
          <t>Boxing Gym</t>
        </is>
      </c>
      <c r="D26" s="65" t="inlineStr">
        <is>
          <t>11</t>
        </is>
      </c>
      <c r="E26" s="65" t="inlineStr">
        <is>
          <t>11 66 43</t>
        </is>
      </c>
      <c r="F26" s="65" t="n"/>
      <c r="G26" s="65" t="inlineStr">
        <is>
          <t>ATH-06</t>
        </is>
      </c>
      <c r="H26" s="66" t="inlineStr">
        <is>
          <t>Boxing ring, 14x14 training ring</t>
        </is>
      </c>
      <c r="I26" s="67" t="inlineStr">
        <is>
          <t>EA</t>
        </is>
      </c>
      <c r="J26" s="68" t="inlineStr">
        <is>
          <t>Count</t>
        </is>
      </c>
      <c r="K26" s="52" t="n">
        <v>1</v>
      </c>
      <c r="L26" s="53">
        <f>IFERROR(VLOOKUP(G26,'UNIT PRICE LIBRARY'!$C$3:$K$60,9,0),0)</f>
        <v/>
      </c>
      <c r="M26" s="54">
        <f>IF(OR(N26="No",N26="TBD"),0,K26*L26)</f>
        <v/>
      </c>
      <c r="N26" s="60" t="inlineStr">
        <is>
          <t>Allowance</t>
        </is>
      </c>
      <c r="O26" s="68" t="inlineStr">
        <is>
          <t>Model and accessories TBD</t>
        </is>
      </c>
    </row>
    <row r="27" ht="15.75" customHeight="1">
      <c r="B27" s="65" t="inlineStr">
        <is>
          <t>3F</t>
        </is>
      </c>
      <c r="C27" s="65" t="inlineStr">
        <is>
          <t>Boxing Gym</t>
        </is>
      </c>
      <c r="D27" s="65" t="inlineStr">
        <is>
          <t>11</t>
        </is>
      </c>
      <c r="E27" s="65" t="inlineStr">
        <is>
          <t>11 66 43</t>
        </is>
      </c>
      <c r="F27" s="65" t="n"/>
      <c r="G27" s="65" t="inlineStr">
        <is>
          <t>ATH-07</t>
        </is>
      </c>
      <c r="H27" s="66" t="inlineStr">
        <is>
          <t>Bag systems / speed bag station</t>
        </is>
      </c>
      <c r="I27" s="67" t="inlineStr">
        <is>
          <t>LS</t>
        </is>
      </c>
      <c r="J27" s="68" t="inlineStr">
        <is>
          <t>LS</t>
        </is>
      </c>
      <c r="K27" s="52" t="n">
        <v>1</v>
      </c>
      <c r="L27" s="53">
        <f>IFERROR(VLOOKUP(G27,'UNIT PRICE LIBRARY'!$C$3:$K$60,9,0),0)</f>
        <v/>
      </c>
      <c r="M27" s="54">
        <f>IF(OR(N27="No",N27="TBD"),0,K27*L27)</f>
        <v/>
      </c>
      <c r="N27" s="60" t="inlineStr">
        <is>
          <t>Allowance</t>
        </is>
      </c>
      <c r="O27" s="68" t="inlineStr">
        <is>
          <t>Count and mounting TBD</t>
        </is>
      </c>
    </row>
    <row r="29" ht="21.75" customHeight="1">
      <c r="B29" s="195" t="inlineStr">
        <is>
          <t>TAKEOFF SUBTOTAL (before markups)</t>
        </is>
      </c>
      <c r="M29" s="69">
        <f>SUM(M3:M27)</f>
        <v/>
      </c>
    </row>
    <row r="30" ht="15" customHeight="1">
      <c r="B30" s="194" t="inlineStr">
        <is>
          <t>→ ADD NEW TAKEOFF ROWS ABOVE THE SUBTOTAL. Enter Floor, Zone, and Cost Code. Adj. Unit Cost auto-populates from UNIT PRICE LIBRARY via VLOOKUP on Cost Code.</t>
        </is>
      </c>
    </row>
  </sheetData>
  <mergeCells count="3">
    <mergeCell ref="B1:N1"/>
    <mergeCell ref="B29:L29"/>
    <mergeCell ref="B30:O30"/>
  </mergeCells>
  <dataValidations count="1">
    <dataValidation sqref="N3:N27" showDropDown="0" showInputMessage="0" showErrorMessage="0" allowBlank="0" type="list">
      <formula1>"Yes,No,Allowance,TBD"</formula1>
      <formula2>0</formula2>
    </dataValidation>
  </dataValidations>
  <pageMargins left="0.75" right="0.75" top="1" bottom="1" header="0.511811023622047" footer="0.511805555555556"/>
  <pageSetup orientation="portrait" paperSize="9" horizontalDpi="300" verticalDpi="300"/>
  <headerFooter>
    <oddHeader/>
    <oddFooter>&amp;L&amp;8 M4Di — Merge 4 Development Institute, Inc.&amp;C&amp;8 Page &amp;P of &amp;N  ·  Draft — Internal Use Only  ·  © 2026 M4Di, Inc.&amp;R&amp;8 M4Di.Oi™  ALDi™  FeasOps™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66BB6A"/>
    <outlinePr summaryBelow="1" summaryRight="1"/>
    <pageSetUpPr/>
  </sheetPr>
  <dimension ref="B1:J10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8" customWidth="1" min="2" max="2"/>
    <col width="17" customWidth="1" min="3" max="4"/>
    <col width="14" customWidth="1" min="5" max="5"/>
    <col width="13" customWidth="1" min="6" max="7"/>
    <col width="14" customWidth="1" min="8" max="8"/>
    <col width="16" customWidth="1" min="9" max="9"/>
    <col width="17" customWidth="1" min="10" max="10"/>
  </cols>
  <sheetData>
    <row r="1" ht="37.5" customHeight="1">
      <c r="B1" s="192" t="inlineStr">
        <is>
          <t>FLOOR-BY-FLOOR COST SUMMARY</t>
        </is>
      </c>
    </row>
    <row r="2" ht="30" customHeight="1">
      <c r="B2" s="24" t="inlineStr">
        <is>
          <t>Floor</t>
        </is>
      </c>
      <c r="C2" s="24" t="inlineStr">
        <is>
          <t>Base Building
Subtotal</t>
        </is>
      </c>
      <c r="D2" s="24" t="inlineStr">
        <is>
          <t>Equipment
Allowances</t>
        </is>
      </c>
      <c r="E2" s="24" t="inlineStr">
        <is>
          <t>Subtotal</t>
        </is>
      </c>
      <c r="F2" s="24" t="inlineStr">
        <is>
          <t>General
Conditions</t>
        </is>
      </c>
      <c r="G2" s="24" t="inlineStr">
        <is>
          <t>OH&amp;P</t>
        </is>
      </c>
      <c r="H2" s="24" t="inlineStr">
        <is>
          <t>Contingencies</t>
        </is>
      </c>
      <c r="I2" s="24" t="inlineStr">
        <is>
          <t>Bid/Permit/Bonds</t>
        </is>
      </c>
      <c r="J2" s="24" t="inlineStr">
        <is>
          <t>Est. Floor Total</t>
        </is>
      </c>
    </row>
    <row r="3" ht="18" customHeight="1">
      <c r="B3" s="78" t="inlineStr">
        <is>
          <t>LL</t>
        </is>
      </c>
      <c r="C3" s="54">
        <f>SUMIF(TAKEOFF!$B$3:$B$100,B3,TAKEOFF!$M$3:$M$100)</f>
        <v/>
      </c>
      <c r="D3" s="54">
        <f>SUMPRODUCT((TAKEOFF!$B$3:$B$100=B3)*(TAKEOFF!$N$3:$N$100="Allowance")*TAKEOFF!$M$3:$M$100)</f>
        <v/>
      </c>
      <c r="E3" s="54">
        <f>C3+D3</f>
        <v/>
      </c>
      <c r="F3" s="54">
        <f>E3*ASSUMPTIONS!$C$19</f>
        <v/>
      </c>
      <c r="G3" s="54">
        <f>(E3+F3)*ASSUMPTIONS!$C$20</f>
        <v/>
      </c>
      <c r="H3" s="54">
        <f>(E3+F3+G3)*(ASSUMPTIONS!$C$21+ASSUMPTIONS!$C$22+ASSUMPTIONS!$C$23)</f>
        <v/>
      </c>
      <c r="I3" s="54">
        <f>(E3+F3+G3+H3)*ASSUMPTIONS!$C$24</f>
        <v/>
      </c>
      <c r="J3" s="79">
        <f>SUM(E3:I3)</f>
        <v/>
      </c>
    </row>
    <row r="4" ht="18" customHeight="1">
      <c r="B4" s="78" t="inlineStr">
        <is>
          <t>1F</t>
        </is>
      </c>
      <c r="C4" s="54">
        <f>SUMIF(TAKEOFF!$B$3:$B$100,B4,TAKEOFF!$M$3:$M$100)</f>
        <v/>
      </c>
      <c r="D4" s="54">
        <f>SUMPRODUCT((TAKEOFF!$B$3:$B$100=B4)*(TAKEOFF!$N$3:$N$100="Allowance")*TAKEOFF!$M$3:$M$100)</f>
        <v/>
      </c>
      <c r="E4" s="54">
        <f>C4+D4</f>
        <v/>
      </c>
      <c r="F4" s="54">
        <f>E4*ASSUMPTIONS!$C$19</f>
        <v/>
      </c>
      <c r="G4" s="54">
        <f>(E4+F4)*ASSUMPTIONS!$C$20</f>
        <v/>
      </c>
      <c r="H4" s="54">
        <f>(E4+F4+G4)*(ASSUMPTIONS!$C$21+ASSUMPTIONS!$C$22+ASSUMPTIONS!$C$23)</f>
        <v/>
      </c>
      <c r="I4" s="54">
        <f>(E4+F4+G4+H4)*ASSUMPTIONS!$C$24</f>
        <v/>
      </c>
      <c r="J4" s="79">
        <f>SUM(E4:I4)</f>
        <v/>
      </c>
    </row>
    <row r="5" ht="18" customHeight="1">
      <c r="B5" s="78" t="inlineStr">
        <is>
          <t>2F</t>
        </is>
      </c>
      <c r="C5" s="54">
        <f>SUMIF(TAKEOFF!$B$3:$B$100,B5,TAKEOFF!$M$3:$M$100)</f>
        <v/>
      </c>
      <c r="D5" s="54">
        <f>SUMPRODUCT((TAKEOFF!$B$3:$B$100=B5)*(TAKEOFF!$N$3:$N$100="Allowance")*TAKEOFF!$M$3:$M$100)</f>
        <v/>
      </c>
      <c r="E5" s="54">
        <f>C5+D5</f>
        <v/>
      </c>
      <c r="F5" s="54">
        <f>E5*ASSUMPTIONS!$C$19</f>
        <v/>
      </c>
      <c r="G5" s="54">
        <f>(E5+F5)*ASSUMPTIONS!$C$20</f>
        <v/>
      </c>
      <c r="H5" s="54">
        <f>(E5+F5+G5)*(ASSUMPTIONS!$C$21+ASSUMPTIONS!$C$22+ASSUMPTIONS!$C$23)</f>
        <v/>
      </c>
      <c r="I5" s="54">
        <f>(E5+F5+G5+H5)*ASSUMPTIONS!$C$24</f>
        <v/>
      </c>
      <c r="J5" s="79">
        <f>SUM(E5:I5)</f>
        <v/>
      </c>
    </row>
    <row r="6" ht="18" customHeight="1">
      <c r="B6" s="78" t="inlineStr">
        <is>
          <t>3F</t>
        </is>
      </c>
      <c r="C6" s="54">
        <f>SUMIF(TAKEOFF!$B$3:$B$100,B6,TAKEOFF!$M$3:$M$100)</f>
        <v/>
      </c>
      <c r="D6" s="54">
        <f>SUMPRODUCT((TAKEOFF!$B$3:$B$100=B6)*(TAKEOFF!$N$3:$N$100="Allowance")*TAKEOFF!$M$3:$M$100)</f>
        <v/>
      </c>
      <c r="E6" s="54">
        <f>C6+D6</f>
        <v/>
      </c>
      <c r="F6" s="54">
        <f>E6*ASSUMPTIONS!$C$19</f>
        <v/>
      </c>
      <c r="G6" s="54">
        <f>(E6+F6)*ASSUMPTIONS!$C$20</f>
        <v/>
      </c>
      <c r="H6" s="54">
        <f>(E6+F6+G6)*(ASSUMPTIONS!$C$21+ASSUMPTIONS!$C$22+ASSUMPTIONS!$C$23)</f>
        <v/>
      </c>
      <c r="I6" s="54">
        <f>(E6+F6+G6+H6)*ASSUMPTIONS!$C$24</f>
        <v/>
      </c>
      <c r="J6" s="79">
        <f>SUM(E6:I6)</f>
        <v/>
      </c>
    </row>
    <row r="8" ht="24" customHeight="1">
      <c r="B8" s="80" t="inlineStr">
        <is>
          <t>TOTAL</t>
        </is>
      </c>
      <c r="C8" s="81">
        <f>SUM(C3:C6)</f>
        <v/>
      </c>
      <c r="D8" s="81">
        <f>SUM(D3:D6)</f>
        <v/>
      </c>
      <c r="E8" s="81">
        <f>SUM(E3:E6)</f>
        <v/>
      </c>
      <c r="F8" s="81">
        <f>SUM(F3:F6)</f>
        <v/>
      </c>
      <c r="G8" s="81">
        <f>SUM(G3:G6)</f>
        <v/>
      </c>
      <c r="H8" s="81">
        <f>SUM(H3:H6)</f>
        <v/>
      </c>
      <c r="I8" s="81">
        <f>SUM(I3:I6)</f>
        <v/>
      </c>
      <c r="J8" s="81">
        <f>SUM(J3:J6)</f>
        <v/>
      </c>
    </row>
    <row r="10" ht="15" customHeight="1">
      <c r="B10" s="12" t="inlineStr">
        <is>
          <t>↑ Total Project ROM feeds BID SUMMARY and SF BENCHMARK sheets.</t>
        </is>
      </c>
    </row>
  </sheetData>
  <mergeCells count="1">
    <mergeCell ref="B1:J1"/>
  </mergeCells>
  <pageMargins left="0.75" right="0.75" top="1" bottom="1" header="0.511811023622047" footer="0.511805555555556"/>
  <pageSetup orientation="portrait" paperSize="9" horizontalDpi="300" verticalDpi="300"/>
  <headerFooter>
    <oddHeader/>
    <oddFooter>&amp;L&amp;8 M4Di — Merge 4 Development Institute, Inc.&amp;C&amp;8 Page &amp;P of &amp;N  ·  Draft — Internal Use Only  ·  © 2026 M4Di, Inc.&amp;R&amp;8 M4Di.Oi™  ALDi™  FeasOps™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E7D32"/>
    <outlinePr summaryBelow="1" summaryRight="1"/>
    <pageSetUpPr/>
  </sheetPr>
  <dimension ref="B1:E28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22" customWidth="1" min="4" max="4"/>
    <col width="22" customWidth="1" min="5" max="5"/>
    <col width="2" customWidth="1" min="6" max="6"/>
  </cols>
  <sheetData>
    <row r="1" ht="18" customHeight="1">
      <c r="B1" s="250" t="inlineStr">
        <is>
          <t>YIELD &amp; ROM SCENARIO COMPARISON  |  1212 Lobdel Ave  |  City of Wilmington R-3</t>
        </is>
      </c>
    </row>
    <row r="2">
      <c r="B2" s="231" t="inlineStr">
        <is>
          <t>April 9, 2026  |  M2_2026_004  |  Merge 4 Design LLC (M4D)  |  30-unit WHA target exceeded in Scen. I and II</t>
        </is>
      </c>
    </row>
    <row r="4" ht="24" customHeight="1">
      <c r="B4" s="251" t="inlineStr">
        <is>
          <t>METRIC</t>
        </is>
      </c>
      <c r="C4" s="251" t="inlineStr">
        <is>
          <t>SCN I - 36 UNITS / 18 ft</t>
        </is>
      </c>
      <c r="D4" s="251" t="inlineStr">
        <is>
          <t>SCN II - 40 UNITS / 16 ft</t>
        </is>
      </c>
      <c r="E4" s="251" t="inlineStr">
        <is>
          <t>SCN III - 24 UNITS / 20 ft</t>
        </is>
      </c>
    </row>
    <row r="5" ht="15" customHeight="1">
      <c r="B5" s="252" t="inlineStr">
        <is>
          <t>YIELD</t>
        </is>
      </c>
    </row>
    <row r="6" ht="15" customHeight="1">
      <c r="B6" s="233" t="inlineStr">
        <is>
          <t>Unit Configuration</t>
        </is>
      </c>
      <c r="C6" s="253" t="inlineStr">
        <is>
          <t>4 rows x 9 units</t>
        </is>
      </c>
      <c r="D6" s="253" t="inlineStr">
        <is>
          <t>4 rows x 10 units</t>
        </is>
      </c>
      <c r="E6" s="253" t="inlineStr">
        <is>
          <t>3 rows x 8 units</t>
        </is>
      </c>
    </row>
    <row r="7" ht="15" customHeight="1">
      <c r="B7" s="233" t="inlineStr">
        <is>
          <t>Unit Width (ft)</t>
        </is>
      </c>
      <c r="C7" s="253" t="inlineStr">
        <is>
          <t>18</t>
        </is>
      </c>
      <c r="D7" s="253" t="inlineStr">
        <is>
          <t>16</t>
        </is>
      </c>
      <c r="E7" s="253" t="inlineStr">
        <is>
          <t>20</t>
        </is>
      </c>
    </row>
    <row r="8" ht="15" customHeight="1">
      <c r="B8" s="233" t="inlineStr">
        <is>
          <t>Unit Size (SF)</t>
        </is>
      </c>
      <c r="C8" s="253" t="inlineStr">
        <is>
          <t>1,260</t>
        </is>
      </c>
      <c r="D8" s="253" t="inlineStr">
        <is>
          <t>1,120</t>
        </is>
      </c>
      <c r="E8" s="253" t="inlineStr">
        <is>
          <t>1,520</t>
        </is>
      </c>
    </row>
    <row r="9" ht="15" customHeight="1">
      <c r="B9" s="233" t="inlineStr">
        <is>
          <t>Total Units</t>
        </is>
      </c>
      <c r="C9" s="253" t="inlineStr">
        <is>
          <t>36</t>
        </is>
      </c>
      <c r="D9" s="253" t="inlineStr">
        <is>
          <t>40</t>
        </is>
      </c>
      <c r="E9" s="253" t="inlineStr">
        <is>
          <t>24</t>
        </is>
      </c>
    </row>
    <row r="10" ht="15" customHeight="1">
      <c r="B10" s="233" t="inlineStr">
        <is>
          <t>Density (du/ac)</t>
        </is>
      </c>
      <c r="C10" s="253" t="inlineStr">
        <is>
          <t>25.9</t>
        </is>
      </c>
      <c r="D10" s="253" t="inlineStr">
        <is>
          <t>28.8</t>
        </is>
      </c>
      <c r="E10" s="253" t="inlineStr">
        <is>
          <t>17.3</t>
        </is>
      </c>
    </row>
    <row r="11" ht="15" customHeight="1">
      <c r="B11" s="233" t="inlineStr">
        <is>
          <t>Site Depth Used</t>
        </is>
      </c>
      <c r="C11" s="253" t="inlineStr">
        <is>
          <t>240 ft</t>
        </is>
      </c>
      <c r="D11" s="253" t="inlineStr">
        <is>
          <t>240 ft</t>
        </is>
      </c>
      <c r="E11" s="253" t="inlineStr">
        <is>
          <t>194 ft</t>
        </is>
      </c>
    </row>
    <row r="12" ht="15" customHeight="1">
      <c r="B12" s="233" t="inlineStr">
        <is>
          <t>Surplus Depth</t>
        </is>
      </c>
      <c r="C12" s="253" t="inlineStr">
        <is>
          <t>112.6 ft</t>
        </is>
      </c>
      <c r="D12" s="253" t="inlineStr">
        <is>
          <t>112.6 ft</t>
        </is>
      </c>
      <c r="E12" s="253" t="inlineStr">
        <is>
          <t>158.6 ft</t>
        </is>
      </c>
    </row>
    <row r="13" ht="15" customHeight="1">
      <c r="B13" s="233" t="inlineStr">
        <is>
          <t>vs WHA 30-unit target</t>
        </is>
      </c>
      <c r="C13" s="254" t="inlineStr">
        <is>
          <t>+6 units (+20%)</t>
        </is>
      </c>
      <c r="D13" s="254" t="inlineStr">
        <is>
          <t>+10 units (+33%)</t>
        </is>
      </c>
      <c r="E13" s="255" t="inlineStr">
        <is>
          <t>Below target</t>
        </is>
      </c>
    </row>
    <row r="14" ht="15" customHeight="1">
      <c r="B14" s="252" t="inlineStr">
        <is>
          <t>CONSTRUCTION TYPE B - MODULAR ROM</t>
        </is>
      </c>
    </row>
    <row r="15" ht="15" customHeight="1">
      <c r="B15" s="233" t="inlineStr">
        <is>
          <t>Total ROM</t>
        </is>
      </c>
      <c r="C15" s="253" t="inlineStr">
        <is>
          <t>$9,200,026</t>
        </is>
      </c>
      <c r="D15" s="253" t="inlineStr">
        <is>
          <t>$9,918,373</t>
        </is>
      </c>
      <c r="E15" s="253" t="inlineStr">
        <is>
          <t>$6,509,701</t>
        </is>
      </c>
    </row>
    <row r="16" ht="15" customHeight="1">
      <c r="B16" s="233" t="inlineStr">
        <is>
          <t>Cost Per Unit</t>
        </is>
      </c>
      <c r="C16" s="253" t="inlineStr">
        <is>
          <t>$255,556</t>
        </is>
      </c>
      <c r="D16" s="253" t="inlineStr">
        <is>
          <t>$247,959</t>
        </is>
      </c>
      <c r="E16" s="253" t="inlineStr">
        <is>
          <t>$271,238</t>
        </is>
      </c>
    </row>
    <row r="17" ht="15" customHeight="1">
      <c r="B17" s="233" t="inlineStr">
        <is>
          <t>Gap vs $215K Target</t>
        </is>
      </c>
      <c r="C17" s="253" t="inlineStr">
        <is>
          <t>~$40,556/unit</t>
        </is>
      </c>
      <c r="D17" s="253" t="inlineStr">
        <is>
          <t>~$32,959/unit</t>
        </is>
      </c>
      <c r="E17" s="253" t="inlineStr">
        <is>
          <t>~$56,238/unit</t>
        </is>
      </c>
    </row>
    <row r="18" ht="15" customHeight="1">
      <c r="B18" s="233" t="inlineStr">
        <is>
          <t>Total Subsidy Gap</t>
        </is>
      </c>
      <c r="C18" s="253" t="inlineStr">
        <is>
          <t>~$1,460,016</t>
        </is>
      </c>
      <c r="D18" s="253" t="inlineStr">
        <is>
          <t>~$1,318,360</t>
        </is>
      </c>
      <c r="E18" s="253" t="inlineStr">
        <is>
          <t>~$1,349,712</t>
        </is>
      </c>
    </row>
    <row r="19" ht="15" customHeight="1">
      <c r="B19" s="233" t="inlineStr">
        <is>
          <t>Catalyst Fund ($35K/unit)</t>
        </is>
      </c>
      <c r="C19" s="253" t="inlineStr">
        <is>
          <t>$1,260,000</t>
        </is>
      </c>
      <c r="D19" s="253" t="inlineStr">
        <is>
          <t>$1,400,000</t>
        </is>
      </c>
      <c r="E19" s="253" t="inlineStr">
        <is>
          <t>$840,000</t>
        </is>
      </c>
    </row>
    <row r="20" ht="15" customHeight="1">
      <c r="B20" s="233" t="inlineStr">
        <is>
          <t>Remaining Gap after Catalyst</t>
        </is>
      </c>
      <c r="C20" s="253" t="inlineStr">
        <is>
          <t>~$200,016</t>
        </is>
      </c>
      <c r="D20" s="253" t="inlineStr">
        <is>
          <t>~$(81,640)</t>
        </is>
      </c>
      <c r="E20" s="253" t="inlineStr">
        <is>
          <t>~$509,712</t>
        </is>
      </c>
    </row>
    <row r="21" ht="15" customHeight="1">
      <c r="B21" s="252" t="inlineStr">
        <is>
          <t>CONSTRUCTION TYPE A - CLT/SIP ROM</t>
        </is>
      </c>
    </row>
    <row r="22" ht="15" customHeight="1">
      <c r="B22" s="233" t="inlineStr">
        <is>
          <t>Total ROM (A)</t>
        </is>
      </c>
      <c r="C22" s="253" t="inlineStr">
        <is>
          <t>$14,875,352</t>
        </is>
      </c>
      <c r="D22" s="253" t="inlineStr">
        <is>
          <t>$15,005,993</t>
        </is>
      </c>
      <c r="E22" s="253" t="inlineStr">
        <is>
          <t>$11,635,084</t>
        </is>
      </c>
    </row>
    <row r="23" ht="15" customHeight="1">
      <c r="B23" s="233" t="inlineStr">
        <is>
          <t>Gap vs $215K (A)</t>
        </is>
      </c>
      <c r="C23" s="253" t="inlineStr">
        <is>
          <t>~$198K/unit</t>
        </is>
      </c>
      <c r="D23" s="253" t="inlineStr">
        <is>
          <t>~$160K/unit</t>
        </is>
      </c>
      <c r="E23" s="253" t="inlineStr">
        <is>
          <t>~$270K/unit</t>
        </is>
      </c>
    </row>
    <row r="24" ht="15" customHeight="1">
      <c r="B24" s="252" t="inlineStr">
        <is>
          <t>CONSTRUCTION TYPE C - STICK ROM</t>
        </is>
      </c>
    </row>
    <row r="25" ht="15" customHeight="1">
      <c r="B25" s="233" t="inlineStr">
        <is>
          <t>Total ROM (C)</t>
        </is>
      </c>
      <c r="C25" s="253" t="inlineStr">
        <is>
          <t>$14,731,123</t>
        </is>
      </c>
      <c r="D25" s="253" t="inlineStr">
        <is>
          <t>$14,797,583</t>
        </is>
      </c>
      <c r="E25" s="253" t="inlineStr">
        <is>
          <t>$11,553,115</t>
        </is>
      </c>
    </row>
    <row r="26" ht="15" customHeight="1">
      <c r="B26" s="233" t="inlineStr">
        <is>
          <t>Gap vs $215K (C)</t>
        </is>
      </c>
      <c r="C26" s="253" t="inlineStr">
        <is>
          <t>~$194K/unit</t>
        </is>
      </c>
      <c r="D26" s="253" t="inlineStr">
        <is>
          <t>~$155K/unit</t>
        </is>
      </c>
      <c r="E26" s="253" t="inlineStr">
        <is>
          <t>~$266K/unit</t>
        </is>
      </c>
    </row>
    <row r="27" ht="15" customHeight="1">
      <c r="B27" s="256" t="inlineStr">
        <is>
          <t>M4D RECOMMENDATION</t>
        </is>
      </c>
    </row>
    <row r="28" ht="15" customHeight="1">
      <c r="B28" s="233" t="inlineStr">
        <is>
          <t>M4D Recommendation</t>
        </is>
      </c>
      <c r="C28" s="257" t="inlineStr">
        <is>
          <t>PRIMARY PATH</t>
        </is>
      </c>
      <c r="D28" s="258" t="inlineStr">
        <is>
          <t>MAX DENSITY OPTION</t>
        </is>
      </c>
      <c r="E28" s="258" t="inlineStr">
        <is>
          <t>QUALITY BENCHMARK</t>
        </is>
      </c>
    </row>
  </sheetData>
  <mergeCells count="7">
    <mergeCell ref="B27:E27"/>
    <mergeCell ref="B1:E1"/>
    <mergeCell ref="B21:E21"/>
    <mergeCell ref="B24:E24"/>
    <mergeCell ref="B5:E5"/>
    <mergeCell ref="B2:E2"/>
    <mergeCell ref="B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1C784"/>
    <outlinePr summaryBelow="1" summaryRight="1"/>
    <pageSetUpPr/>
  </sheetPr>
  <dimension ref="B1:E27"/>
  <sheetViews>
    <sheetView showGridLines="0" zoomScaleNormal="100" workbookViewId="0">
      <selection activeCell="J18" sqref="J18"/>
    </sheetView>
  </sheetViews>
  <sheetFormatPr baseColWidth="8" defaultColWidth="8.7109375" defaultRowHeight="15"/>
  <cols>
    <col width="3" customWidth="1" min="1" max="1"/>
    <col width="36" customWidth="1" min="2" max="2"/>
    <col width="18" customWidth="1" min="3" max="3"/>
    <col width="3" customWidth="1" min="4" max="4"/>
    <col width="64.7109375" customWidth="1" min="5" max="5"/>
    <col width="3.7109375" customWidth="1" min="6" max="6"/>
  </cols>
  <sheetData>
    <row r="1" ht="37.5" customHeight="1">
      <c r="B1" s="187" t="inlineStr">
        <is>
          <t>ROM COST ESTIMATE — EXECUTIVE SUMMARY</t>
        </is>
      </c>
    </row>
    <row r="2" ht="21.75" customHeight="1">
      <c r="B2" s="199">
        <f>"Project:  " &amp; ASSUMPTIONS!C3</f>
        <v/>
      </c>
      <c r="C2" s="259" t="n"/>
    </row>
    <row r="3" ht="18" customHeight="1">
      <c r="B3" s="200">
        <f>"Estimate Date:  " &amp; TEXT(ASSUMPTIONS!C4,"mm/dd/yyyy") &amp; "   |   Type: " &amp; ASSUMPTIONS!C5</f>
        <v/>
      </c>
      <c r="C3" s="259" t="n"/>
    </row>
    <row r="4" ht="19.5" customHeight="1">
      <c r="B4" s="82" t="inlineStr">
        <is>
          <t>Summary Item</t>
        </is>
      </c>
      <c r="C4" s="82" t="inlineStr">
        <is>
          <t>Amount</t>
        </is>
      </c>
      <c r="E4" s="82" t="inlineStr">
        <is>
          <t>Pricing Basis / Notes</t>
        </is>
      </c>
    </row>
    <row r="5" ht="18" customHeight="1">
      <c r="B5" s="23" t="inlineStr">
        <is>
          <t>Base Building Subtotal</t>
        </is>
      </c>
      <c r="C5" s="54">
        <f>IFERROR(SUMIF('FLOOR SUMMARY'!B3:B8,"&lt;&gt;TOTAL",'FLOOR SUMMARY'!C3:C8),0)</f>
        <v/>
      </c>
      <c r="E5" s="83" t="inlineStr">
        <is>
          <t>Architectural / interior renovation ROM with quantity-based takeoff. Excludes allowances.</t>
        </is>
      </c>
    </row>
    <row r="6" ht="18" customHeight="1">
      <c r="B6" s="23" t="inlineStr">
        <is>
          <t>Equipment Allowances</t>
        </is>
      </c>
      <c r="C6" s="54">
        <f>IFERROR(SUM('FLOOR SUMMARY'!D3:D6),0)</f>
        <v/>
      </c>
      <c r="E6" s="83" t="inlineStr">
        <is>
          <t>Owner-selection-dependent athletic and specialty equipment. Pending confirmation.</t>
        </is>
      </c>
    </row>
    <row r="7" ht="18" customHeight="1">
      <c r="B7" s="84" t="inlineStr">
        <is>
          <t>Subtotal Before Markups</t>
        </is>
      </c>
      <c r="C7" s="85">
        <f>C5+C6</f>
        <v/>
      </c>
      <c r="E7" s="83" t="n"/>
    </row>
    <row r="8" ht="18" customHeight="1">
      <c r="B8" s="23" t="inlineStr">
        <is>
          <t>General Conditions</t>
        </is>
      </c>
      <c r="C8" s="54">
        <f>C7*ASSUMPTIONS!$C$19</f>
        <v/>
      </c>
      <c r="E8" s="83" t="inlineStr">
        <is>
          <t>Rate: per ASSUMPTIONS!C19</t>
        </is>
      </c>
    </row>
    <row r="9" ht="18" customHeight="1">
      <c r="B9" s="23" t="inlineStr">
        <is>
          <t>Overhead &amp; Profit (OH&amp;P)</t>
        </is>
      </c>
      <c r="C9" s="54">
        <f>(C7+C8)*ASSUMPTIONS!$C$20</f>
        <v/>
      </c>
      <c r="E9" s="83" t="inlineStr">
        <is>
          <t>Rate: per ASSUMPTIONS!C20</t>
        </is>
      </c>
    </row>
    <row r="10" ht="18" customHeight="1">
      <c r="B10" s="23" t="inlineStr">
        <is>
          <t>Total Contingencies</t>
        </is>
      </c>
      <c r="C10" s="54">
        <f>(C7+C8+C9)*(ASSUMPTIONS!C21+ASSUMPTIONS!C22+ASSUMPTIONS!C23)</f>
        <v/>
      </c>
      <c r="E10" s="83" t="inlineStr">
        <is>
          <t>Design + existing conditions + equipment/owner selection contingencies.</t>
        </is>
      </c>
    </row>
    <row r="11" ht="18" customHeight="1">
      <c r="B11" s="23" t="inlineStr">
        <is>
          <t>Bid / Permit / Bonds</t>
        </is>
      </c>
      <c r="C11" s="54">
        <f>(C7+C8+C9+C10)*ASSUMPTIONS!$C$24</f>
        <v/>
      </c>
      <c r="E11" s="83" t="inlineStr">
        <is>
          <t>Rate: per ASSUMPTIONS!C24</t>
        </is>
      </c>
    </row>
    <row r="12" ht="30" customHeight="1">
      <c r="B12" s="86" t="inlineStr">
        <is>
          <t>TOTAL PROJECT ROM</t>
        </is>
      </c>
      <c r="C12" s="87">
        <f>C5+C8+C9+C10+C11</f>
        <v/>
      </c>
    </row>
    <row r="14" ht="18" customHeight="1">
      <c r="B14" s="23" t="inlineStr">
        <is>
          <t>Project Cost per SF</t>
        </is>
      </c>
      <c r="C14" s="28">
        <f>IFERROR(C12/ASSUMPTIONS!$C$9,0)</f>
        <v/>
      </c>
      <c r="E14" s="12" t="inlineStr">
        <is>
          <t>Reference only. Compare to SF BENCHMARK sheet for sanity check.</t>
        </is>
      </c>
    </row>
    <row r="16" ht="19.5" customHeight="1">
      <c r="B16" s="191" t="inlineStr">
        <is>
          <t>CONTINGENCY BREAKDOWN (for reference)</t>
        </is>
      </c>
    </row>
    <row r="17" ht="16.5" customHeight="1">
      <c r="B17" s="23" t="inlineStr">
        <is>
          <t>Design Contingency</t>
        </is>
      </c>
      <c r="C17" s="54">
        <f>(C7+C8+C9)*ASSUMPTIONS!C21</f>
        <v/>
      </c>
    </row>
    <row r="18" ht="16.5" customHeight="1">
      <c r="B18" s="23" t="inlineStr">
        <is>
          <t>Existing Conditions Contingency</t>
        </is>
      </c>
      <c r="C18" s="54">
        <f>(C7+C8+C9)*ASSUMPTIONS!C22</f>
        <v/>
      </c>
    </row>
    <row r="19" ht="16.5" customHeight="1">
      <c r="B19" s="23" t="inlineStr">
        <is>
          <t>Equipment/Owner Selection Contingency</t>
        </is>
      </c>
      <c r="C19" s="54">
        <f>(C7+C8+C9)*ASSUMPTIONS!C23</f>
        <v/>
      </c>
    </row>
    <row r="21" ht="19.5" customHeight="1">
      <c r="B21" s="189" t="inlineStr">
        <is>
          <t>SOFT COSTS &amp; TOTAL PROJECT INVESTMENT (see SOFT COSTS and TOTAL PROJECT BUDGET sheets)</t>
        </is>
      </c>
    </row>
    <row r="22" ht="19.5" customHeight="1">
      <c r="B22" s="33" t="inlineStr">
        <is>
          <t>Architecture Fee (from SOFT COSTS)</t>
        </is>
      </c>
      <c r="C22" s="20">
        <f>'SOFT COSTS'!F54</f>
        <v/>
      </c>
      <c r="E22" s="72" t="inlineStr">
        <is>
          <t>Base fee + renovation premium per M4Di fee schedule.</t>
        </is>
      </c>
    </row>
    <row r="23" ht="19.5" customHeight="1">
      <c r="B23" s="75" t="inlineStr">
        <is>
          <t>Total Engineering Fees</t>
        </is>
      </c>
      <c r="C23" s="20">
        <f>'SOFT COSTS'!F84</f>
        <v/>
      </c>
      <c r="E23" s="76" t="inlineStr">
        <is>
          <t>Structural, MEP, FP, Civil, Geotech.</t>
        </is>
      </c>
    </row>
    <row r="24" ht="19.5" customHeight="1">
      <c r="B24" s="33" t="inlineStr">
        <is>
          <t>Other Consultant &amp; Owner Costs</t>
        </is>
      </c>
      <c r="C24" s="20">
        <f>'SOFT COSTS'!F85</f>
        <v/>
      </c>
      <c r="E24" s="72" t="inlineStr">
        <is>
          <t>Technology, legal, permits, insurance, testing, environmental.</t>
        </is>
      </c>
    </row>
    <row r="25" ht="25.5" customHeight="1">
      <c r="B25" s="88" t="inlineStr">
        <is>
          <t>TOTAL SOFT COSTS</t>
        </is>
      </c>
      <c r="C25" s="89">
        <f>'SOFT COSTS'!F86</f>
        <v/>
      </c>
      <c r="E25" s="90" t="inlineStr">
        <is>
          <t>See SOFT COSTS sheet for detail and overrides.</t>
        </is>
      </c>
    </row>
    <row r="26" ht="19.5" customHeight="1">
      <c r="B26" s="33" t="inlineStr">
        <is>
          <t>Owner Contingency</t>
        </is>
      </c>
      <c r="C26" s="20">
        <f>'TOTAL PROJECT BUDGET'!C34</f>
        <v/>
      </c>
      <c r="E26" s="72" t="inlineStr">
        <is>
          <t>Post-GMP owner contingency and program reserves.</t>
        </is>
      </c>
    </row>
    <row r="27" ht="25.5" customHeight="1">
      <c r="B27" s="88" t="inlineStr">
        <is>
          <t>TOTAL PROJECT INVESTMENT</t>
        </is>
      </c>
      <c r="C27" s="89">
        <f>'TOTAL PROJECT BUDGET'!C36</f>
        <v/>
      </c>
      <c r="E27" s="90" t="inlineStr">
        <is>
          <t>Full project cost: hard + soft + owner costs.</t>
        </is>
      </c>
    </row>
  </sheetData>
  <mergeCells count="5">
    <mergeCell ref="B1:E1"/>
    <mergeCell ref="B2:C2"/>
    <mergeCell ref="B3:C3"/>
    <mergeCell ref="B21:E21"/>
    <mergeCell ref="B16:E16"/>
  </mergeCells>
  <pageMargins left="1.17" right="0.75" top="1" bottom="1" header="0.511811023622047" footer="0.511805555555556"/>
  <pageSetup orientation="portrait" scale="60" horizontalDpi="300" verticalDpi="300"/>
  <headerFooter>
    <oddHeader/>
    <oddFooter>&amp;L&amp;8 M4Di — Merge 4 Development Institute, Inc.&amp;C&amp;8 Page &amp;P of &amp;N  ·  Draft — Internal Use Only  ·  © 2026 M4Di, Inc.&amp;R&amp;8 M4Di.Oi™  ALDi™  FeasOps™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F57F17"/>
    <outlinePr summaryBelow="1" summaryRight="1"/>
    <pageSetUpPr/>
  </sheetPr>
  <dimension ref="B1:H28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 ht="18" customHeight="1">
      <c r="B1" s="250" t="inlineStr">
        <is>
          <t>M4Di | ALDi Budget Tracker | 1212 Lobdel Avenue — Multi-Unit Affordable Infill | M2_2026_004</t>
        </is>
      </c>
    </row>
    <row r="3" ht="30" customHeight="1">
      <c r="B3" s="260" t="inlineStr">
        <is>
          <t>LINE ITEM</t>
        </is>
      </c>
      <c r="C3" s="260" t="inlineStr">
        <is>
          <t>COL D - ROM
(LOCKED G0)</t>
        </is>
      </c>
      <c r="D3" s="260" t="inlineStr">
        <is>
          <t>COL E - 75% DD
(Gate 2)</t>
        </is>
      </c>
      <c r="E3" s="260" t="inlineStr">
        <is>
          <t>COL F - GMP/SOV
(Gate 3)</t>
        </is>
      </c>
      <c r="F3" s="260" t="inlineStr">
        <is>
          <t>COL G - ACTUAL
(Gate 4)</t>
        </is>
      </c>
      <c r="G3" s="260" t="inlineStr">
        <is>
          <t>ROM vs DD
Var %</t>
        </is>
      </c>
      <c r="H3" s="260" t="inlineStr">
        <is>
          <t>ROM vs GMP
Var %</t>
        </is>
      </c>
    </row>
    <row r="4" ht="13" customHeight="1">
      <c r="B4" s="249" t="inlineStr">
        <is>
          <t>Col D = locked ROM from COVER tab. Col D never changes after Gate 0. Enter E, F, G at respective gates. Variance &gt;5% triggers Variance Log entry.</t>
        </is>
      </c>
    </row>
    <row r="5" ht="16" customHeight="1">
      <c r="B5" s="252" t="inlineStr">
        <is>
          <t>HARD COSTS</t>
        </is>
      </c>
    </row>
    <row r="6" ht="14" customHeight="1">
      <c r="B6" s="261" t="inlineStr">
        <is>
          <t>Sitework / Civil (drives, walks)</t>
        </is>
      </c>
      <c r="C6" s="246">
        <f>COVER!C39</f>
        <v/>
      </c>
      <c r="D6" s="262" t="n"/>
      <c r="E6" s="262" t="n"/>
      <c r="F6" s="262" t="n"/>
      <c r="G6" s="263">
        <f>IF(D6=0,"-",IF(C6=0,"-",(D6-C6)/C6))</f>
        <v/>
      </c>
      <c r="H6" s="263">
        <f>IF(E6=0,"-",IF(C6=0,"-",(E6-C6)/C6))</f>
        <v/>
      </c>
    </row>
    <row r="7" ht="14" customHeight="1">
      <c r="B7" s="261" t="inlineStr">
        <is>
          <t>Foundations (modular-spec slab)</t>
        </is>
      </c>
      <c r="C7" s="246">
        <f>COVER!C40</f>
        <v/>
      </c>
      <c r="D7" s="262" t="n"/>
      <c r="E7" s="262" t="n"/>
      <c r="F7" s="262" t="n"/>
      <c r="G7" s="263">
        <f>IF(D7=0,"-",IF(C7=0,"-",(D7-C7)/C7))</f>
        <v/>
      </c>
      <c r="H7" s="263">
        <f>IF(E7=0,"-",IF(C7=0,"-",(E7-C7)/C7))</f>
        <v/>
      </c>
    </row>
    <row r="8" ht="14" customHeight="1">
      <c r="B8" s="261" t="inlineStr">
        <is>
          <t>Modular Factory Units (36 units)</t>
        </is>
      </c>
      <c r="C8" s="246">
        <f>COVER!C41</f>
        <v/>
      </c>
      <c r="D8" s="262" t="n"/>
      <c r="E8" s="262" t="n"/>
      <c r="F8" s="262" t="n"/>
      <c r="G8" s="263">
        <f>IF(D8=0,"-",IF(C8=0,"-",(D8-C8)/C8))</f>
        <v/>
      </c>
      <c r="H8" s="263">
        <f>IF(E8=0,"-",IF(C8=0,"-",(E8-C8)/C8))</f>
        <v/>
      </c>
    </row>
    <row r="9" ht="14" customHeight="1">
      <c r="B9" s="261" t="inlineStr">
        <is>
          <t>Freight + Set (crane, ~200 mi)</t>
        </is>
      </c>
      <c r="C9" s="246">
        <f>COVER!C42</f>
        <v/>
      </c>
      <c r="D9" s="262" t="n"/>
      <c r="E9" s="262" t="n"/>
      <c r="F9" s="262" t="n"/>
      <c r="G9" s="263">
        <f>IF(D9=0,"-",IF(C9=0,"-",(D9-C9)/C9))</f>
        <v/>
      </c>
      <c r="H9" s="263">
        <f>IF(E9=0,"-",IF(C9=0,"-",(E9-C9)/C9))</f>
        <v/>
      </c>
    </row>
    <row r="10" ht="14" customHeight="1">
      <c r="B10" s="261" t="inlineStr">
        <is>
          <t>Site MEP Tie-Ins + Utilities</t>
        </is>
      </c>
      <c r="C10" s="246">
        <f>COVER!C43</f>
        <v/>
      </c>
      <c r="D10" s="262" t="n"/>
      <c r="E10" s="262" t="n"/>
      <c r="F10" s="262" t="n"/>
      <c r="G10" s="263">
        <f>IF(D10=0,"-",IF(C10=0,"-",(D10-C10)/C10))</f>
        <v/>
      </c>
      <c r="H10" s="263">
        <f>IF(E10=0,"-",IF(C10=0,"-",(E10-C10)/C10))</f>
        <v/>
      </c>
    </row>
    <row r="11" ht="14" customHeight="1">
      <c r="B11" s="261" t="inlineStr">
        <is>
          <t>Exterior Finish Completion</t>
        </is>
      </c>
      <c r="C11" s="246">
        <f>COVER!C44</f>
        <v/>
      </c>
      <c r="D11" s="262" t="n"/>
      <c r="E11" s="262" t="n"/>
      <c r="F11" s="262" t="n"/>
      <c r="G11" s="263">
        <f>IF(D11=0,"-",IF(C11=0,"-",(D11-C11)/C11))</f>
        <v/>
      </c>
      <c r="H11" s="263">
        <f>IF(E11=0,"-",IF(C11=0,"-",(E11-C11)/C11))</f>
        <v/>
      </c>
    </row>
    <row r="12" ht="14" customHeight="1">
      <c r="B12" s="261" t="inlineStr">
        <is>
          <t>Interior Finish Completion</t>
        </is>
      </c>
      <c r="C12" s="246">
        <f>COVER!C45</f>
        <v/>
      </c>
      <c r="D12" s="262" t="n"/>
      <c r="E12" s="262" t="n"/>
      <c r="F12" s="262" t="n"/>
      <c r="G12" s="263">
        <f>IF(D12=0,"-",IF(C12=0,"-",(D12-C12)/C12))</f>
        <v/>
      </c>
      <c r="H12" s="263">
        <f>IF(E12=0,"-",IF(C12=0,"-",(E12-C12)/C12))</f>
        <v/>
      </c>
    </row>
    <row r="13" ht="14" customHeight="1">
      <c r="B13" s="261" t="inlineStr">
        <is>
          <t>Shared Open Space / Parking Court</t>
        </is>
      </c>
      <c r="C13" s="246">
        <f>COVER!C46</f>
        <v/>
      </c>
      <c r="D13" s="262" t="n"/>
      <c r="E13" s="262" t="n"/>
      <c r="F13" s="262" t="n"/>
      <c r="G13" s="263">
        <f>IF(D13=0,"-",IF(C13=0,"-",(D13-C13)/C13))</f>
        <v/>
      </c>
      <c r="H13" s="263">
        <f>IF(E13=0,"-",IF(C13=0,"-",(E13-C13)/C13))</f>
        <v/>
      </c>
    </row>
    <row r="14" ht="14" customHeight="1">
      <c r="B14" s="261" t="inlineStr">
        <is>
          <t>Landscaping / Fencing / Walks</t>
        </is>
      </c>
      <c r="C14" s="246">
        <f>COVER!C47</f>
        <v/>
      </c>
      <c r="D14" s="262" t="n"/>
      <c r="E14" s="262" t="n"/>
      <c r="F14" s="262" t="n"/>
      <c r="G14" s="263">
        <f>IF(D14=0,"-",IF(C14=0,"-",(D14-C14)/C14))</f>
        <v/>
      </c>
      <c r="H14" s="263">
        <f>IF(E14=0,"-",IF(C14=0,"-",(E14-C14)/C14))</f>
        <v/>
      </c>
    </row>
    <row r="15" ht="14" customHeight="1">
      <c r="B15" s="242" t="inlineStr">
        <is>
          <t>HARD COST SUBTOTAL</t>
        </is>
      </c>
      <c r="C15" s="246">
        <f>SUM(C6:C14)</f>
        <v/>
      </c>
      <c r="D15" s="262" t="n"/>
      <c r="E15" s="262" t="n"/>
      <c r="F15" s="262" t="n"/>
    </row>
    <row r="16" ht="14" customHeight="1">
      <c r="B16" s="261" t="inlineStr">
        <is>
          <t>General Conditions (8%)</t>
        </is>
      </c>
      <c r="C16" s="246">
        <f>0.08*C15</f>
        <v/>
      </c>
      <c r="D16" s="262" t="n"/>
      <c r="E16" s="262" t="n"/>
      <c r="F16" s="262" t="n"/>
      <c r="G16" s="263">
        <f>IF(D16=0,"-",IF(C16=0,"-",(D16-C16)/C16))</f>
        <v/>
      </c>
      <c r="H16" s="263">
        <f>IF(E16=0,"-",IF(C16=0,"-",(E16-C16)/C16))</f>
        <v/>
      </c>
    </row>
    <row r="17" ht="14" customHeight="1">
      <c r="B17" s="261" t="inlineStr">
        <is>
          <t>OH&amp;P / GC Fee (6%)</t>
        </is>
      </c>
      <c r="C17" s="246">
        <f>0.06*(C15+C16)</f>
        <v/>
      </c>
      <c r="D17" s="262" t="n"/>
      <c r="E17" s="262" t="n"/>
      <c r="F17" s="262" t="n"/>
      <c r="G17" s="263">
        <f>IF(D17=0,"-",IF(C17=0,"-",(D17-C17)/C17))</f>
        <v/>
      </c>
      <c r="H17" s="263">
        <f>IF(E17=0,"-",IF(C17=0,"-",(E17-C17)/C17))</f>
        <v/>
      </c>
    </row>
    <row r="18" ht="14" customHeight="1">
      <c r="B18" s="261" t="inlineStr">
        <is>
          <t>Design Contingency (6%)</t>
        </is>
      </c>
      <c r="C18" s="246">
        <f>0.06*(C15+C16+C17)</f>
        <v/>
      </c>
      <c r="D18" s="262" t="n"/>
      <c r="E18" s="262" t="n"/>
      <c r="F18" s="262" t="n"/>
      <c r="G18" s="263">
        <f>IF(D18=0,"-",IF(C18=0,"-",(D18-C18)/C18))</f>
        <v/>
      </c>
      <c r="H18" s="263">
        <f>IF(E18=0,"-",IF(C18=0,"-",(E18-C18)/C18))</f>
        <v/>
      </c>
    </row>
    <row r="19" ht="16" customHeight="1">
      <c r="B19" s="252" t="inlineStr">
        <is>
          <t>SOFT COSTS &amp; CONTINGENCY</t>
        </is>
      </c>
    </row>
    <row r="20" ht="14" customHeight="1">
      <c r="B20" s="261" t="inlineStr">
        <is>
          <t>Soft Costs (12% of hard+markups)</t>
        </is>
      </c>
      <c r="C20" s="246">
        <f>0.12*(C15+C16+C17+C18)</f>
        <v/>
      </c>
      <c r="D20" s="262" t="n"/>
      <c r="E20" s="262" t="n"/>
      <c r="F20" s="262" t="n"/>
      <c r="G20" s="263">
        <f>IF(D20=0,"-",IF(C20=0,"-",(D20-C20)/C20))</f>
        <v/>
      </c>
      <c r="H20" s="263">
        <f>IF(E20=0,"-",IF(C20=0,"-",(E20-C20)/C20))</f>
        <v/>
      </c>
    </row>
    <row r="21" ht="14" customHeight="1">
      <c r="B21" s="261" t="inlineStr">
        <is>
          <t>Owner Contingency (5%)</t>
        </is>
      </c>
      <c r="C21" s="246">
        <f>0.05*(C15+C16+C17+C18+C20)</f>
        <v/>
      </c>
      <c r="D21" s="262" t="n"/>
      <c r="E21" s="262" t="n"/>
      <c r="F21" s="262" t="n"/>
      <c r="G21" s="263">
        <f>IF(D21=0,"-",IF(C21=0,"-",(D21-C21)/C21))</f>
        <v/>
      </c>
      <c r="H21" s="263">
        <f>IF(E21=0,"-",IF(C21=0,"-",(E21-C21)/C21))</f>
        <v/>
      </c>
    </row>
    <row r="22" ht="14" customHeight="1">
      <c r="B22" s="242" t="inlineStr">
        <is>
          <t>TOTAL PROJECT ROM - COLUMN D</t>
        </is>
      </c>
      <c r="C22" s="264">
        <f>SUM(C15,C16,C17,C18,C20,C21)</f>
        <v/>
      </c>
      <c r="D22" s="262" t="n"/>
      <c r="E22" s="262" t="n"/>
      <c r="F22" s="262" t="n"/>
      <c r="G22" s="263">
        <f>IF(D22=0,"-",IF(C22=0,"-",(D22-C22)/C22))</f>
        <v/>
      </c>
      <c r="H22" s="263">
        <f>IF(E22=0,"-",IF(C22=0,"-",(E22-C22)/C22))</f>
        <v/>
      </c>
    </row>
    <row r="23" ht="16" customHeight="1">
      <c r="B23" s="252" t="inlineStr">
        <is>
          <t>UNIT ECONOMICS</t>
        </is>
      </c>
    </row>
    <row r="24" ht="14" customHeight="1">
      <c r="B24" s="261" t="inlineStr">
        <is>
          <t>Total Units (36 - Scenario I)</t>
        </is>
      </c>
      <c r="C24" s="246">
        <f>COVER!C24</f>
        <v/>
      </c>
      <c r="D24" s="262" t="n"/>
      <c r="E24" s="262" t="n"/>
      <c r="F24" s="262" t="n"/>
      <c r="G24" s="263">
        <f>IF(D24=0,"-",IF(C24=0,"-",(D24-C24)/C24))</f>
        <v/>
      </c>
      <c r="H24" s="263">
        <f>IF(E24=0,"-",IF(C24=0,"-",(E24-C24)/C24))</f>
        <v/>
      </c>
    </row>
    <row r="25" ht="14" customHeight="1">
      <c r="B25" s="261" t="inlineStr">
        <is>
          <t>Cost Per Unit (ROM)</t>
        </is>
      </c>
      <c r="C25" s="246">
        <f>C22/C24</f>
        <v/>
      </c>
      <c r="D25" s="262" t="n"/>
      <c r="E25" s="262" t="n"/>
      <c r="F25" s="262" t="n"/>
      <c r="G25" s="263">
        <f>IF(D25=0,"-",IF(C25=0,"-",(D25-C25)/C25))</f>
        <v/>
      </c>
      <c r="H25" s="263">
        <f>IF(E25=0,"-",IF(C25=0,"-",(E25-C25)/C25))</f>
        <v/>
      </c>
    </row>
    <row r="26" ht="14" customHeight="1">
      <c r="B26" s="261" t="inlineStr">
        <is>
          <t>Target Sales Price (WHA)</t>
        </is>
      </c>
      <c r="C26" s="241" t="n">
        <v>215000</v>
      </c>
      <c r="D26" s="262" t="n"/>
      <c r="E26" s="262" t="n"/>
      <c r="F26" s="262" t="n"/>
      <c r="G26" s="263">
        <f>IF(D26=0,"-",IF(C26=0,"-",(D26-C26)/C26))</f>
        <v/>
      </c>
      <c r="H26" s="263">
        <f>IF(E26=0,"-",IF(C26=0,"-",(E26-C26)/C26))</f>
        <v/>
      </c>
    </row>
    <row r="27" ht="14" customHeight="1">
      <c r="B27" s="261" t="inlineStr">
        <is>
          <t>Subsidy Gap Per Unit</t>
        </is>
      </c>
      <c r="C27" s="246">
        <f>C25-C26</f>
        <v/>
      </c>
      <c r="D27" s="262" t="n"/>
      <c r="E27" s="262" t="n"/>
      <c r="F27" s="262" t="n"/>
      <c r="G27" s="263">
        <f>IF(D27=0,"-",IF(C27=0,"-",(D27-C27)/C27))</f>
        <v/>
      </c>
      <c r="H27" s="263">
        <f>IF(E27=0,"-",IF(C27=0,"-",(E27-C27)/C27))</f>
        <v/>
      </c>
    </row>
    <row r="28" ht="14" customHeight="1">
      <c r="B28" s="261" t="inlineStr">
        <is>
          <t>Total Subsidy Gap</t>
        </is>
      </c>
      <c r="C28" s="246">
        <f>C27*C24</f>
        <v/>
      </c>
      <c r="D28" s="262" t="n"/>
      <c r="E28" s="262" t="n"/>
      <c r="F28" s="262" t="n"/>
      <c r="G28" s="263">
        <f>IF(D28=0,"-",IF(C28=0,"-",(D28-C28)/C28))</f>
        <v/>
      </c>
      <c r="H28" s="263">
        <f>IF(E28=0,"-",IF(C28=0,"-",(E28-C28)/C28))</f>
        <v/>
      </c>
    </row>
  </sheetData>
  <mergeCells count="5">
    <mergeCell ref="B1:H1"/>
    <mergeCell ref="B19:H19"/>
    <mergeCell ref="B4:H4"/>
    <mergeCell ref="B5:H5"/>
    <mergeCell ref="B23:H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57F17"/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4" customWidth="1" min="4" max="4"/>
    <col width="12" customWidth="1" min="6" max="6"/>
    <col width="28" customWidth="1" min="9" max="9"/>
    <col width="20" customWidth="1" min="10" max="10"/>
  </cols>
  <sheetData>
    <row r="1">
      <c r="B1" s="265" t="inlineStr">
        <is>
          <t>VARIANCE LOG — Cost Changes Requiring Documentation</t>
        </is>
      </c>
    </row>
    <row r="2">
      <c r="B2" s="266" t="inlineStr">
        <is>
          <t>Any variance &gt;5% between estimate columns must be documented here before the next ALDi gate is cleared.</t>
        </is>
      </c>
    </row>
    <row r="3"/>
    <row r="4">
      <c r="B4" s="267" t="inlineStr">
        <is>
          <t>Line Item / Budget Category</t>
        </is>
      </c>
      <c r="C4" s="267" t="inlineStr">
        <is>
          <t>Gate</t>
        </is>
      </c>
      <c r="D4" s="268" t="inlineStr">
        <is>
          <t>ROM Amt ($)</t>
        </is>
      </c>
      <c r="E4" s="269" t="inlineStr">
        <is>
          <t>New Est. Amt ($)</t>
        </is>
      </c>
      <c r="F4" s="267" t="inlineStr">
        <is>
          <t>Var ($)</t>
        </is>
      </c>
      <c r="G4" s="267" t="inlineStr">
        <is>
          <t>Var (%)</t>
        </is>
      </c>
      <c r="H4" s="267" t="inlineStr">
        <is>
          <t>Status</t>
        </is>
      </c>
      <c r="I4" s="270" t="inlineStr">
        <is>
          <t>Root Cause &amp; Resolution</t>
        </is>
      </c>
      <c r="J4" s="270" t="inlineStr">
        <is>
          <t>Approved By</t>
        </is>
      </c>
    </row>
    <row r="5">
      <c r="B5" s="271" t="inlineStr">
        <is>
          <t>Existing Conditions Contingency — higher than ROM</t>
        </is>
      </c>
      <c r="C5" s="271" t="inlineStr">
        <is>
          <t>Gate 2</t>
        </is>
      </c>
      <c r="D5" s="272" t="n">
        <v>347000</v>
      </c>
      <c r="E5" s="273" t="n">
        <v>420000</v>
      </c>
      <c r="F5" s="274" t="inlineStr">
        <is>
          <t>73,000</t>
        </is>
      </c>
      <c r="G5" s="275" t="inlineStr">
        <is>
          <t>21.0%</t>
        </is>
      </c>
      <c r="H5" s="276" t="inlineStr">
        <is>
          <t>Approved</t>
        </is>
      </c>
      <c r="I5" s="277" t="inlineStr">
        <is>
          <t>Hazmat survey confirmed asbestos in 3 locations. Abatement scope added. Owner approved $73K increase.</t>
        </is>
      </c>
      <c r="J5" s="271" t="inlineStr">
        <is>
          <t>T. Maxwell / M4Di</t>
        </is>
      </c>
    </row>
    <row r="6">
      <c r="B6" s="278" t="inlineStr">
        <is>
          <t>HVAC — Phase 1A scope expanded per DDDS requirements</t>
        </is>
      </c>
      <c r="C6" s="278" t="inlineStr">
        <is>
          <t>Gate 2</t>
        </is>
      </c>
      <c r="D6" s="272" t="n">
        <v>310000</v>
      </c>
      <c r="E6" s="273" t="n">
        <v>365000</v>
      </c>
      <c r="F6" s="274" t="inlineStr">
        <is>
          <t>55,000</t>
        </is>
      </c>
      <c r="G6" s="275" t="inlineStr">
        <is>
          <t>17.7%</t>
        </is>
      </c>
      <c r="H6" s="279" t="inlineStr">
        <is>
          <t>Watch</t>
        </is>
      </c>
      <c r="I6" s="277" t="inlineStr">
        <is>
          <t>DDDS licensing pre-app required supplemental ventilation for clinical areas. Engineering confirmed scope.</t>
        </is>
      </c>
      <c r="J6" s="271" t="inlineStr">
        <is>
          <t>Pending owner</t>
        </is>
      </c>
    </row>
    <row r="7">
      <c r="B7" s="271" t="inlineStr">
        <is>
          <t>[Next Variance Item — enter as identified]</t>
        </is>
      </c>
      <c r="C7" s="271" t="n"/>
      <c r="D7" s="280" t="n"/>
      <c r="E7" s="281" t="n"/>
      <c r="F7" s="274" t="n"/>
      <c r="G7" s="275" t="n"/>
      <c r="H7" s="278" t="inlineStr">
        <is>
          <t>On Track</t>
        </is>
      </c>
      <c r="I7" s="277" t="n"/>
      <c r="J7" s="27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57F17"/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2" customWidth="1" min="8" max="8"/>
    <col width="28" customWidth="1" min="10" max="10"/>
  </cols>
  <sheetData>
    <row r="1">
      <c r="B1" s="265" t="inlineStr">
        <is>
          <t>CHANGE ORDER LOG — ALDi Gate 3–4</t>
        </is>
      </c>
    </row>
    <row r="2">
      <c r="B2" s="266" t="inlineStr">
        <is>
          <t>All changes to the contracted GMP/SOV (Column F) must be logged here. Actual Cost (Column G) = Column F + approved COs below.</t>
        </is>
      </c>
    </row>
    <row r="3"/>
    <row r="4">
      <c r="B4" s="267" t="inlineStr">
        <is>
          <t>CO #</t>
        </is>
      </c>
      <c r="C4" s="267" t="inlineStr">
        <is>
          <t>Description</t>
        </is>
      </c>
      <c r="D4" s="267" t="inlineStr">
        <is>
          <t>Date</t>
        </is>
      </c>
      <c r="E4" s="282" t="inlineStr">
        <is>
          <t>GC Amount ($)</t>
        </is>
      </c>
      <c r="F4" s="282" t="inlineStr">
        <is>
          <t>Owner Cost ($)</t>
        </is>
      </c>
      <c r="G4" s="267" t="inlineStr">
        <is>
          <t>Cumulative COs ($)</t>
        </is>
      </c>
      <c r="H4" s="267" t="inlineStr">
        <is>
          <t>CO Running % of GMP</t>
        </is>
      </c>
      <c r="I4" s="267" t="inlineStr">
        <is>
          <t>Status</t>
        </is>
      </c>
      <c r="J4" s="267" t="inlineStr">
        <is>
          <t>Category</t>
        </is>
      </c>
      <c r="K4" s="270" t="inlineStr">
        <is>
          <t>Notes / Justification</t>
        </is>
      </c>
    </row>
    <row r="5">
      <c r="B5" s="283" t="inlineStr">
        <is>
          <t>CO-001</t>
        </is>
      </c>
      <c r="C5" s="283" t="inlineStr">
        <is>
          <t>Hazardous Materials Abatement — Phase 1 (asbestos, 3 locations)</t>
        </is>
      </c>
      <c r="D5" s="283" t="inlineStr">
        <is>
          <t>04/15/2026</t>
        </is>
      </c>
      <c r="E5" s="284" t="n">
        <v>73000</v>
      </c>
      <c r="F5" s="284" t="n">
        <v>0</v>
      </c>
      <c r="G5" s="285" t="n">
        <v>73000</v>
      </c>
      <c r="H5" s="286" t="inlineStr">
        <is>
          <t>2.1%</t>
        </is>
      </c>
      <c r="I5" s="286" t="inlineStr">
        <is>
          <t>Approved</t>
        </is>
      </c>
      <c r="J5" s="283" t="inlineStr">
        <is>
          <t>Existing Conditions</t>
        </is>
      </c>
      <c r="K5" s="287" t="inlineStr">
        <is>
          <t>Required; covered by existing conditions contingency draw</t>
        </is>
      </c>
    </row>
    <row r="6">
      <c r="B6" s="288" t="inlineStr">
        <is>
          <t>CO-002</t>
        </is>
      </c>
      <c r="C6" s="288" t="inlineStr">
        <is>
          <t>Additional HVAC ductwork — DDDS ventilation compliance</t>
        </is>
      </c>
      <c r="D6" s="288" t="inlineStr">
        <is>
          <t>05/01/2026</t>
        </is>
      </c>
      <c r="E6" s="284" t="n">
        <v>55000</v>
      </c>
      <c r="F6" s="284" t="n">
        <v>0</v>
      </c>
      <c r="G6" s="274" t="n">
        <v>128000</v>
      </c>
      <c r="H6" s="289" t="inlineStr">
        <is>
          <t>3.7%</t>
        </is>
      </c>
      <c r="I6" s="289" t="inlineStr">
        <is>
          <t>Pending</t>
        </is>
      </c>
      <c r="J6" s="288" t="inlineStr">
        <is>
          <t>Regulatory</t>
        </is>
      </c>
      <c r="K6" s="290" t="inlineStr">
        <is>
          <t>DDDS licensing requirement; pending owner authorization</t>
        </is>
      </c>
    </row>
    <row r="7">
      <c r="B7" s="283" t="inlineStr">
        <is>
          <t>[Future CO — enter as issued]</t>
        </is>
      </c>
      <c r="C7" s="283" t="n"/>
      <c r="D7" s="283" t="n"/>
      <c r="E7" s="291" t="n"/>
      <c r="F7" s="291" t="n"/>
      <c r="G7" s="292" t="n"/>
      <c r="H7" s="286" t="n"/>
      <c r="I7" s="286" t="inlineStr">
        <is>
          <t>Pending</t>
        </is>
      </c>
      <c r="J7" s="283" t="n"/>
      <c r="K7" s="287" t="n"/>
    </row>
    <row r="8"/>
    <row r="9">
      <c r="B9" s="293" t="inlineStr">
        <is>
          <t>TOTAL APPROVED COs</t>
        </is>
      </c>
      <c r="C9" s="294" t="n"/>
      <c r="D9" s="259" t="n"/>
      <c r="E9" s="295">
        <f>SUM(F5:F7)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57F17"/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</cols>
  <sheetData>
    <row r="1">
      <c r="B1" s="296" t="inlineStr">
        <is>
          <t>FUNDING DRAW SCHEDULE — Budget vs. Actual Spend</t>
        </is>
      </c>
    </row>
    <row r="2">
      <c r="B2" s="297" t="inlineStr">
        <is>
          <t>Track each funding source draw against actual project expenditures. Updated monthly with each pay application.</t>
        </is>
      </c>
    </row>
    <row r="3"/>
    <row r="4">
      <c r="B4" s="298" t="inlineStr">
        <is>
          <t>Funding Source</t>
        </is>
      </c>
      <c r="C4" s="267" t="inlineStr">
        <is>
          <t>Total Committed ($)</t>
        </is>
      </c>
      <c r="D4" s="267" t="inlineStr">
        <is>
          <t>Draw 1 ($)</t>
        </is>
      </c>
      <c r="E4" s="267" t="inlineStr">
        <is>
          <t>Draw 2 ($)</t>
        </is>
      </c>
      <c r="F4" s="267" t="inlineStr">
        <is>
          <t>Draw 3 ($)</t>
        </is>
      </c>
      <c r="G4" s="267" t="inlineStr">
        <is>
          <t>Draw 4 ($)</t>
        </is>
      </c>
      <c r="H4" s="267" t="inlineStr">
        <is>
          <t>Draw 5 ($)</t>
        </is>
      </c>
      <c r="I4" s="267" t="inlineStr">
        <is>
          <t>Total Drawn ($)</t>
        </is>
      </c>
      <c r="J4" s="267" t="inlineStr">
        <is>
          <t>Remaining ($)</t>
        </is>
      </c>
      <c r="K4" s="267" t="inlineStr">
        <is>
          <t>% Drawn</t>
        </is>
      </c>
    </row>
    <row r="5">
      <c r="B5" s="299" t="inlineStr">
        <is>
          <t>Owner / Developer Equity (Dr. Maxwell)</t>
        </is>
      </c>
      <c r="C5" s="300" t="n">
        <v>2500000</v>
      </c>
      <c r="D5" s="301" t="n"/>
      <c r="E5" s="301" t="n"/>
      <c r="F5" s="301" t="n"/>
      <c r="G5" s="301" t="n"/>
      <c r="H5" s="301" t="n"/>
      <c r="I5" s="300">
        <f>SUM(D5:H5)</f>
        <v/>
      </c>
      <c r="J5" s="300">
        <f>C5-I5</f>
        <v/>
      </c>
      <c r="K5" s="302">
        <f>IFERROR(I5/C5,0)</f>
        <v/>
      </c>
    </row>
    <row r="6">
      <c r="B6" s="299" t="inlineStr">
        <is>
          <t>CDFI Construction Loan (NCALL)</t>
        </is>
      </c>
      <c r="C6" s="303" t="n">
        <v>3500000</v>
      </c>
      <c r="D6" s="301" t="n"/>
      <c r="E6" s="301" t="n"/>
      <c r="F6" s="301" t="n"/>
      <c r="G6" s="301" t="n"/>
      <c r="H6" s="301" t="n"/>
      <c r="I6" s="303">
        <f>SUM(D6:H6)</f>
        <v/>
      </c>
      <c r="J6" s="303">
        <f>C6-I6</f>
        <v/>
      </c>
      <c r="K6" s="304">
        <f>IFERROR(I6/C6,0)</f>
        <v/>
      </c>
    </row>
    <row r="7">
      <c r="B7" s="299" t="inlineStr">
        <is>
          <t>HUD CDBG Grant</t>
        </is>
      </c>
      <c r="C7" s="300" t="n">
        <v>750000</v>
      </c>
      <c r="D7" s="301" t="n"/>
      <c r="E7" s="301" t="n"/>
      <c r="F7" s="301" t="n"/>
      <c r="G7" s="301" t="n"/>
      <c r="H7" s="301" t="n"/>
      <c r="I7" s="300">
        <f>SUM(D7:H7)</f>
        <v/>
      </c>
      <c r="J7" s="300">
        <f>C7-I7</f>
        <v/>
      </c>
      <c r="K7" s="302">
        <f>IFERROR(I7/C7,0)</f>
        <v/>
      </c>
    </row>
    <row r="8">
      <c r="B8" s="299" t="inlineStr">
        <is>
          <t>Delaware DDDS Capital Support</t>
        </is>
      </c>
      <c r="C8" s="303" t="n">
        <v>500000</v>
      </c>
      <c r="D8" s="301" t="n"/>
      <c r="E8" s="301" t="n"/>
      <c r="F8" s="301" t="n"/>
      <c r="G8" s="301" t="n"/>
      <c r="H8" s="301" t="n"/>
      <c r="I8" s="303">
        <f>SUM(D8:H8)</f>
        <v/>
      </c>
      <c r="J8" s="303">
        <f>C8-I8</f>
        <v/>
      </c>
      <c r="K8" s="304">
        <f>IFERROR(I8/C8,0)</f>
        <v/>
      </c>
    </row>
    <row r="9">
      <c r="B9" s="299" t="inlineStr">
        <is>
          <t>Philanthropic Grants (Longwood / Welfare Fdn)</t>
        </is>
      </c>
      <c r="C9" s="300" t="n">
        <v>750000</v>
      </c>
      <c r="D9" s="301" t="n"/>
      <c r="E9" s="301" t="n"/>
      <c r="F9" s="301" t="n"/>
      <c r="G9" s="301" t="n"/>
      <c r="H9" s="301" t="n"/>
      <c r="I9" s="300">
        <f>SUM(D9:H9)</f>
        <v/>
      </c>
      <c r="J9" s="300">
        <f>C9-I9</f>
        <v/>
      </c>
      <c r="K9" s="302">
        <f>IFERROR(I9/C9,0)</f>
        <v/>
      </c>
    </row>
    <row r="10">
      <c r="B10" s="299" t="inlineStr">
        <is>
          <t>Owner Contingency Reserve (escrowed)</t>
        </is>
      </c>
      <c r="C10" s="303" t="n">
        <v>300000</v>
      </c>
      <c r="D10" s="301" t="n"/>
      <c r="E10" s="301" t="n"/>
      <c r="F10" s="301" t="n"/>
      <c r="G10" s="301" t="n"/>
      <c r="H10" s="301" t="n"/>
      <c r="I10" s="303">
        <f>SUM(D10:H10)</f>
        <v/>
      </c>
      <c r="J10" s="303">
        <f>C10-I10</f>
        <v/>
      </c>
      <c r="K10" s="304">
        <f>IFERROR(I10/C10,0)</f>
        <v/>
      </c>
    </row>
    <row r="11">
      <c r="B11" s="305" t="inlineStr">
        <is>
          <t>TOTAL FUNDING</t>
        </is>
      </c>
      <c r="C11" s="306">
        <f>SUM(C5:C10)</f>
        <v/>
      </c>
      <c r="D11" s="306">
        <f>SUM(D5:D10)</f>
        <v/>
      </c>
      <c r="E11" s="306">
        <f>SUM(E5:E10)</f>
        <v/>
      </c>
      <c r="F11" s="306">
        <f>SUM(F5:F10)</f>
        <v/>
      </c>
      <c r="G11" s="306">
        <f>SUM(G5:G10)</f>
        <v/>
      </c>
      <c r="H11" s="306">
        <f>SUM(H5:H10)</f>
        <v/>
      </c>
      <c r="I11" s="306">
        <f>SUM(I5:I10)</f>
        <v/>
      </c>
      <c r="J11" s="306">
        <f>SUM(J5:J10)</f>
        <v/>
      </c>
      <c r="K11" s="307">
        <f>SUM(K5:K10)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57F17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4" customWidth="1" min="5" max="5"/>
    <col width="28" customWidth="1" min="7" max="7"/>
  </cols>
  <sheetData>
    <row r="1">
      <c r="B1" s="308" t="inlineStr">
        <is>
          <t>ALDi GATE DASHBOARD — Project Status Summary</t>
        </is>
      </c>
    </row>
    <row r="2">
      <c r="B2" s="266" t="inlineStr">
        <is>
          <t>One-page project status for owner, AE, and lender reporting. Update at each gate.</t>
        </is>
      </c>
    </row>
    <row r="3"/>
    <row r="4">
      <c r="B4" s="309" t="inlineStr">
        <is>
          <t>Project</t>
        </is>
      </c>
      <c r="C4" s="310">
        <f>COVER!C4</f>
        <v/>
      </c>
      <c r="D4" s="294" t="n"/>
      <c r="E4" s="259" t="n"/>
    </row>
    <row r="5">
      <c r="B5" s="309" t="inlineStr">
        <is>
          <t>Owner</t>
        </is>
      </c>
      <c r="C5" s="310">
        <f>COVER!C6</f>
        <v/>
      </c>
      <c r="D5" s="294" t="n"/>
      <c r="E5" s="259" t="n"/>
    </row>
    <row r="6">
      <c r="B6" s="309" t="inlineStr">
        <is>
          <t>AE</t>
        </is>
      </c>
      <c r="C6" s="310">
        <f>COVER!C7</f>
        <v/>
      </c>
      <c r="D6" s="294" t="n"/>
      <c r="E6" s="259" t="n"/>
    </row>
    <row r="7">
      <c r="B7" s="309" t="inlineStr">
        <is>
          <t>M4Di Lead</t>
        </is>
      </c>
      <c r="C7" s="310">
        <f>COVER!C8</f>
        <v/>
      </c>
      <c r="D7" s="294" t="n"/>
      <c r="E7" s="259" t="n"/>
    </row>
    <row r="8">
      <c r="B8" s="309" t="inlineStr">
        <is>
          <t>Building SF</t>
        </is>
      </c>
      <c r="C8" s="310">
        <f>COVER!C9</f>
        <v/>
      </c>
      <c r="D8" s="294" t="n"/>
      <c r="E8" s="259" t="n"/>
    </row>
    <row r="9">
      <c r="B9" s="309" t="inlineStr">
        <is>
          <t>ALDi Start</t>
        </is>
      </c>
      <c r="C9" s="310">
        <f>COVER!C10</f>
        <v/>
      </c>
      <c r="D9" s="294" t="n"/>
      <c r="E9" s="259" t="n"/>
    </row>
    <row r="10">
      <c r="B10" s="311" t="inlineStr">
        <is>
          <t>M4Di ROM (Locked Baseline)</t>
        </is>
      </c>
      <c r="C10" s="312">
        <f>'BUDGET TRACKER'!D80</f>
        <v/>
      </c>
      <c r="D10" s="294" t="n"/>
      <c r="E10" s="259" t="n"/>
    </row>
    <row r="11">
      <c r="B11" s="313" t="inlineStr">
        <is>
          <t>75% DD Estimate</t>
        </is>
      </c>
      <c r="C11" s="314">
        <f>'BUDGET TRACKER'!E80</f>
        <v/>
      </c>
      <c r="D11" s="294" t="n"/>
      <c r="E11" s="259" t="n"/>
    </row>
    <row r="12">
      <c r="B12" s="309" t="inlineStr">
        <is>
          <t>100% CD / GMP (Contracted)</t>
        </is>
      </c>
      <c r="C12" s="315">
        <f>'BUDGET TRACKER'!F80</f>
        <v/>
      </c>
      <c r="D12" s="294" t="n"/>
      <c r="E12" s="259" t="n"/>
    </row>
    <row r="13">
      <c r="B13" s="316" t="inlineStr">
        <is>
          <t>Actual Cost to Date</t>
        </is>
      </c>
      <c r="C13" s="317">
        <f>'BUDGET TRACKER'!G80</f>
        <v/>
      </c>
      <c r="D13" s="294" t="n"/>
      <c r="E13" s="259" t="n"/>
    </row>
    <row r="14">
      <c r="B14" s="318" t="inlineStr">
        <is>
          <t>ROM vs. Current Estimate Variance</t>
        </is>
      </c>
      <c r="C14" s="319">
        <f>IFERROR('BUDGET TRACKER'!E80-'BUDGET TRACKER'!D80,IFERROR('BUDGET TRACKER'!F80-'BUDGET TRACKER'!D80,"-"))</f>
        <v/>
      </c>
      <c r="D14" s="294" t="n"/>
      <c r="E14" s="259" t="n"/>
    </row>
    <row r="15">
      <c r="B15" s="313" t="inlineStr">
        <is>
          <t>ROM vs. Current Estimate Variance %</t>
        </is>
      </c>
      <c r="C15" s="320">
        <f>IFERROR(('BUDGET TRACKER'!E80-'BUDGET TRACKER'!D80)/'BUDGET TRACKER'!D80,"-")</f>
        <v/>
      </c>
      <c r="D15" s="294" t="n"/>
      <c r="E15" s="259" t="n"/>
    </row>
    <row r="16"/>
    <row r="17">
      <c r="B17" s="321" t="inlineStr">
        <is>
          <t>ALDi GATE STATUS</t>
        </is>
      </c>
    </row>
    <row r="18">
      <c r="B18" s="269" t="inlineStr">
        <is>
          <t>Gate</t>
        </is>
      </c>
      <c r="C18" s="269" t="inlineStr">
        <is>
          <t>Name</t>
        </is>
      </c>
      <c r="D18" s="269" t="inlineStr">
        <is>
          <t>Target Date</t>
        </is>
      </c>
      <c r="E18" s="269" t="inlineStr">
        <is>
          <t>Actual Date</t>
        </is>
      </c>
      <c r="F18" s="269" t="inlineStr">
        <is>
          <t>Status</t>
        </is>
      </c>
      <c r="G18" s="269" t="inlineStr">
        <is>
          <t>Budget Check</t>
        </is>
      </c>
      <c r="H18" s="269" t="inlineStr">
        <is>
          <t>Key Conditions / Notes</t>
        </is>
      </c>
    </row>
    <row r="19">
      <c r="B19" s="322" t="inlineStr">
        <is>
          <t>Gate 0</t>
        </is>
      </c>
      <c r="C19" s="323" t="inlineStr">
        <is>
          <t>Controls Setup + Budget Baseline Lock</t>
        </is>
      </c>
      <c r="D19" s="324" t="n"/>
      <c r="E19" s="324" t="n"/>
      <c r="F19" s="324" t="inlineStr">
        <is>
          <t>In Progress</t>
        </is>
      </c>
      <c r="G19" s="324" t="inlineStr">
        <is>
          <t>ROM Locked</t>
        </is>
      </c>
      <c r="H19" s="325" t="inlineStr">
        <is>
          <t>Project charter issued. Budget baseline = Column D. Procurement calendar set.</t>
        </is>
      </c>
    </row>
    <row r="20">
      <c r="B20" s="322" t="inlineStr">
        <is>
          <t>Gate 1</t>
        </is>
      </c>
      <c r="C20" s="288" t="inlineStr">
        <is>
          <t>Schematic Design Review</t>
        </is>
      </c>
      <c r="D20" s="289" t="n"/>
      <c r="E20" s="289" t="n"/>
      <c r="F20" s="289" t="inlineStr">
        <is>
          <t>Pending</t>
        </is>
      </c>
      <c r="G20" s="289" t="inlineStr">
        <is>
          <t>Target ±15%</t>
        </is>
      </c>
      <c r="H20" s="290" t="inlineStr">
        <is>
          <t>SD documents reviewed. Constructability input provided. DDDS pre-app status confirmed.</t>
        </is>
      </c>
    </row>
    <row r="21">
      <c r="B21" s="322" t="inlineStr">
        <is>
          <t>Gate 2</t>
        </is>
      </c>
      <c r="C21" s="283" t="inlineStr">
        <is>
          <t>Design Development + 75% DD Estimate</t>
        </is>
      </c>
      <c r="D21" s="286" t="n"/>
      <c r="E21" s="286" t="n"/>
      <c r="F21" s="286" t="inlineStr">
        <is>
          <t>Pending</t>
        </is>
      </c>
      <c r="G21" s="286" t="inlineStr">
        <is>
          <t>Column E entered</t>
        </is>
      </c>
      <c r="H21" s="287" t="inlineStr">
        <is>
          <t>DD estimate entered in Column E. Variance log updated. Owner contingency reviewed.</t>
        </is>
      </c>
    </row>
    <row r="22">
      <c r="B22" s="322" t="inlineStr">
        <is>
          <t>Gate 3</t>
        </is>
      </c>
      <c r="C22" s="288" t="inlineStr">
        <is>
          <t>GMP Execution + SOV Entry</t>
        </is>
      </c>
      <c r="D22" s="289" t="n"/>
      <c r="E22" s="289" t="n"/>
      <c r="F22" s="289" t="inlineStr">
        <is>
          <t>Pending</t>
        </is>
      </c>
      <c r="G22" s="289" t="inlineStr">
        <is>
          <t>Column F = GMP</t>
        </is>
      </c>
      <c r="H22" s="290" t="inlineStr">
        <is>
          <t>Contractor SOV entered in Column F. GMP executed. Financing closed.</t>
        </is>
      </c>
    </row>
    <row r="23">
      <c r="B23" s="322" t="inlineStr">
        <is>
          <t>Gate 4</t>
        </is>
      </c>
      <c r="C23" s="283" t="inlineStr">
        <is>
          <t>Construction Controls + Closeout</t>
        </is>
      </c>
      <c r="D23" s="286" t="n"/>
      <c r="E23" s="286" t="n"/>
      <c r="F23" s="286" t="inlineStr">
        <is>
          <t>Pending</t>
        </is>
      </c>
      <c r="G23" s="286" t="inlineStr">
        <is>
          <t>Column G current</t>
        </is>
      </c>
      <c r="H23" s="287" t="inlineStr">
        <is>
          <t>Monthly actual cost updates. CO log maintained. HISTORICAL DB row completed.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5D6A7"/>
    <outlinePr summaryBelow="1" summaryRight="1"/>
    <pageSetUpPr/>
  </sheetPr>
  <dimension ref="B1:F28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30" customWidth="1" min="2" max="2"/>
    <col width="16" customWidth="1" min="3" max="3"/>
    <col width="3" customWidth="1" min="4" max="4"/>
    <col width="24" customWidth="1" min="5" max="5"/>
    <col width="16" customWidth="1" min="6" max="6"/>
  </cols>
  <sheetData>
    <row r="1" ht="37.5" customHeight="1">
      <c r="B1" s="192" t="inlineStr">
        <is>
          <t>COST PER SF — BENCHMARK DASHBOARD</t>
        </is>
      </c>
    </row>
    <row r="2" ht="15" customHeight="1">
      <c r="B2" s="202" t="inlineStr">
        <is>
          <t>Compares current ROM estimate to M4Di historical database and facility type benchmarks.</t>
        </is>
      </c>
    </row>
    <row r="3" ht="21.75" customHeight="1">
      <c r="B3" s="91" t="inlineStr">
        <is>
          <t>Metric</t>
        </is>
      </c>
      <c r="C3" s="91" t="inlineStr">
        <is>
          <t>Value</t>
        </is>
      </c>
      <c r="E3" s="91" t="inlineStr">
        <is>
          <t>Historical Comparison</t>
        </is>
      </c>
      <c r="F3" s="91" t="inlineStr">
        <is>
          <t>Value</t>
        </is>
      </c>
    </row>
    <row r="4" ht="18" customHeight="1">
      <c r="B4" s="23" t="inlineStr">
        <is>
          <t>Project Area (SF)</t>
        </is>
      </c>
      <c r="C4" s="92">
        <f>ASSUMPTIONS!C9</f>
        <v/>
      </c>
      <c r="E4" s="23" t="inlineStr">
        <is>
          <t>Project $/SF vs. Hist. Avg</t>
        </is>
      </c>
      <c r="F4" s="93">
        <f>IFERROR(C6/C7,"N/A - no data")</f>
        <v/>
      </c>
    </row>
    <row r="5" ht="18" customHeight="1">
      <c r="B5" s="23" t="inlineStr">
        <is>
          <t>ROM Construction Cost</t>
        </is>
      </c>
      <c r="C5" s="20">
        <f>'BID SUMMARY'!C12</f>
        <v/>
      </c>
      <c r="E5" s="23" t="inlineStr">
        <is>
          <t>Project $/SF vs. Hist. Median</t>
        </is>
      </c>
      <c r="F5" s="93">
        <f>IFERROR(C6/C8,"N/A - no data")</f>
        <v/>
      </c>
    </row>
    <row r="6" ht="18" customHeight="1">
      <c r="B6" s="23" t="inlineStr">
        <is>
          <t>Calculated Project Cost/SF</t>
        </is>
      </c>
      <c r="C6" s="53">
        <f>'BID SUMMARY'!C14</f>
        <v/>
      </c>
      <c r="E6" s="23" t="inlineStr">
        <is>
          <t>Sanity Check</t>
        </is>
      </c>
      <c r="F6" s="94">
        <f>IF(C6&gt;C10,"Above historical max",IF(C6&gt;C7,"Above historical average",IF(C6&lt;C9,"Below historical min","Within historical range")))</f>
        <v/>
      </c>
    </row>
    <row r="7" ht="18" customHeight="1">
      <c r="B7" s="23" t="inlineStr">
        <is>
          <t>Historical Average $/SF</t>
        </is>
      </c>
      <c r="C7" s="53">
        <f>IFERROR(AVERAGE('HISTORICAL DB'!G4:G103),0)</f>
        <v/>
      </c>
    </row>
    <row r="8" ht="18" customHeight="1">
      <c r="B8" s="23" t="inlineStr">
        <is>
          <t>Historical Median $/SF</t>
        </is>
      </c>
      <c r="C8" s="53">
        <f>IFERROR(MEDIAN('HISTORICAL DB'!G4:G103),0)</f>
        <v/>
      </c>
    </row>
    <row r="9" ht="18" customHeight="1">
      <c r="B9" s="23" t="inlineStr">
        <is>
          <t>Historical Min $/SF</t>
        </is>
      </c>
      <c r="C9" s="53">
        <f>IFERROR(MIN(IF('HISTORICAL DB'!G4:G103&gt;0,'HISTORICAL DB'!G4:G103)),0)</f>
        <v/>
      </c>
    </row>
    <row r="10" ht="18" customHeight="1">
      <c r="B10" s="23" t="inlineStr">
        <is>
          <t>Historical Max $/SF</t>
        </is>
      </c>
      <c r="C10" s="53">
        <f>IFERROR(MAX('HISTORICAL DB'!G4:G103),0)</f>
        <v/>
      </c>
    </row>
    <row r="11" ht="18" customHeight="1">
      <c r="B11" s="23" t="inlineStr">
        <is>
          <t>Historical Data Count</t>
        </is>
      </c>
      <c r="C11" s="92">
        <f>COUNTA('HISTORICAL DB'!A4:A103)</f>
        <v/>
      </c>
    </row>
    <row r="13" ht="19.5" customHeight="1">
      <c r="B13" s="189" t="inlineStr">
        <is>
          <t>FACILITY TYPE BENCHMARK RANGES ($/SF)</t>
        </is>
      </c>
    </row>
    <row r="14" ht="19.5" customHeight="1">
      <c r="B14" s="37" t="inlineStr">
        <is>
          <t>Facility Type</t>
        </is>
      </c>
      <c r="C14" s="37" t="inlineStr">
        <is>
          <t>Low $/SF</t>
        </is>
      </c>
      <c r="D14" s="37" t="inlineStr">
        <is>
          <t>High $/SF</t>
        </is>
      </c>
      <c r="F14" s="37" t="inlineStr">
        <is>
          <t>Check vs. Project</t>
        </is>
      </c>
    </row>
    <row r="15" ht="15.75" customHeight="1">
      <c r="B15" s="39" t="inlineStr">
        <is>
          <t>Community Facility Renovation</t>
        </is>
      </c>
      <c r="C15" s="34" t="n">
        <v>120</v>
      </c>
      <c r="D15" s="34" t="n">
        <v>250</v>
      </c>
      <c r="E15" s="94" t="n"/>
      <c r="F15" s="94">
        <f>IF('BID SUMMARY'!C14=0,"Enter data",IF('BID SUMMARY'!C14&lt;C15,"Below range",IF('BID SUMMARY'!C14&gt;D15,"Above range","Within range")))</f>
        <v/>
      </c>
    </row>
    <row r="16" ht="15.75" customHeight="1">
      <c r="B16" s="46" t="inlineStr">
        <is>
          <t>Church / Faith-Based Renovation</t>
        </is>
      </c>
      <c r="C16" s="34" t="n">
        <v>110</v>
      </c>
      <c r="D16" s="34" t="n">
        <v>230</v>
      </c>
      <c r="E16" s="94" t="n"/>
      <c r="F16" s="94">
        <f>IF('BID SUMMARY'!C14=0,"Enter data",IF('BID SUMMARY'!C14&lt;C16,"Below range",IF('BID SUMMARY'!C14&gt;D16,"Above range","Within range")))</f>
        <v/>
      </c>
    </row>
    <row r="17" ht="15.75" customHeight="1">
      <c r="B17" s="39" t="inlineStr">
        <is>
          <t>Athletic Facility Upgrade</t>
        </is>
      </c>
      <c r="C17" s="34" t="n">
        <v>150</v>
      </c>
      <c r="D17" s="34" t="n">
        <v>320</v>
      </c>
      <c r="E17" s="94" t="n"/>
      <c r="F17" s="94">
        <f>IF('BID SUMMARY'!C14=0,"Enter data",IF('BID SUMMARY'!C14&lt;C17,"Below range",IF('BID SUMMARY'!C14&gt;D17,"Above range","Within range")))</f>
        <v/>
      </c>
    </row>
    <row r="18" ht="15.75" customHeight="1">
      <c r="B18" s="46" t="inlineStr">
        <is>
          <t>Athletic Flooring Replacement</t>
        </is>
      </c>
      <c r="C18" s="34" t="n">
        <v>80</v>
      </c>
      <c r="D18" s="34" t="n">
        <v>165</v>
      </c>
      <c r="E18" s="94" t="n"/>
      <c r="F18" s="94">
        <f>IF('BID SUMMARY'!C14=0,"Enter data",IF('BID SUMMARY'!C14&lt;C18,"Below range",IF('BID SUMMARY'!C14&gt;D18,"Above range","Within range")))</f>
        <v/>
      </c>
    </row>
    <row r="19" ht="15.75" customHeight="1">
      <c r="B19" s="39" t="inlineStr">
        <is>
          <t>Adaptive Reuse — Community Use</t>
        </is>
      </c>
      <c r="C19" s="34" t="n">
        <v>140</v>
      </c>
      <c r="D19" s="34" t="n">
        <v>290</v>
      </c>
      <c r="E19" s="94" t="n"/>
      <c r="F19" s="94">
        <f>IF('BID SUMMARY'!C14=0,"Enter data",IF('BID SUMMARY'!C14&lt;C19,"Below range",IF('BID SUMMARY'!C14&gt;D19,"Above range","Within range")))</f>
        <v/>
      </c>
    </row>
    <row r="20" ht="15.75" customHeight="1">
      <c r="B20" s="46" t="inlineStr">
        <is>
          <t>New Construction — Community Fac.</t>
        </is>
      </c>
      <c r="C20" s="34" t="n">
        <v>220</v>
      </c>
      <c r="D20" s="34" t="n">
        <v>420</v>
      </c>
      <c r="E20" s="94" t="n"/>
      <c r="F20" s="94">
        <f>IF('BID SUMMARY'!C14=0,"Enter data",IF('BID SUMMARY'!C14&lt;C20,"Below range",IF('BID SUMMARY'!C14&gt;D20,"Above range","Within range")))</f>
        <v/>
      </c>
    </row>
    <row r="21" ht="15.75" customHeight="1">
      <c r="B21" s="39" t="inlineStr">
        <is>
          <t>Mixed-Use (residential + community)</t>
        </is>
      </c>
      <c r="C21" s="34" t="n">
        <v>260</v>
      </c>
      <c r="D21" s="34" t="n">
        <v>480</v>
      </c>
      <c r="E21" s="94" t="n"/>
      <c r="F21" s="94">
        <f>IF('BID SUMMARY'!C14=0,"Enter data",IF('BID SUMMARY'!C14&lt;C21,"Below range",IF('BID SUMMARY'!C14&gt;D21,"Above range","Within range")))</f>
        <v/>
      </c>
    </row>
    <row r="24" ht="19.5" customHeight="1">
      <c r="B24" s="190" t="inlineStr">
        <is>
          <t>HOW TO READ THIS DASHBOARD</t>
        </is>
      </c>
    </row>
    <row r="25" ht="27.75" customHeight="1">
      <c r="B25" s="95" t="inlineStr">
        <is>
          <t>If project $/SF is BELOW all ranges:</t>
        </is>
      </c>
      <c r="C25" s="201" t="inlineStr">
        <is>
          <t>Scope may be missing items, quantities may be understated, or allowances are not yet included.</t>
        </is>
      </c>
      <c r="D25" s="294" t="n"/>
      <c r="E25" s="294" t="n"/>
      <c r="F25" s="294" t="n"/>
    </row>
    <row r="26" ht="27.75" customHeight="1">
      <c r="B26" s="95" t="inlineStr">
        <is>
          <t>If project $/SF is ABOVE all ranges:</t>
        </is>
      </c>
      <c r="C26" s="201" t="inlineStr">
        <is>
          <t>Owner selections, specialty equipment, corrosion remediation, or code upgrades may be driving cost.</t>
        </is>
      </c>
      <c r="D26" s="294" t="n"/>
      <c r="E26" s="294" t="n"/>
      <c r="F26" s="294" t="n"/>
    </row>
    <row r="27" ht="27.75" customHeight="1">
      <c r="B27" s="95" t="inlineStr">
        <is>
          <t>If project aligns with historical average:</t>
        </is>
      </c>
      <c r="C27" s="201" t="inlineStr">
        <is>
          <t>ROM is behaving like a plausible early estimate. Continue to P3 for detailed scope confirmation.</t>
        </is>
      </c>
      <c r="D27" s="294" t="n"/>
      <c r="E27" s="294" t="n"/>
      <c r="F27" s="294" t="n"/>
    </row>
    <row r="28" ht="27.75" customHeight="1">
      <c r="B28" s="95" t="inlineStr">
        <is>
          <t>Historical database:</t>
        </is>
      </c>
      <c r="C28" s="201" t="inlineStr">
        <is>
          <t>Replace example rows in HISTORICAL DB with M4Di's own completed projects over time. This is the proprietary asset.</t>
        </is>
      </c>
      <c r="D28" s="294" t="n"/>
      <c r="E28" s="294" t="n"/>
      <c r="F28" s="294" t="n"/>
    </row>
  </sheetData>
  <mergeCells count="8">
    <mergeCell ref="B2:C2"/>
    <mergeCell ref="B24:F24"/>
    <mergeCell ref="C26:F26"/>
    <mergeCell ref="C25:F25"/>
    <mergeCell ref="B1:F1"/>
    <mergeCell ref="C27:F27"/>
    <mergeCell ref="C28:F28"/>
    <mergeCell ref="B13:F13"/>
  </mergeCells>
  <pageMargins left="0.75" right="0.75" top="1" bottom="1" header="0.511811023622047" footer="0.511805555555556"/>
  <pageSetup orientation="portrait" paperSize="9" horizontalDpi="300" verticalDpi="300"/>
  <headerFooter>
    <oddHeader/>
    <oddFooter>&amp;L&amp;8 M4Di — Merge 4 Development Institute, Inc.&amp;C&amp;8 Page &amp;P of &amp;N  ·  Draft — Internal Use Only  ·  © 2026 M4Di, Inc.&amp;R&amp;8 M4Di.Oi™  ALDi™  FeasOps™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9B1C1C"/>
    <outlinePr summaryBelow="1" summaryRight="1"/>
    <pageSetUpPr/>
  </sheetPr>
  <dimension ref="B1:J1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28" customWidth="1" min="2" max="2"/>
    <col width="20" customWidth="1" min="3" max="3"/>
    <col width="18" customWidth="1" min="4" max="4"/>
    <col width="8" customWidth="1" min="5" max="5"/>
    <col width="14" customWidth="1" min="6" max="7"/>
    <col width="10" customWidth="1" min="8" max="8"/>
    <col width="36" customWidth="1" min="9" max="9"/>
    <col width="24" customWidth="1" min="10" max="10"/>
  </cols>
  <sheetData>
    <row r="1" ht="37.5" customHeight="1">
      <c r="B1" s="187" t="inlineStr">
        <is>
          <t>M4Di HISTORICAL PROJECT COST DATABASE — PROPRIETARY ASSET</t>
        </is>
      </c>
    </row>
    <row r="2" ht="30" customHeight="1">
      <c r="B2" s="203" t="inlineStr">
        <is>
          <t>CRITICAL: Enter every completed M4Di engagement in this database. This is M4Di's proprietary competitive advantage. Do not distribute externally. Source for SF BENCHMARK dashboard and annual cost reports.</t>
        </is>
      </c>
    </row>
    <row r="3" ht="27.75" customHeight="1">
      <c r="B3" s="37" t="inlineStr">
        <is>
          <t>Project Name / Code</t>
        </is>
      </c>
      <c r="C3" s="37" t="inlineStr">
        <is>
          <t>Project Type</t>
        </is>
      </c>
      <c r="D3" s="37" t="inlineStr">
        <is>
          <t>Location / Region</t>
        </is>
      </c>
      <c r="E3" s="37" t="inlineStr">
        <is>
          <t>Year
Completed</t>
        </is>
      </c>
      <c r="F3" s="37" t="inlineStr">
        <is>
          <t>Building
Area (SF)</t>
        </is>
      </c>
      <c r="G3" s="37" t="inlineStr">
        <is>
          <t>Final
Const. Cost</t>
        </is>
      </c>
      <c r="H3" s="37" t="inlineStr">
        <is>
          <t>Cost / SF</t>
        </is>
      </c>
      <c r="I3" s="37" t="inlineStr">
        <is>
          <t>Scope Description</t>
        </is>
      </c>
      <c r="J3" s="37" t="inlineStr">
        <is>
          <t>Data Source / Notes</t>
        </is>
      </c>
    </row>
    <row r="4" ht="15.75" customHeight="1">
      <c r="B4" s="96" t="inlineStr">
        <is>
          <t>YMCA Gymnasium Renovation</t>
        </is>
      </c>
      <c r="C4" s="96" t="inlineStr">
        <is>
          <t>Athletic Facility Upgrade</t>
        </is>
      </c>
      <c r="D4" s="96" t="inlineStr">
        <is>
          <t>Pennsylvania</t>
        </is>
      </c>
      <c r="E4" s="96" t="n">
        <v>2023</v>
      </c>
      <c r="F4" s="15" t="n">
        <v>18000</v>
      </c>
      <c r="G4" s="97" t="n">
        <v>3200000</v>
      </c>
      <c r="H4" s="28">
        <f>IFERROR(G4/F4,0)</f>
        <v/>
      </c>
      <c r="I4" s="39" t="inlineStr">
        <is>
          <t>Gym upgrades, flooring, bleachers, scoring equipment, wall padding.</t>
        </is>
      </c>
      <c r="J4" s="41" t="inlineStr">
        <is>
          <t>Example benchmark — replace with M4Di project data</t>
        </is>
      </c>
    </row>
    <row r="5" ht="15.75" customHeight="1">
      <c r="B5" s="98" t="inlineStr">
        <is>
          <t>High School Gymnasium Upgrade</t>
        </is>
      </c>
      <c r="C5" s="98" t="inlineStr">
        <is>
          <t>Athletic Facility Upgrade</t>
        </is>
      </c>
      <c r="D5" s="98" t="inlineStr">
        <is>
          <t>Delaware</t>
        </is>
      </c>
      <c r="E5" s="98" t="n">
        <v>2022</v>
      </c>
      <c r="F5" s="15" t="n">
        <v>12000</v>
      </c>
      <c r="G5" s="97" t="n">
        <v>2100000</v>
      </c>
      <c r="H5" s="28">
        <f>IFERROR(G5/F5,0)</f>
        <v/>
      </c>
      <c r="I5" s="46" t="inlineStr">
        <is>
          <t>Bleacher replacement, floor refinish, scoreboard, accessible path of travel.</t>
        </is>
      </c>
      <c r="J5" s="45" t="inlineStr">
        <is>
          <t>Example benchmark — replace with M4Di project data</t>
        </is>
      </c>
    </row>
    <row r="6" ht="15.75" customHeight="1">
      <c r="B6" s="96" t="inlineStr">
        <is>
          <t>Community Rec Center Interior</t>
        </is>
      </c>
      <c r="C6" s="96" t="inlineStr">
        <is>
          <t>Community Facility Renovation</t>
        </is>
      </c>
      <c r="D6" s="96" t="inlineStr">
        <is>
          <t>Maryland</t>
        </is>
      </c>
      <c r="E6" s="96" t="n">
        <v>2021</v>
      </c>
      <c r="F6" s="15" t="n">
        <v>8000</v>
      </c>
      <c r="G6" s="97" t="n">
        <v>950000</v>
      </c>
      <c r="H6" s="28">
        <f>IFERROR(G6/F6,0)</f>
        <v/>
      </c>
      <c r="I6" s="39" t="inlineStr">
        <is>
          <t>Interior renovation, athletic flooring, community room upgrades.</t>
        </is>
      </c>
      <c r="J6" s="41" t="inlineStr">
        <is>
          <t>Example benchmark — replace with M4Di project data</t>
        </is>
      </c>
    </row>
    <row r="7" ht="15.75" customHeight="1">
      <c r="B7" s="98" t="inlineStr">
        <is>
          <t>Church Fellowship Hall Adaptive Reuse</t>
        </is>
      </c>
      <c r="C7" s="98" t="inlineStr">
        <is>
          <t>Adaptive Reuse — Community Use</t>
        </is>
      </c>
      <c r="D7" s="98" t="inlineStr">
        <is>
          <t>Delaware</t>
        </is>
      </c>
      <c r="E7" s="98" t="n">
        <v>2023</v>
      </c>
      <c r="F7" s="15" t="n">
        <v>6500</v>
      </c>
      <c r="G7" s="97" t="n">
        <v>1450000</v>
      </c>
      <c r="H7" s="28">
        <f>IFERROR(G7/F7,0)</f>
        <v/>
      </c>
      <c r="I7" s="46" t="inlineStr">
        <is>
          <t>Fellowship hall converted to community clinic and gathering space. ADA upgrades.</t>
        </is>
      </c>
      <c r="J7" s="45" t="inlineStr">
        <is>
          <t>Example benchmark — replace with M4Di project data</t>
        </is>
      </c>
    </row>
    <row r="8" ht="15.75" customHeight="1">
      <c r="B8" s="96" t="inlineStr">
        <is>
          <t>Faith-Based Youth Center Renovation</t>
        </is>
      </c>
      <c r="C8" s="96" t="inlineStr">
        <is>
          <t>Community Facility Renovation</t>
        </is>
      </c>
      <c r="D8" s="96" t="inlineStr">
        <is>
          <t>New Jersey</t>
        </is>
      </c>
      <c r="E8" s="96" t="n">
        <v>2024</v>
      </c>
      <c r="F8" s="15" t="n">
        <v>9200</v>
      </c>
      <c r="G8" s="97" t="n">
        <v>2280000</v>
      </c>
      <c r="H8" s="28">
        <f>IFERROR(G8/F8,0)</f>
        <v/>
      </c>
      <c r="I8" s="39" t="inlineStr">
        <is>
          <t>Full interior renovation, new MEP, gymnasium floor, community kitchen.</t>
        </is>
      </c>
      <c r="J8" s="41" t="inlineStr">
        <is>
          <t>Example benchmark — replace with M4Di project data</t>
        </is>
      </c>
    </row>
    <row r="10" ht="15" customHeight="1">
      <c r="B10" s="194" t="inlineStr">
        <is>
          <t>→ ADD NEW COMPLETED PROJECTS ABOVE THIS LINE. Copy Cost/SF formula from column H. Fill all fields at project closeout.</t>
        </is>
      </c>
    </row>
    <row r="12" ht="19.5" customHeight="1">
      <c r="B12" s="188" t="inlineStr">
        <is>
          <t>DATABASE STATISTICS (auto-calculated — used by SF BENCHMARK)</t>
        </is>
      </c>
    </row>
    <row r="13" ht="16.5" customHeight="1">
      <c r="B13" s="23" t="inlineStr">
        <is>
          <t>Total Projects in Database</t>
        </is>
      </c>
      <c r="C13" s="77">
        <f>COUNTA(B4:B9)</f>
        <v/>
      </c>
    </row>
    <row r="14" ht="16.5" customHeight="1">
      <c r="B14" s="23" t="inlineStr">
        <is>
          <t>Average Cost / SF</t>
        </is>
      </c>
      <c r="C14" s="28">
        <f>IFERROR(AVERAGE(H4:H9),0)</f>
        <v/>
      </c>
    </row>
    <row r="15" ht="16.5" customHeight="1">
      <c r="B15" s="23" t="inlineStr">
        <is>
          <t>Median Cost / SF</t>
        </is>
      </c>
      <c r="C15" s="28">
        <f>IFERROR(MEDIAN(H4:H9),0)</f>
        <v/>
      </c>
    </row>
    <row r="16" ht="16.5" customHeight="1">
      <c r="B16" s="23" t="inlineStr">
        <is>
          <t>Minimum Cost / SF</t>
        </is>
      </c>
      <c r="C16" s="28">
        <f>IFERROR(MIN(IF(H4:H9&gt;0,H4:H9)),0)</f>
        <v/>
      </c>
    </row>
    <row r="17" ht="16.5" customHeight="1">
      <c r="B17" s="23" t="inlineStr">
        <is>
          <t>Maximum Cost / SF</t>
        </is>
      </c>
      <c r="C17" s="28">
        <f>IFERROR(MAX(H4:H9),0)</f>
        <v/>
      </c>
    </row>
  </sheetData>
  <mergeCells count="4">
    <mergeCell ref="B10:J10"/>
    <mergeCell ref="B12:J12"/>
    <mergeCell ref="B1:J1"/>
    <mergeCell ref="B2:J2"/>
  </mergeCells>
  <pageMargins left="0.75" right="0.75" top="1" bottom="1" header="0.511811023622047" footer="0.511805555555556"/>
  <pageSetup orientation="portrait" paperSize="9" horizontalDpi="300" verticalDpi="300"/>
  <headerFooter>
    <oddHeader/>
    <oddFooter>&amp;L&amp;8 M4Di — Merge 4 Development Institute, Inc.&amp;C&amp;8 Page &amp;P of &amp;N  ·  Draft — Internal Use Only  ·  © 2026 M4Di, Inc.&amp;R&amp;8 M4Di.Oi™  ALDi™  FeasOps™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78909C"/>
    <outlinePr summaryBelow="1" summaryRight="1"/>
    <pageSetUpPr/>
  </sheetPr>
  <dimension ref="B1:H91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32" customWidth="1" min="2" max="2"/>
    <col width="16" customWidth="1" min="3" max="4"/>
    <col width="14" customWidth="1" min="5" max="7"/>
    <col width="36" customWidth="1" min="8" max="8"/>
  </cols>
  <sheetData>
    <row r="1" ht="37.5" customHeight="1">
      <c r="B1" s="187" t="inlineStr">
        <is>
          <t>SOFT COSTS — Professional Fees &amp; Pre-Construction Budget</t>
        </is>
      </c>
    </row>
    <row r="2" ht="36" customHeight="1">
      <c r="B2" s="222" t="inlineStr">
        <is>
          <t>Soft costs are calculated as a percentage of the Total Hard Cost ROM (from BID SUMMARY). Architecture fee uses the M4Di Base Fee Schedule (AIA-aligned). Engineering and specialty fees use benchmark percentages adjustable per project. All rates are user-overridable.</t>
        </is>
      </c>
    </row>
    <row r="4" ht="19.5" customHeight="1">
      <c r="B4" s="188" t="inlineStr">
        <is>
          <t>A — PROJECT BASIS (from ASSUMPTIONS &amp; BID SUMMARY)</t>
        </is>
      </c>
    </row>
    <row r="5" ht="18" customHeight="1">
      <c r="B5" s="110" t="inlineStr">
        <is>
          <t>Total Hard Cost ROM</t>
        </is>
      </c>
      <c r="C5" s="20">
        <f>'BID SUMMARY'!C12</f>
        <v/>
      </c>
      <c r="D5" s="220" t="inlineStr">
        <is>
          <t>Pulled from BID SUMMARY. This is the construction cost base for all fee calculations.</t>
        </is>
      </c>
      <c r="E5" s="294" t="n"/>
      <c r="F5" s="294" t="n"/>
      <c r="G5" s="294" t="n"/>
      <c r="H5" s="294" t="n"/>
    </row>
    <row r="6" ht="18" customHeight="1">
      <c r="B6" s="110" t="inlineStr">
        <is>
          <t>Project Type (for fee schedule)</t>
        </is>
      </c>
      <c r="C6" s="111">
        <f>ASSUMPTIONS!C6</f>
        <v/>
      </c>
      <c r="D6" s="220" t="inlineStr">
        <is>
          <t>Auto-pulled from ASSUMPTIONS. Drives fee type classification below.</t>
        </is>
      </c>
      <c r="E6" s="294" t="n"/>
      <c r="F6" s="294" t="n"/>
      <c r="G6" s="294" t="n"/>
      <c r="H6" s="294" t="n"/>
    </row>
    <row r="7" ht="18" customHeight="1">
      <c r="B7" s="110" t="inlineStr">
        <is>
          <t>Estimate Phase</t>
        </is>
      </c>
      <c r="C7" s="111">
        <f>ASSUMPTIONS!C5</f>
        <v/>
      </c>
      <c r="D7" s="220" t="inlineStr">
        <is>
          <t>ROM / Conceptual | Schematic | Design Development | GMP</t>
        </is>
      </c>
      <c r="E7" s="294" t="n"/>
      <c r="F7" s="294" t="n"/>
      <c r="G7" s="294" t="n"/>
      <c r="H7" s="294" t="n"/>
    </row>
    <row r="8" ht="18" customHeight="1">
      <c r="B8" s="110" t="inlineStr">
        <is>
          <t>Gross Area (SF)</t>
        </is>
      </c>
      <c r="C8" s="112">
        <f>ASSUMPTIONS!C9</f>
        <v/>
      </c>
      <c r="D8" s="220" t="inlineStr">
        <is>
          <t>From ASSUMPTIONS. Used for cost/SF benchmarking.</t>
        </is>
      </c>
      <c r="E8" s="294" t="n"/>
      <c r="F8" s="294" t="n"/>
      <c r="G8" s="294" t="n"/>
      <c r="H8" s="294" t="n"/>
    </row>
    <row r="10" ht="19.5" customHeight="1">
      <c r="B10" s="191" t="inlineStr">
        <is>
          <t>B — ARCHITECTURE FEE (M4Di Base Fee Schedule)</t>
        </is>
      </c>
    </row>
    <row r="11" ht="31.5" customHeight="1">
      <c r="B11" s="221" t="inlineStr">
        <is>
          <t>Fee lookup uses the M4Di Base Fee Schedule. Select the Project Type Code (A–E) based on complexity. For renovation/adaptive reuse, apply the renovation premium. New Construction = base rate only. Renovation = base + premium.</t>
        </is>
      </c>
    </row>
    <row r="13" ht="19.5" customHeight="1">
      <c r="B13" s="211" t="inlineStr">
        <is>
          <t>FEE SCHEDULE REFERENCE TABLE — Base % of Construction Cost</t>
        </is>
      </c>
    </row>
    <row r="14" ht="18" customHeight="1">
      <c r="B14" s="113" t="inlineStr">
        <is>
          <t>Construction Budget Range</t>
        </is>
      </c>
      <c r="C14" s="113" t="n"/>
      <c r="D14" s="113" t="inlineStr">
        <is>
          <t>Type A</t>
        </is>
      </c>
      <c r="E14" s="113" t="inlineStr">
        <is>
          <t>Type B</t>
        </is>
      </c>
      <c r="F14" s="113" t="inlineStr">
        <is>
          <t>Type C</t>
        </is>
      </c>
      <c r="G14" s="113" t="inlineStr">
        <is>
          <t>Type D</t>
        </is>
      </c>
      <c r="H14" s="113" t="inlineStr">
        <is>
          <t>Type E</t>
        </is>
      </c>
    </row>
    <row r="15" ht="15" customHeight="1">
      <c r="B15" s="218" t="inlineStr">
        <is>
          <t>Up to  –  $49,999</t>
        </is>
      </c>
      <c r="C15" s="294" t="n"/>
      <c r="D15" s="114" t="n">
        <v>0.089</v>
      </c>
      <c r="E15" s="114" t="n">
        <v>0.099</v>
      </c>
      <c r="F15" s="114" t="n">
        <v>0.109</v>
      </c>
      <c r="G15" s="114" t="n">
        <v>0.117</v>
      </c>
      <c r="H15" s="114" t="n">
        <v>0.12</v>
      </c>
    </row>
    <row r="16" ht="15" customHeight="1">
      <c r="B16" s="217" t="inlineStr">
        <is>
          <t>$50,000  –  $99,999</t>
        </is>
      </c>
      <c r="C16" s="294" t="n"/>
      <c r="D16" s="115" t="n">
        <v>0.08400000000000001</v>
      </c>
      <c r="E16" s="115" t="n">
        <v>0.094</v>
      </c>
      <c r="F16" s="115" t="n">
        <v>0.107</v>
      </c>
      <c r="G16" s="115" t="n">
        <v>0.111</v>
      </c>
      <c r="H16" s="115" t="n">
        <v>0.119</v>
      </c>
    </row>
    <row r="17" ht="15" customHeight="1">
      <c r="B17" s="218" t="inlineStr">
        <is>
          <t>$100,000  –  $149,999</t>
        </is>
      </c>
      <c r="C17" s="294" t="n"/>
      <c r="D17" s="114" t="n">
        <v>0.081</v>
      </c>
      <c r="E17" s="114" t="n">
        <v>0.091</v>
      </c>
      <c r="F17" s="114" t="n">
        <v>0.104</v>
      </c>
      <c r="G17" s="114" t="n">
        <v>0.109</v>
      </c>
      <c r="H17" s="114" t="n">
        <v>0.115</v>
      </c>
    </row>
    <row r="18" ht="15" customHeight="1">
      <c r="B18" s="217" t="inlineStr">
        <is>
          <t>$150,000  –  $199,999</t>
        </is>
      </c>
      <c r="C18" s="294" t="n"/>
      <c r="D18" s="115" t="n">
        <v>0.079</v>
      </c>
      <c r="E18" s="115" t="n">
        <v>0.089</v>
      </c>
      <c r="F18" s="115" t="n">
        <v>0.101</v>
      </c>
      <c r="G18" s="115" t="n">
        <v>0.105</v>
      </c>
      <c r="H18" s="115" t="n">
        <v>0.112</v>
      </c>
    </row>
    <row r="19" ht="15" customHeight="1">
      <c r="B19" s="218" t="inlineStr">
        <is>
          <t>$200,000  –  $299,999</t>
        </is>
      </c>
      <c r="C19" s="294" t="n"/>
      <c r="D19" s="114" t="n">
        <v>0.074</v>
      </c>
      <c r="E19" s="114" t="n">
        <v>0.08400000000000001</v>
      </c>
      <c r="F19" s="114" t="n">
        <v>0.099</v>
      </c>
      <c r="G19" s="114" t="n">
        <v>0.103</v>
      </c>
      <c r="H19" s="114" t="n">
        <v>0.11</v>
      </c>
    </row>
    <row r="20" ht="15" customHeight="1">
      <c r="B20" s="217" t="inlineStr">
        <is>
          <t>$300,000  –  $499,999</t>
        </is>
      </c>
      <c r="C20" s="294" t="n"/>
      <c r="D20" s="115" t="n">
        <v>0.07199999999999999</v>
      </c>
      <c r="E20" s="115" t="n">
        <v>0.082</v>
      </c>
      <c r="F20" s="115" t="n">
        <v>0.094</v>
      </c>
      <c r="G20" s="115" t="n">
        <v>0.1</v>
      </c>
      <c r="H20" s="115" t="n">
        <v>0.107</v>
      </c>
    </row>
    <row r="21" ht="15" customHeight="1">
      <c r="B21" s="218" t="inlineStr">
        <is>
          <t>$500,000  –  $749,999</t>
        </is>
      </c>
      <c r="C21" s="294" t="n"/>
      <c r="D21" s="114" t="n">
        <v>0.06900000000000001</v>
      </c>
      <c r="E21" s="114" t="n">
        <v>0.079</v>
      </c>
      <c r="F21" s="114" t="n">
        <v>0.091</v>
      </c>
      <c r="G21" s="114" t="n">
        <v>0.097</v>
      </c>
      <c r="H21" s="114" t="n">
        <v>0.104</v>
      </c>
    </row>
    <row r="22" ht="15" customHeight="1">
      <c r="B22" s="217" t="inlineStr">
        <is>
          <t>$750,000  –  $999,999</t>
        </is>
      </c>
      <c r="C22" s="294" t="n"/>
      <c r="D22" s="115" t="n">
        <v>0.067</v>
      </c>
      <c r="E22" s="115" t="n">
        <v>0.077</v>
      </c>
      <c r="F22" s="115" t="n">
        <v>0.089</v>
      </c>
      <c r="G22" s="115" t="n">
        <v>0.094</v>
      </c>
      <c r="H22" s="115" t="n">
        <v>0.101</v>
      </c>
    </row>
    <row r="23" ht="15" customHeight="1">
      <c r="B23" s="218" t="inlineStr">
        <is>
          <t>$1,000,000  –  $1,499,999</t>
        </is>
      </c>
      <c r="C23" s="294" t="n"/>
      <c r="D23" s="114" t="n">
        <v>0.064</v>
      </c>
      <c r="E23" s="114" t="n">
        <v>0.074</v>
      </c>
      <c r="F23" s="114" t="n">
        <v>0.08400000000000001</v>
      </c>
      <c r="G23" s="114" t="n">
        <v>0.091</v>
      </c>
      <c r="H23" s="114" t="n">
        <v>0.098</v>
      </c>
    </row>
    <row r="24" ht="15" customHeight="1">
      <c r="B24" s="217" t="inlineStr">
        <is>
          <t>$1,500,000  –  $1,999,999</t>
        </is>
      </c>
      <c r="C24" s="294" t="n"/>
      <c r="D24" s="115" t="n">
        <v>0.062</v>
      </c>
      <c r="E24" s="115" t="n">
        <v>0.07199999999999999</v>
      </c>
      <c r="F24" s="115" t="n">
        <v>0.082</v>
      </c>
      <c r="G24" s="115" t="n">
        <v>0.08799999999999999</v>
      </c>
      <c r="H24" s="115" t="n">
        <v>0.095</v>
      </c>
    </row>
    <row r="25" ht="15" customHeight="1">
      <c r="B25" s="218" t="inlineStr">
        <is>
          <t>$2,000,000  –  $2,999,999</t>
        </is>
      </c>
      <c r="C25" s="294" t="n"/>
      <c r="D25" s="114" t="n">
        <v>0.059</v>
      </c>
      <c r="E25" s="114" t="n">
        <v>0.06900000000000001</v>
      </c>
      <c r="F25" s="114" t="n">
        <v>0.079</v>
      </c>
      <c r="G25" s="114" t="n">
        <v>0.08500000000000001</v>
      </c>
      <c r="H25" s="114" t="n">
        <v>0.092</v>
      </c>
    </row>
    <row r="26" ht="15" customHeight="1">
      <c r="B26" s="217" t="inlineStr">
        <is>
          <t>$3,000,000  –  $3,999,999</t>
        </is>
      </c>
      <c r="C26" s="294" t="n"/>
      <c r="D26" s="115" t="n">
        <v>0.057</v>
      </c>
      <c r="E26" s="115" t="n">
        <v>0.067</v>
      </c>
      <c r="F26" s="115" t="n">
        <v>0.077</v>
      </c>
      <c r="G26" s="115" t="n">
        <v>0.083</v>
      </c>
      <c r="H26" s="115" t="n">
        <v>0.09</v>
      </c>
    </row>
    <row r="27" ht="15" customHeight="1">
      <c r="B27" s="218" t="inlineStr">
        <is>
          <t>$4,000,000  –  $4,999,999</t>
        </is>
      </c>
      <c r="C27" s="294" t="n"/>
      <c r="D27" s="114" t="n">
        <v>0.054</v>
      </c>
      <c r="E27" s="114" t="n">
        <v>0.064</v>
      </c>
      <c r="F27" s="114" t="n">
        <v>0.074</v>
      </c>
      <c r="G27" s="114" t="n">
        <v>0.081</v>
      </c>
      <c r="H27" s="114" t="n">
        <v>0.08799999999999999</v>
      </c>
    </row>
    <row r="28" ht="15" customHeight="1">
      <c r="B28" s="217" t="inlineStr">
        <is>
          <t>$5,000,000  –  $7,999,999</t>
        </is>
      </c>
      <c r="C28" s="294" t="n"/>
      <c r="D28" s="115" t="n">
        <v>0.052</v>
      </c>
      <c r="E28" s="115" t="n">
        <v>0.062</v>
      </c>
      <c r="F28" s="115" t="n">
        <v>0.07199999999999999</v>
      </c>
      <c r="G28" s="115" t="n">
        <v>0.079</v>
      </c>
      <c r="H28" s="115" t="n">
        <v>0.08599999999999999</v>
      </c>
    </row>
    <row r="29" ht="15" customHeight="1">
      <c r="B29" s="218" t="inlineStr">
        <is>
          <t>$8,000,000  –  $11,999,999</t>
        </is>
      </c>
      <c r="C29" s="294" t="n"/>
      <c r="D29" s="114" t="n">
        <v>0.049</v>
      </c>
      <c r="E29" s="114" t="n">
        <v>0.059</v>
      </c>
      <c r="F29" s="114" t="n">
        <v>0.07099999999999999</v>
      </c>
      <c r="G29" s="114" t="n">
        <v>0.077</v>
      </c>
      <c r="H29" s="114" t="n">
        <v>0.08400000000000001</v>
      </c>
    </row>
    <row r="30" ht="15" customHeight="1">
      <c r="B30" s="217" t="inlineStr">
        <is>
          <t>$12,000,000  –  $14,999,999</t>
        </is>
      </c>
      <c r="C30" s="294" t="n"/>
      <c r="D30" s="115" t="n">
        <v>0.047</v>
      </c>
      <c r="E30" s="115" t="n">
        <v>0.057</v>
      </c>
      <c r="F30" s="115" t="n">
        <v>0.06900000000000001</v>
      </c>
      <c r="G30" s="115" t="n">
        <v>0.07099999999999999</v>
      </c>
      <c r="H30" s="115" t="n">
        <v>0.076</v>
      </c>
    </row>
    <row r="31" ht="15" customHeight="1">
      <c r="B31" s="218" t="inlineStr">
        <is>
          <t>$15,000,000  –  $19,999,999</t>
        </is>
      </c>
      <c r="C31" s="294" t="n"/>
      <c r="D31" s="114" t="n">
        <v>0.044</v>
      </c>
      <c r="E31" s="114" t="n">
        <v>0.054</v>
      </c>
      <c r="F31" s="114" t="n">
        <v>0.067</v>
      </c>
      <c r="G31" s="114" t="n">
        <v>0.06900000000000001</v>
      </c>
      <c r="H31" s="114" t="n">
        <v>0.074</v>
      </c>
    </row>
    <row r="32" ht="15" customHeight="1">
      <c r="B32" s="217" t="inlineStr">
        <is>
          <t>$20,000,000  –  $24,999,999</t>
        </is>
      </c>
      <c r="C32" s="294" t="n"/>
      <c r="D32" s="115" t="n">
        <v>0.042</v>
      </c>
      <c r="E32" s="115" t="n">
        <v>0.052</v>
      </c>
      <c r="F32" s="115" t="n">
        <v>0.064</v>
      </c>
      <c r="G32" s="115" t="n">
        <v>0.067</v>
      </c>
      <c r="H32" s="115" t="n">
        <v>0.07199999999999999</v>
      </c>
    </row>
    <row r="33" ht="15" customHeight="1">
      <c r="B33" s="219" t="inlineStr">
        <is>
          <t>Renovation premium (add to above)</t>
        </is>
      </c>
      <c r="C33" s="294" t="n"/>
      <c r="D33" s="116" t="n">
        <v>0.005</v>
      </c>
      <c r="E33" s="116" t="n">
        <v>0.0065</v>
      </c>
      <c r="F33" s="116" t="n">
        <v>0.0075</v>
      </c>
      <c r="G33" s="116" t="n">
        <v>0.008500000000000001</v>
      </c>
      <c r="H33" s="116" t="n">
        <v>0.01</v>
      </c>
    </row>
    <row r="35" ht="19.5" customHeight="1">
      <c r="B35" s="211" t="inlineStr">
        <is>
          <t>PROJECT TYPE CLASSIFICATION — Select the code that matches your facility</t>
        </is>
      </c>
    </row>
    <row r="36" ht="15.75" customHeight="1">
      <c r="B36" s="117" t="inlineStr">
        <is>
          <t>Type A</t>
        </is>
      </c>
      <c r="C36" s="215" t="inlineStr">
        <is>
          <t>Warehouse, Public Garage, Residential (standard)</t>
        </is>
      </c>
      <c r="D36" s="294" t="n"/>
      <c r="E36" s="294" t="n"/>
      <c r="F36" s="294" t="n"/>
      <c r="G36" s="294" t="n"/>
      <c r="H36" s="294" t="n"/>
    </row>
    <row r="37" ht="15.75" customHeight="1">
      <c r="B37" s="118" t="inlineStr">
        <is>
          <t>Type B</t>
        </is>
      </c>
      <c r="C37" s="216" t="inlineStr">
        <is>
          <t>Office, Parking Facility, Retail, Visitor Center, Maintenance Garage, Tenant Fit-out</t>
        </is>
      </c>
      <c r="D37" s="294" t="n"/>
      <c r="E37" s="294" t="n"/>
      <c r="F37" s="294" t="n"/>
      <c r="G37" s="294" t="n"/>
      <c r="H37" s="294" t="n"/>
    </row>
    <row r="38" ht="15.75" customHeight="1">
      <c r="B38" s="117" t="inlineStr">
        <is>
          <t>Type C</t>
        </is>
      </c>
      <c r="C38" s="215" t="inlineStr">
        <is>
          <t>School, Training Facility, Day Care, Fitness Center, Mixed-Use, Adult Care, Laundry</t>
        </is>
      </c>
      <c r="D38" s="294" t="n"/>
      <c r="E38" s="294" t="n"/>
      <c r="F38" s="294" t="n"/>
      <c r="G38" s="294" t="n"/>
      <c r="H38" s="294" t="n"/>
    </row>
    <row r="39" ht="15.75" customHeight="1">
      <c r="B39" s="118" t="inlineStr">
        <is>
          <t>Type D</t>
        </is>
      </c>
      <c r="C39" s="216" t="inlineStr">
        <is>
          <t>Library, Restaurant, Theater (no stage), Outpatient Clinic, Detention, Courthouse, Data Center</t>
        </is>
      </c>
      <c r="D39" s="294" t="n"/>
      <c r="E39" s="294" t="n"/>
      <c r="F39" s="294" t="n"/>
      <c r="G39" s="294" t="n"/>
      <c r="H39" s="294" t="n"/>
    </row>
    <row r="40" ht="15.75" customHeight="1">
      <c r="B40" s="117" t="inlineStr">
        <is>
          <t>Type E</t>
        </is>
      </c>
      <c r="C40" s="215" t="inlineStr">
        <is>
          <t>Hospital, Research, Museum, Stadium, Prison, Emergency Ops, Theater/Auditorium with stage</t>
        </is>
      </c>
      <c r="D40" s="294" t="n"/>
      <c r="E40" s="294" t="n"/>
      <c r="F40" s="294" t="n"/>
      <c r="G40" s="294" t="n"/>
      <c r="H40" s="294" t="n"/>
    </row>
    <row r="41" ht="15.75" customHeight="1">
      <c r="B41" s="119" t="inlineStr">
        <is>
          <t>M4Di Default — Community Facility Renovation</t>
        </is>
      </c>
      <c r="C41" s="212" t="inlineStr">
        <is>
          <t>Use Type C (Fitness Center / Mixed-Use) for church/community renovation. Use Type D for clinic or complex adaptive reuse.</t>
        </is>
      </c>
      <c r="D41" s="294" t="n"/>
      <c r="E41" s="294" t="n"/>
      <c r="F41" s="294" t="n"/>
      <c r="G41" s="294" t="n"/>
      <c r="H41" s="294" t="n"/>
    </row>
    <row r="44" ht="19.5" customHeight="1">
      <c r="B44" s="189" t="inlineStr">
        <is>
          <t>C — FEE INPUTS &amp; CALCULATIONS (enter yellow cells; formulas auto-populate)</t>
        </is>
      </c>
    </row>
    <row r="45" ht="30" customHeight="1">
      <c r="B45" s="120" t="inlineStr">
        <is>
          <t>Discipline / Fee Item</t>
        </is>
      </c>
      <c r="C45" s="120" t="inlineStr">
        <is>
          <t>% of Hard Cost
(enter or auto)</t>
        </is>
      </c>
      <c r="D45" s="120" t="inlineStr">
        <is>
          <t>Calculated Fee
($)</t>
        </is>
      </c>
      <c r="E45" s="120" t="inlineStr">
        <is>
          <t>User Override
($ if fixed)</t>
        </is>
      </c>
      <c r="F45" s="120" t="inlineStr">
        <is>
          <t>Fee Used
(calc or override)</t>
        </is>
      </c>
      <c r="G45" s="120" t="inlineStr">
        <is>
          <t>Included
in Budget?</t>
        </is>
      </c>
      <c r="H45" s="120" t="inlineStr">
        <is>
          <t>Notes / Assumptions</t>
        </is>
      </c>
    </row>
    <row r="46" ht="18" customHeight="1">
      <c r="B46" s="213" t="inlineStr">
        <is>
          <t>PROJECT TYPE CODE &amp; RENOVATION SELECTION (user inputs)</t>
        </is>
      </c>
    </row>
    <row r="47" ht="24" customHeight="1">
      <c r="B47" s="121" t="inlineStr">
        <is>
          <t>AIA Project Type Code (A / B / C / D / E)</t>
        </is>
      </c>
      <c r="C47" s="122" t="inlineStr">
        <is>
          <t>C</t>
        </is>
      </c>
      <c r="D47" s="209" t="inlineStr">
        <is>
          <t>Type A=warehouse/parking, B=office/retail, C=school/fitness/mixed-use (M4Di default), D=clinic/library/theater, E=hospital/research. See guide above.</t>
        </is>
      </c>
      <c r="E47" s="294" t="n"/>
      <c r="F47" s="294" t="n"/>
      <c r="G47" s="294" t="n"/>
      <c r="H47" s="294" t="n"/>
    </row>
    <row r="48" ht="21.75" customHeight="1">
      <c r="B48" s="121" t="inlineStr">
        <is>
          <t>Renovation / Adaptive Reuse? (Yes / No)</t>
        </is>
      </c>
      <c r="C48" s="55" t="inlineStr">
        <is>
          <t>Yes</t>
        </is>
      </c>
      <c r="D48" s="214" t="inlineStr">
        <is>
          <t>Yes: adds renovation premium to base Arch fee per fee schedule. WHACC = Yes (interior improvement + adaptive reuse elements).</t>
        </is>
      </c>
      <c r="E48" s="294" t="n"/>
      <c r="F48" s="294" t="n"/>
      <c r="G48" s="294" t="n"/>
      <c r="H48" s="294" t="n"/>
    </row>
    <row r="50" ht="19.5" customHeight="1">
      <c r="B50" s="189" t="inlineStr">
        <is>
          <t>ARCHITECTURE &amp; ENGINEERING FEES</t>
        </is>
      </c>
    </row>
    <row r="51" ht="27.75" customHeight="1">
      <c r="B51" s="123" t="inlineStr">
        <is>
          <t>Discipline / Fee Item</t>
        </is>
      </c>
      <c r="C51" s="120" t="inlineStr">
        <is>
          <t>% of Hard Cost</t>
        </is>
      </c>
      <c r="D51" s="120" t="inlineStr">
        <is>
          <t>Calculated Fee ($)</t>
        </is>
      </c>
      <c r="E51" s="124" t="inlineStr">
        <is>
          <t>User Override ($)
leave blank = use calc</t>
        </is>
      </c>
      <c r="F51" s="120" t="inlineStr">
        <is>
          <t>Fee Used</t>
        </is>
      </c>
      <c r="G51" s="120" t="inlineStr">
        <is>
          <t>Include?</t>
        </is>
      </c>
      <c r="H51" s="120" t="inlineStr">
        <is>
          <t>Notes / Source</t>
        </is>
      </c>
    </row>
    <row r="52" ht="18" customHeight="1">
      <c r="B52" s="33" t="inlineStr">
        <is>
          <t>Architecture — Base Fee (fee schedule)</t>
        </is>
      </c>
      <c r="C52" s="125">
        <f>IFERROR(IF(C47="A",IF(C5&lt;50000,D15,IF(C5&lt;100000,D16,IF(C5&lt;150000,D17,IF(C5&lt;200000,D18,IF(C5&lt;300000,D19,IF(C5&lt;500000,D20,IF(C5&lt;750000,D21,IF(C5&lt;1000000,D22,IF(C5&lt;1500000,D23,IF(C5&lt;2000000,D24,IF(C5&lt;3000000,D25,IF(C5&lt;4000000,D26,IF(C5&lt;5000000,D27,IF(C5&lt;8000000,D28,IF(C5&lt;12000000,D29,IF(C5&lt;15000000,D30,IF(C5&lt;20000000,D31,D32))))))))))))))))),IF(C47="B",IF(C5&lt;50000,E15,IF(C5&lt;100000,E16,IF(C5&lt;150000,E17,IF(C5&lt;200000,E18,IF(C5&lt;300000,E19,IF(C5&lt;500000,E20,IF(C5&lt;750000,E21,IF(C5&lt;1000000,E22,IF(C5&lt;1500000,E23,IF(C5&lt;2000000,E24,IF(C5&lt;3000000,E25,IF(C5&lt;4000000,E26,IF(C5&lt;5000000,E27,IF(C5&lt;8000000,E28,IF(C5&lt;12000000,E29,IF(C5&lt;15000000,E30,IF(C5&lt;20000000,E31,E32))))))))))))))))),IF(C47="C",IF(C5&lt;50000,F15,IF(C5&lt;100000,F16,IF(C5&lt;150000,F17,IF(C5&lt;200000,F18,IF(C5&lt;300000,F19,IF(C5&lt;500000,F20,IF(C5&lt;750000,F21,IF(C5&lt;1000000,F22,IF(C5&lt;1500000,F23,IF(C5&lt;2000000,F24,IF(C5&lt;3000000,F25,IF(C5&lt;4000000,F26,IF(C5&lt;5000000,F27,IF(C5&lt;8000000,F28,IF(C5&lt;12000000,F29,IF(C5&lt;15000000,F30,IF(C5&lt;20000000,F31,F32))))))))))))))))),IF(C47="D",IF(C5&lt;50000,G15,IF(C5&lt;100000,G16,IF(C5&lt;150000,G17,IF(C5&lt;200000,G18,IF(C5&lt;300000,G19,IF(C5&lt;500000,G20,IF(C5&lt;750000,G21,IF(C5&lt;1000000,G22,IF(C5&lt;1500000,G23,IF(C5&lt;2000000,G24,IF(C5&lt;3000000,G25,IF(C5&lt;4000000,G26,IF(C5&lt;5000000,G27,IF(C5&lt;8000000,G28,IF(C5&lt;12000000,G29,IF(C5&lt;15000000,G30,IF(C5&lt;20000000,G31,G32))))))))))))))))),IF(C47="E",IF(C5&lt;50000,H15,IF(C5&lt;100000,H16,IF(C5&lt;150000,H17,IF(C5&lt;200000,H18,IF(C5&lt;300000,H19,IF(C5&lt;500000,H20,IF(C5&lt;750000,H21,IF(C5&lt;1000000,H22,IF(C5&lt;1500000,H23,IF(C5&lt;2000000,H24,IF(C5&lt;3000000,H25,IF(C5&lt;4000000,H26,IF(C5&lt;5000000,H27,IF(C5&lt;8000000,H28,IF(C5&lt;12000000,H29,IF(C5&lt;15000000,H30,IF(C5&lt;20000000,H31,H32))))))))))))))))),0))))),0)</f>
        <v/>
      </c>
      <c r="D52" s="54">
        <f>C5*C52</f>
        <v/>
      </c>
      <c r="E52" s="97" t="n"/>
      <c r="F52" s="126">
        <f>IF(AND(E52&lt;&gt;"",E52&lt;&gt;0),E52,D52)</f>
        <v/>
      </c>
      <c r="G52" s="55" t="inlineStr">
        <is>
          <t>Yes</t>
        </is>
      </c>
      <c r="H52" s="127" t="inlineStr">
        <is>
          <t>Auto-calculated from M4Di Base Fee Schedule. Based on construction cost tier and Type Code.</t>
        </is>
      </c>
    </row>
    <row r="53" ht="18" customHeight="1">
      <c r="B53" s="75" t="inlineStr">
        <is>
          <t xml:space="preserve">  + Renovation Premium (if applicable)</t>
        </is>
      </c>
      <c r="C53" s="125">
        <f>IF(C48="Yes",IF(C47="A",D33,IF(C47="B",E33,IF(C47="C",F33,IF(C47="D",G33,IF(C47="E",H33,0))))),0)</f>
        <v/>
      </c>
      <c r="D53" s="54">
        <f>C5*C53</f>
        <v/>
      </c>
      <c r="E53" s="97" t="n"/>
      <c r="F53" s="54">
        <f>IF(AND(E53&lt;&gt;"",E53&lt;&gt;0),E53,D53)</f>
        <v/>
      </c>
      <c r="G53" s="55" t="inlineStr">
        <is>
          <t>Yes</t>
        </is>
      </c>
      <c r="H53" s="128" t="inlineStr">
        <is>
          <t>Add-on for renovation/adaptive reuse per fee schedule. Set to 0 if new construction.</t>
        </is>
      </c>
    </row>
    <row r="54" ht="21.75" customHeight="1">
      <c r="B54" s="129" t="inlineStr">
        <is>
          <t>Architecture — TOTAL FEE</t>
        </is>
      </c>
      <c r="C54" s="130">
        <f>C52+C53</f>
        <v/>
      </c>
      <c r="D54" s="131" t="n"/>
      <c r="E54" s="131" t="n"/>
      <c r="F54" s="132">
        <f>F52+F53</f>
        <v/>
      </c>
      <c r="G54" s="131" t="n"/>
      <c r="H54" s="131" t="n"/>
    </row>
    <row r="56" ht="19.5" customHeight="1">
      <c r="B56" s="188" t="inlineStr">
        <is>
          <t>ENGINEERING DISCIPLINES</t>
        </is>
      </c>
    </row>
    <row r="57" ht="18" customHeight="1">
      <c r="B57" s="75" t="inlineStr">
        <is>
          <t>Structural Engineering</t>
        </is>
      </c>
      <c r="C57" s="133" t="n">
        <v>0.015</v>
      </c>
      <c r="D57" s="54">
        <f>C5*C57</f>
        <v/>
      </c>
      <c r="E57" s="97" t="n"/>
      <c r="F57" s="54">
        <f>IF(AND(E57&lt;&gt;"",E57&lt;&gt;0),E57,D57)</f>
        <v/>
      </c>
      <c r="G57" s="55" t="inlineStr">
        <is>
          <t>Yes</t>
        </is>
      </c>
      <c r="H57" s="128" t="inlineStr">
        <is>
          <t>Typical: 1.0%–2.0% of construction cost. Higher for complex structural systems, seismic, or adaptive reuse.</t>
        </is>
      </c>
    </row>
    <row r="58" ht="18" customHeight="1">
      <c r="B58" s="33" t="inlineStr">
        <is>
          <t>Mechanical Engineering (HVAC)</t>
        </is>
      </c>
      <c r="C58" s="133" t="n">
        <v>0.018</v>
      </c>
      <c r="D58" s="54">
        <f>C5*C58</f>
        <v/>
      </c>
      <c r="E58" s="97" t="n"/>
      <c r="F58" s="126">
        <f>IF(AND(E58&lt;&gt;"",E58&lt;&gt;0),E58,D58)</f>
        <v/>
      </c>
      <c r="G58" s="55" t="inlineStr">
        <is>
          <t>Yes</t>
        </is>
      </c>
      <c r="H58" s="127" t="inlineStr">
        <is>
          <t>Typical: 1.2%–2.5%. Higher for healthcare/lab. Use lower end for straightforward community facilities.</t>
        </is>
      </c>
    </row>
    <row r="59" ht="18" customHeight="1">
      <c r="B59" s="75" t="inlineStr">
        <is>
          <t>Electrical Engineering</t>
        </is>
      </c>
      <c r="C59" s="133" t="n">
        <v>0.015</v>
      </c>
      <c r="D59" s="54">
        <f>C5*C59</f>
        <v/>
      </c>
      <c r="E59" s="97" t="n"/>
      <c r="F59" s="54">
        <f>IF(AND(E59&lt;&gt;"",E59&lt;&gt;0),E59,D59)</f>
        <v/>
      </c>
      <c r="G59" s="55" t="inlineStr">
        <is>
          <t>Yes</t>
        </is>
      </c>
      <c r="H59" s="128" t="inlineStr">
        <is>
          <t>Typical: 1.0%–2.0%. Adjust for high-voltage, generator, or specialty lighting systems.</t>
        </is>
      </c>
    </row>
    <row r="60" ht="18" customHeight="1">
      <c r="B60" s="33" t="inlineStr">
        <is>
          <t>Plumbing Engineering</t>
        </is>
      </c>
      <c r="C60" s="133" t="n">
        <v>0.01</v>
      </c>
      <c r="D60" s="54">
        <f>C5*C60</f>
        <v/>
      </c>
      <c r="E60" s="97" t="n"/>
      <c r="F60" s="126">
        <f>IF(AND(E60&lt;&gt;"",E60&lt;&gt;0),E60,D60)</f>
        <v/>
      </c>
      <c r="G60" s="55" t="inlineStr">
        <is>
          <t>Yes</t>
        </is>
      </c>
      <c r="H60" s="127" t="inlineStr">
        <is>
          <t>Typical: 0.8%–1.5%. Minimal for interior renovation with no new fixtures. Higher for kitchen/clinic.</t>
        </is>
      </c>
    </row>
    <row r="61" ht="18" customHeight="1">
      <c r="B61" s="75" t="inlineStr">
        <is>
          <t>Fire Protection Engineering</t>
        </is>
      </c>
      <c r="C61" s="133" t="n">
        <v>0.008</v>
      </c>
      <c r="D61" s="54">
        <f>C5*C61</f>
        <v/>
      </c>
      <c r="E61" s="97" t="n"/>
      <c r="F61" s="54">
        <f>IF(AND(E61&lt;&gt;"",E61&lt;&gt;0),E61,D61)</f>
        <v/>
      </c>
      <c r="G61" s="55" t="inlineStr">
        <is>
          <t>Yes</t>
        </is>
      </c>
      <c r="H61" s="128" t="inlineStr">
        <is>
          <t>Typical: 0.5%–1.0%. Includes sprinkler design and fire alarm engineering if in scope.</t>
        </is>
      </c>
    </row>
    <row r="62" ht="18" customHeight="1">
      <c r="B62" s="33" t="inlineStr">
        <is>
          <t>Civil Engineering</t>
        </is>
      </c>
      <c r="C62" s="133" t="n">
        <v>0.012</v>
      </c>
      <c r="D62" s="54">
        <f>C5*C62</f>
        <v/>
      </c>
      <c r="E62" s="97" t="n"/>
      <c r="F62" s="126">
        <f>IF(AND(E62&lt;&gt;"",E62&lt;&gt;0),E62,D62)</f>
        <v/>
      </c>
      <c r="G62" s="55" t="inlineStr">
        <is>
          <t>Yes</t>
        </is>
      </c>
      <c r="H62" s="127" t="inlineStr">
        <is>
          <t>Typical: 0.8%–2.0%. Covers grading, stormwater, utilities, ADA site access. Minimal for interior-only.</t>
        </is>
      </c>
    </row>
    <row r="63" ht="18" customHeight="1">
      <c r="B63" s="75" t="inlineStr">
        <is>
          <t>Geotechnical / Soils Report</t>
        </is>
      </c>
      <c r="C63" s="133" t="n">
        <v>0.005</v>
      </c>
      <c r="D63" s="54">
        <f>C5*C63</f>
        <v/>
      </c>
      <c r="E63" s="97" t="n"/>
      <c r="F63" s="54">
        <f>IF(AND(E63&lt;&gt;"",E63&lt;&gt;0),E63,D63)</f>
        <v/>
      </c>
      <c r="G63" s="55" t="inlineStr">
        <is>
          <t>Yes</t>
        </is>
      </c>
      <c r="H63" s="128" t="inlineStr">
        <is>
          <t>Typical: 0.3%–0.8% or fixed fee $5K–$25K. Required for new foundations or unknown soil conditions.</t>
        </is>
      </c>
    </row>
    <row r="64" ht="18" customHeight="1">
      <c r="B64" s="33" t="inlineStr">
        <is>
          <t>Landscape Architecture</t>
        </is>
      </c>
      <c r="C64" s="133" t="n">
        <v>0.005</v>
      </c>
      <c r="D64" s="54">
        <f>C5*C64</f>
        <v/>
      </c>
      <c r="E64" s="97" t="n"/>
      <c r="F64" s="126">
        <f>IF(AND(E64&lt;&gt;"",E64&lt;&gt;0),E64,D64)</f>
        <v/>
      </c>
      <c r="G64" s="55" t="inlineStr">
        <is>
          <t>Yes</t>
        </is>
      </c>
      <c r="H64" s="127" t="inlineStr">
        <is>
          <t>Typical: 0.3%–0.8%. Site improvements, accessible path, outdoor amenity. May be $0 for interior scope.</t>
        </is>
      </c>
    </row>
    <row r="65" ht="18" customHeight="1">
      <c r="B65" s="75" t="inlineStr">
        <is>
          <t>Accessibility / ADA Consultant</t>
        </is>
      </c>
      <c r="C65" s="133" t="n">
        <v>0.005</v>
      </c>
      <c r="D65" s="54">
        <f>C5*C65</f>
        <v/>
      </c>
      <c r="E65" s="97" t="n"/>
      <c r="F65" s="54">
        <f>IF(AND(E65&lt;&gt;"",E65&lt;&gt;0),E65,D65)</f>
        <v/>
      </c>
      <c r="G65" s="55" t="inlineStr">
        <is>
          <t>Yes</t>
        </is>
      </c>
      <c r="H65" s="128" t="inlineStr">
        <is>
          <t>Typical: 0.3%–0.5% or fixed fee. Recommended for public-access facilities; CDFIs and HUD often require.</t>
        </is>
      </c>
    </row>
    <row r="67" ht="19.5" customHeight="1">
      <c r="B67" s="210" t="inlineStr">
        <is>
          <t>SPECIALTY CONSULTANTS &amp; OWNER COSTS</t>
        </is>
      </c>
    </row>
    <row r="68" ht="18" customHeight="1">
      <c r="B68" s="33" t="inlineStr">
        <is>
          <t>Interior Design / Furniture</t>
        </is>
      </c>
      <c r="C68" s="133" t="n">
        <v>0.005</v>
      </c>
      <c r="D68" s="54">
        <f>C5*C68</f>
        <v/>
      </c>
      <c r="E68" s="97" t="n"/>
      <c r="F68" s="126">
        <f>IF(AND(E68&lt;&gt;"",E68&lt;&gt;0),E68,D68)</f>
        <v/>
      </c>
      <c r="G68" s="55" t="inlineStr">
        <is>
          <t>Yes</t>
        </is>
      </c>
      <c r="H68" s="127" t="inlineStr">
        <is>
          <t>If separate from Arch. Includes FF&amp;E design and procurement management.</t>
        </is>
      </c>
    </row>
    <row r="69" ht="18" customHeight="1">
      <c r="B69" s="75" t="inlineStr">
        <is>
          <t>Technology / AV / IT Consultant</t>
        </is>
      </c>
      <c r="C69" s="133" t="n">
        <v>0.004</v>
      </c>
      <c r="D69" s="54">
        <f>C5*C69</f>
        <v/>
      </c>
      <c r="E69" s="97" t="n"/>
      <c r="F69" s="54">
        <f>IF(AND(E69&lt;&gt;"",E69&lt;&gt;0),E69,D69)</f>
        <v/>
      </c>
      <c r="G69" s="55" t="inlineStr">
        <is>
          <t>Yes</t>
        </is>
      </c>
      <c r="H69" s="128" t="inlineStr">
        <is>
          <t>Low-voltage, AV, security systems design. Required for scoreboard, PA, access control.</t>
        </is>
      </c>
    </row>
    <row r="70" ht="18" customHeight="1">
      <c r="B70" s="33" t="inlineStr">
        <is>
          <t>Cost Estimating (M4Di OI)</t>
        </is>
      </c>
      <c r="C70" s="133" t="n">
        <v>0</v>
      </c>
      <c r="D70" s="54">
        <f>C5*C70</f>
        <v/>
      </c>
      <c r="E70" s="97" t="n"/>
      <c r="F70" s="126">
        <f>IF(AND(E70&lt;&gt;"",E70&lt;&gt;0),E70,D70)</f>
        <v/>
      </c>
      <c r="G70" s="55" t="inlineStr">
        <is>
          <t>Yes</t>
        </is>
      </c>
      <c r="H70" s="127" t="inlineStr">
        <is>
          <t>M4Di P1/P2/P3 fees are separate contracts. Shown here for total project budget reference.</t>
        </is>
      </c>
    </row>
    <row r="71" ht="18" customHeight="1">
      <c r="B71" s="75" t="inlineStr">
        <is>
          <t>Owner Project Management</t>
        </is>
      </c>
      <c r="C71" s="133" t="n">
        <v>0</v>
      </c>
      <c r="D71" s="54">
        <f>C5*C71</f>
        <v/>
      </c>
      <c r="E71" s="97" t="n"/>
      <c r="F71" s="54">
        <f>IF(AND(E71&lt;&gt;"",E71&lt;&gt;0),E71,D71)</f>
        <v/>
      </c>
      <c r="G71" s="55" t="inlineStr">
        <is>
          <t>Yes</t>
        </is>
      </c>
      <c r="H71" s="128" t="inlineStr">
        <is>
          <t>M4Di ALDi retainer. Enter actual contracted amount in override column.</t>
        </is>
      </c>
    </row>
    <row r="72" ht="18" customHeight="1">
      <c r="B72" s="33" t="inlineStr">
        <is>
          <t>Legal / Title / Closing</t>
        </is>
      </c>
      <c r="C72" s="133" t="n">
        <v>0.003</v>
      </c>
      <c r="D72" s="54">
        <f>C5*C72</f>
        <v/>
      </c>
      <c r="E72" s="97" t="n"/>
      <c r="F72" s="126">
        <f>IF(AND(E72&lt;&gt;"",E72&lt;&gt;0),E72,D72)</f>
        <v/>
      </c>
      <c r="G72" s="55" t="inlineStr">
        <is>
          <t>Yes</t>
        </is>
      </c>
      <c r="H72" s="127" t="inlineStr">
        <is>
          <t>Covers property matters, contract review. Variable; use $5K–$15K allowance for small projects.</t>
        </is>
      </c>
    </row>
    <row r="73" ht="18" customHeight="1">
      <c r="B73" s="75" t="inlineStr">
        <is>
          <t>Permitting / Plan Review Fees</t>
        </is>
      </c>
      <c r="C73" s="133" t="n">
        <v>0.015</v>
      </c>
      <c r="D73" s="54">
        <f>C5*C73</f>
        <v/>
      </c>
      <c r="E73" s="97" t="n"/>
      <c r="F73" s="54">
        <f>IF(AND(E73&lt;&gt;"",E73&lt;&gt;0),E73,D73)</f>
        <v/>
      </c>
      <c r="G73" s="55" t="inlineStr">
        <is>
          <t>Yes</t>
        </is>
      </c>
      <c r="H73" s="128" t="inlineStr">
        <is>
          <t>Variable by jurisdiction. Delaware municipalities: typically 1.0%–2.0% of construction cost.</t>
        </is>
      </c>
    </row>
    <row r="74" ht="18" customHeight="1">
      <c r="B74" s="33" t="inlineStr">
        <is>
          <t>Builder's Risk Insurance</t>
        </is>
      </c>
      <c r="C74" s="133" t="n">
        <v>0.008</v>
      </c>
      <c r="D74" s="54">
        <f>C5*C74</f>
        <v/>
      </c>
      <c r="E74" s="97" t="n"/>
      <c r="F74" s="126">
        <f>IF(AND(E74&lt;&gt;"",E74&lt;&gt;0),E74,D74)</f>
        <v/>
      </c>
      <c r="G74" s="55" t="inlineStr">
        <is>
          <t>Yes</t>
        </is>
      </c>
      <c r="H74" s="127" t="inlineStr">
        <is>
          <t>Typically 0.5%–1.5% of total project cost. Confirm with owner's insurance agent.</t>
        </is>
      </c>
    </row>
    <row r="75" ht="18" customHeight="1">
      <c r="B75" s="75" t="inlineStr">
        <is>
          <t>Testing / Special Inspections</t>
        </is>
      </c>
      <c r="C75" s="133" t="n">
        <v>0.005</v>
      </c>
      <c r="D75" s="54">
        <f>C5*C75</f>
        <v/>
      </c>
      <c r="E75" s="97" t="n"/>
      <c r="F75" s="54">
        <f>IF(AND(E75&lt;&gt;"",E75&lt;&gt;0),E75,D75)</f>
        <v/>
      </c>
      <c r="G75" s="55" t="inlineStr">
        <is>
          <t>Yes</t>
        </is>
      </c>
      <c r="H75" s="128" t="inlineStr">
        <is>
          <t>IBC-required inspections (concrete, steel, masonry) and materials testing. AHJ-dependent.</t>
        </is>
      </c>
    </row>
    <row r="76" ht="18" customHeight="1">
      <c r="B76" s="33" t="inlineStr">
        <is>
          <t>Survey / As-Builts / Scanning</t>
        </is>
      </c>
      <c r="C76" s="133" t="n">
        <v>0</v>
      </c>
      <c r="D76" s="54">
        <f>C5*C76</f>
        <v/>
      </c>
      <c r="E76" s="97" t="n"/>
      <c r="F76" s="126">
        <f>IF(AND(E76&lt;&gt;"",E76&lt;&gt;0),E76,D76)</f>
        <v/>
      </c>
      <c r="G76" s="55" t="inlineStr">
        <is>
          <t>Yes</t>
        </is>
      </c>
      <c r="H76" s="127" t="inlineStr">
        <is>
          <t>Fixed fee item — enter actual quote in override. Typical range: $3,000–$15,000.</t>
        </is>
      </c>
    </row>
    <row r="77" ht="18" customHeight="1">
      <c r="B77" s="75" t="inlineStr">
        <is>
          <t>Environmental Assessment (Phase I)</t>
        </is>
      </c>
      <c r="C77" s="133" t="n">
        <v>0</v>
      </c>
      <c r="D77" s="54">
        <f>C5*C77</f>
        <v/>
      </c>
      <c r="E77" s="97" t="n"/>
      <c r="F77" s="54">
        <f>IF(AND(E77&lt;&gt;"",E77&lt;&gt;0),E77,D77)</f>
        <v/>
      </c>
      <c r="G77" s="55" t="inlineStr">
        <is>
          <t>Yes</t>
        </is>
      </c>
      <c r="H77" s="128" t="inlineStr">
        <is>
          <t>Fixed fee — enter in override. Required for most CDFI/HUD-funded projects. ~$2,500–$5,000.</t>
        </is>
      </c>
    </row>
    <row r="78" ht="18" customHeight="1">
      <c r="B78" s="33" t="inlineStr">
        <is>
          <t>Relocation / Move-Out Costs</t>
        </is>
      </c>
      <c r="C78" s="133" t="n">
        <v>0</v>
      </c>
      <c r="D78" s="54">
        <f>C5*C78</f>
        <v/>
      </c>
      <c r="E78" s="97" t="n"/>
      <c r="F78" s="126">
        <f>IF(AND(E78&lt;&gt;"",E78&lt;&gt;0),E78,D78)</f>
        <v/>
      </c>
      <c r="G78" s="55" t="inlineStr">
        <is>
          <t>Yes</t>
        </is>
      </c>
      <c r="H78" s="127" t="inlineStr">
        <is>
          <t>Owner cost. Enter estimate in override if applicable. Not part of construction budget.</t>
        </is>
      </c>
    </row>
    <row r="79" ht="18" customHeight="1">
      <c r="B79" s="75" t="inlineStr">
        <is>
          <t>Financing / Loan Origination</t>
        </is>
      </c>
      <c r="C79" s="133" t="n">
        <v>0.01</v>
      </c>
      <c r="D79" s="54">
        <f>C5*C79</f>
        <v/>
      </c>
      <c r="E79" s="97" t="n"/>
      <c r="F79" s="54">
        <f>IF(AND(E79&lt;&gt;"",E79&lt;&gt;0),E79,D79)</f>
        <v/>
      </c>
      <c r="G79" s="55" t="inlineStr">
        <is>
          <t>Yes</t>
        </is>
      </c>
      <c r="H79" s="128" t="inlineStr">
        <is>
          <t>Typical: 0.5%–1.5% of loan amount. Applies to construction loans and CDFI financing.</t>
        </is>
      </c>
    </row>
    <row r="80" ht="18" customHeight="1">
      <c r="B80" s="33" t="inlineStr">
        <is>
          <t>Fundraising / Development Costs</t>
        </is>
      </c>
      <c r="C80" s="133" t="n">
        <v>0</v>
      </c>
      <c r="D80" s="54">
        <f>C5*C80</f>
        <v/>
      </c>
      <c r="E80" s="97" t="n"/>
      <c r="F80" s="126">
        <f>IF(AND(E80&lt;&gt;"",E80&lt;&gt;0),E80,D80)</f>
        <v/>
      </c>
      <c r="G80" s="55" t="inlineStr">
        <is>
          <t>Yes</t>
        </is>
      </c>
      <c r="H80" s="127" t="inlineStr">
        <is>
          <t>Owner/nonprofit cost. Enter fixed estimate in override if applicable.</t>
        </is>
      </c>
    </row>
    <row r="82" ht="19.5" customHeight="1">
      <c r="B82" s="189" t="inlineStr">
        <is>
          <t>SOFT COST SUBTOTALS &amp; TOTAL PROJECT BUDGET</t>
        </is>
      </c>
    </row>
    <row r="83" ht="21.75" customHeight="1">
      <c r="B83" s="129" t="inlineStr">
        <is>
          <t>Architecture Subtotal</t>
        </is>
      </c>
      <c r="C83" s="131" t="n"/>
      <c r="D83" s="131" t="n"/>
      <c r="E83" s="131" t="n"/>
      <c r="F83" s="132">
        <f>IF(OR(G52="Yes",G52="Allowance"),F52,0)+IF(OR(G53="Yes",G53="Allowance"),F53,0)</f>
        <v/>
      </c>
      <c r="G83" s="131" t="n"/>
      <c r="H83" s="131" t="n"/>
    </row>
    <row r="84" ht="21.75" customHeight="1">
      <c r="B84" s="134" t="inlineStr">
        <is>
          <t>Engineering Subtotal (all disciplines)</t>
        </is>
      </c>
      <c r="C84" s="135" t="n"/>
      <c r="D84" s="135" t="n"/>
      <c r="E84" s="135" t="n"/>
      <c r="F84" s="136">
        <f>IF(OR(G57="Yes",G57="Allowance"),F57,0)+IF(OR(G58="Yes",G58="Allowance"),F58,0)+IF(OR(G59="Yes",G59="Allowance"),F59,0)+IF(OR(G60="Yes",G60="Allowance"),F60,0)+IF(OR(G61="Yes",G61="Allowance"),F61,0)+IF(OR(G62="Yes",G62="Allowance"),F62,0)+IF(OR(G63="Yes",G63="Allowance"),F63,0)+IF(OR(G64="Yes",G64="Allowance"),F64,0)+IF(OR(G65="Yes",G65="Allowance"),F65,0)</f>
        <v/>
      </c>
      <c r="G84" s="135" t="n"/>
      <c r="H84" s="135" t="n"/>
    </row>
    <row r="85" ht="21.75" customHeight="1">
      <c r="B85" s="137" t="inlineStr">
        <is>
          <t>Other Consultants &amp; Owner Costs Subtotal</t>
        </is>
      </c>
      <c r="C85" s="138" t="n"/>
      <c r="D85" s="138" t="n"/>
      <c r="E85" s="138" t="n"/>
      <c r="F85" s="139">
        <f>IF(OR(G68="Yes",G68="Allowance"),F68,0)+IF(OR(G69="Yes",G69="Allowance"),F69,0)+IF(OR(G70="Yes",G70="Allowance"),F70,0)+IF(OR(G71="Yes",G71="Allowance"),F71,0)+IF(OR(G72="Yes",G72="Allowance"),F72,0)+IF(OR(G73="Yes",G73="Allowance"),F73,0)+IF(OR(G74="Yes",G74="Allowance"),F74,0)+IF(OR(G75="Yes",G75="Allowance"),F75,0)+IF(OR(G76="Yes",G76="Allowance"),F76,0)+IF(OR(G77="Yes",G77="Allowance"),F77,0)+IF(OR(G78="Yes",G78="Allowance"),F78,0)+IF(OR(G79="Yes",G79="Allowance"),F79,0)+IF(OR(G80="Yes",G80="Allowance"),F80,0)</f>
        <v/>
      </c>
      <c r="G85" s="138" t="n"/>
      <c r="H85" s="138" t="n"/>
    </row>
    <row r="86" ht="27.75" customHeight="1">
      <c r="B86" s="140" t="inlineStr">
        <is>
          <t>TOTAL SOFT COSTS</t>
        </is>
      </c>
      <c r="C86" s="141">
        <f>IFERROR(F86/C5,0)</f>
        <v/>
      </c>
      <c r="D86" s="142" t="n"/>
      <c r="E86" s="142" t="n"/>
      <c r="F86" s="143">
        <f>F83+F84+F85</f>
        <v/>
      </c>
      <c r="G86" s="142" t="n"/>
      <c r="H86" s="142" t="n"/>
    </row>
    <row r="88" ht="19.5" customHeight="1">
      <c r="B88" s="211" t="inlineStr">
        <is>
          <t>SOFT COST $/SF BENCHMARKS (informational)</t>
        </is>
      </c>
    </row>
    <row r="89" ht="43.5" customHeight="1">
      <c r="B89" s="209" t="inlineStr">
        <is>
          <t>Typical total soft costs range from 18%–35% of hard costs for community/institutional projects. Simpler interior renovations: 18%–22%. Complex adaptive reuse or new construction with full engineering: 25%–35%. Healthcare/research: 30%–40%. Current project soft cost %: see TOTAL SOFT COSTS row above.</t>
        </is>
      </c>
      <c r="C89" s="294" t="n"/>
      <c r="D89" s="294" t="n"/>
      <c r="E89" s="294" t="n"/>
      <c r="F89" s="294" t="n"/>
      <c r="G89" s="294" t="n"/>
      <c r="H89" s="294" t="n"/>
    </row>
    <row r="91" ht="15" customHeight="1">
      <c r="B91" s="144" t="inlineStr">
        <is>
          <t>▶ Total Soft Costs feeds TOTAL PROJECT BUDGET sheet.</t>
        </is>
      </c>
    </row>
  </sheetData>
  <mergeCells count="46">
    <mergeCell ref="C41:H41"/>
    <mergeCell ref="B16:C16"/>
    <mergeCell ref="B25:C25"/>
    <mergeCell ref="C40:H40"/>
    <mergeCell ref="B22:C22"/>
    <mergeCell ref="B31:C31"/>
    <mergeCell ref="B27:C27"/>
    <mergeCell ref="B18:C18"/>
    <mergeCell ref="B89:H89"/>
    <mergeCell ref="B21:C21"/>
    <mergeCell ref="B50:H50"/>
    <mergeCell ref="D6:H6"/>
    <mergeCell ref="C36:H36"/>
    <mergeCell ref="B35:H35"/>
    <mergeCell ref="B4:H4"/>
    <mergeCell ref="B23:C23"/>
    <mergeCell ref="C39:H39"/>
    <mergeCell ref="B17:C17"/>
    <mergeCell ref="D48:H48"/>
    <mergeCell ref="B46:H46"/>
    <mergeCell ref="D7:H7"/>
    <mergeCell ref="C38:H38"/>
    <mergeCell ref="B29:C29"/>
    <mergeCell ref="D47:H47"/>
    <mergeCell ref="B56:H56"/>
    <mergeCell ref="B19:C19"/>
    <mergeCell ref="C37:H37"/>
    <mergeCell ref="B28:C28"/>
    <mergeCell ref="B2:H2"/>
    <mergeCell ref="B11:H11"/>
    <mergeCell ref="B67:H67"/>
    <mergeCell ref="B24:C24"/>
    <mergeCell ref="D8:H8"/>
    <mergeCell ref="B30:C30"/>
    <mergeCell ref="B15:C15"/>
    <mergeCell ref="B33:C33"/>
    <mergeCell ref="B1:H1"/>
    <mergeCell ref="B13:H13"/>
    <mergeCell ref="B88:H88"/>
    <mergeCell ref="B44:H44"/>
    <mergeCell ref="B20:C20"/>
    <mergeCell ref="B82:H82"/>
    <mergeCell ref="D5:H5"/>
    <mergeCell ref="B32:C32"/>
    <mergeCell ref="B10:H10"/>
    <mergeCell ref="B26:C26"/>
  </mergeCells>
  <dataValidations count="3">
    <dataValidation sqref="C47" showDropDown="0" showInputMessage="0" showErrorMessage="0" allowBlank="0" type="list">
      <formula1>"A,B,C,D,E"</formula1>
      <formula2>0</formula2>
    </dataValidation>
    <dataValidation sqref="C48" showDropDown="0" showInputMessage="0" showErrorMessage="0" allowBlank="0" type="list">
      <formula1>"Yes,No"</formula1>
      <formula2>0</formula2>
    </dataValidation>
    <dataValidation sqref="G52:G53 G57:G65 G68:G80" showDropDown="0" showInputMessage="0" showErrorMessage="0" allowBlank="0" type="list">
      <formula1>"Yes,No,Allowance"</formula1>
      <formula2>0</formula2>
    </dataValidation>
  </dataValidations>
  <pageMargins left="0.75" right="0.75" top="1" bottom="1" header="0.511811023622047" footer="0.511805555555556"/>
  <pageSetup orientation="portrait" paperSize="9" horizontalDpi="300" verticalDpi="300"/>
  <headerFooter>
    <oddHeader/>
    <oddFooter>&amp;L&amp;8 M4Di — Merge 4 Development Institute, Inc.&amp;C&amp;8 Page &amp;P of &amp;N  ·  Draft — Internal Use Only  ·  © 2026 M4Di, Inc.&amp;R&amp;8 M4Di.Oi™  ALDi™  FeasOps™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90A4AE"/>
    <outlinePr summaryBelow="1" summaryRight="1"/>
    <pageSetUpPr/>
  </sheetPr>
  <dimension ref="B1:F23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16" customWidth="1" min="2" max="2"/>
    <col width="32" customWidth="1" min="3" max="3"/>
    <col width="16" customWidth="1" min="4" max="4"/>
    <col width="10" customWidth="1" min="5" max="5"/>
    <col width="32" customWidth="1" min="6" max="6"/>
  </cols>
  <sheetData>
    <row r="1" ht="37.5" customHeight="1">
      <c r="B1" s="207" t="inlineStr">
        <is>
          <t>CLARIFICATIONS / EXCLUSIONS / RISK LOG</t>
        </is>
      </c>
    </row>
    <row r="2" ht="30" customHeight="1">
      <c r="B2" s="208" t="inlineStr">
        <is>
          <t>Include this sheet in all client deliverables. It defines the boundaries of the estimate and protects M4Di from scope disputes. Update at every estimate revision.</t>
        </is>
      </c>
    </row>
    <row r="3" ht="21.75" customHeight="1">
      <c r="B3" s="102" t="inlineStr">
        <is>
          <t>Category</t>
        </is>
      </c>
      <c r="C3" s="102" t="inlineStr">
        <is>
          <t>Item</t>
        </is>
      </c>
      <c r="D3" s="102" t="inlineStr">
        <is>
          <t>Included / Excluded / Allowance</t>
        </is>
      </c>
      <c r="E3" s="102" t="inlineStr">
        <is>
          <t>Risk Level</t>
        </is>
      </c>
      <c r="F3" s="102" t="inlineStr">
        <is>
          <t>Comment / Mitigation</t>
        </is>
      </c>
    </row>
    <row r="4" ht="19.5" customHeight="1">
      <c r="B4" s="103" t="inlineStr">
        <is>
          <t>General</t>
        </is>
      </c>
      <c r="C4" s="39" t="inlineStr">
        <is>
          <t>All quantities are conceptual and require field verification before GMP</t>
        </is>
      </c>
      <c r="D4" s="55" t="inlineStr">
        <is>
          <t>Included</t>
        </is>
      </c>
      <c r="E4" s="104" t="inlineStr">
        <is>
          <t>High</t>
        </is>
      </c>
      <c r="F4" s="96" t="inlineStr">
        <is>
          <t>Use as ROM only. Not a GMP or guaranteed maximum price.</t>
        </is>
      </c>
    </row>
    <row r="5" ht="19.5" customHeight="1">
      <c r="B5" s="105" t="inlineStr">
        <is>
          <t>General</t>
        </is>
      </c>
      <c r="C5" s="46" t="inlineStr">
        <is>
          <t>Estimate based on scope narrative and program only — no drawings</t>
        </is>
      </c>
      <c r="D5" s="55" t="inlineStr">
        <is>
          <t>Included</t>
        </is>
      </c>
      <c r="E5" s="104" t="inlineStr">
        <is>
          <t>High</t>
        </is>
      </c>
      <c r="F5" s="98" t="inlineStr">
        <is>
          <t>Unit quantities are estimator's judgment. Field verify before DD.</t>
        </is>
      </c>
    </row>
    <row r="6" ht="19.5" customHeight="1">
      <c r="B6" s="103" t="inlineStr">
        <is>
          <t>Equipment</t>
        </is>
      </c>
      <c r="C6" s="39" t="inlineStr">
        <is>
          <t>Athletic equipment model numbers and manufacturers</t>
        </is>
      </c>
      <c r="D6" s="60" t="inlineStr">
        <is>
          <t>Allowance</t>
        </is>
      </c>
      <c r="E6" s="104" t="inlineStr">
        <is>
          <t>High</t>
        </is>
      </c>
      <c r="F6" s="96" t="inlineStr">
        <is>
          <t>Owner selections pending. Allowances will be updated as selections are confirmed.</t>
        </is>
      </c>
    </row>
    <row r="7" ht="19.5" customHeight="1">
      <c r="B7" s="105" t="inlineStr">
        <is>
          <t>Equipment</t>
        </is>
      </c>
      <c r="C7" s="46" t="inlineStr">
        <is>
          <t>Boxing equipment package</t>
        </is>
      </c>
      <c r="D7" s="60" t="inlineStr">
        <is>
          <t>Allowance</t>
        </is>
      </c>
      <c r="E7" s="104" t="inlineStr">
        <is>
          <t>High</t>
        </is>
      </c>
      <c r="F7" s="98" t="inlineStr">
        <is>
          <t>Basis of design still open. Owner to confirm model and accessory scope.</t>
        </is>
      </c>
    </row>
    <row r="8" ht="19.5" customHeight="1">
      <c r="B8" s="103" t="inlineStr">
        <is>
          <t>MEP</t>
        </is>
      </c>
      <c r="C8" s="39" t="inlineStr">
        <is>
          <t>Power and data modifications for scoreboards and specialty equipment</t>
        </is>
      </c>
      <c r="D8" s="60" t="inlineStr">
        <is>
          <t>Allowance</t>
        </is>
      </c>
      <c r="E8" s="106" t="inlineStr">
        <is>
          <t>Medium</t>
        </is>
      </c>
      <c r="F8" s="96" t="inlineStr">
        <is>
          <t>Allowance included. Requires MEP engineer coordination and load calculations.</t>
        </is>
      </c>
    </row>
    <row r="9" ht="19.5" customHeight="1">
      <c r="B9" s="105" t="inlineStr">
        <is>
          <t>MEP</t>
        </is>
      </c>
      <c r="C9" s="46" t="inlineStr">
        <is>
          <t>HVAC modifications or upgrades</t>
        </is>
      </c>
      <c r="D9" s="107" t="inlineStr">
        <is>
          <t>Excluded</t>
        </is>
      </c>
      <c r="E9" s="106" t="inlineStr">
        <is>
          <t>Medium</t>
        </is>
      </c>
      <c r="F9" s="98" t="inlineStr">
        <is>
          <t>Not in scope unless noted. Carry separate MEP budget if HVAC work is anticipated.</t>
        </is>
      </c>
    </row>
    <row r="10" ht="19.5" customHeight="1">
      <c r="B10" s="103" t="inlineStr">
        <is>
          <t>MEP</t>
        </is>
      </c>
      <c r="C10" s="39" t="inlineStr">
        <is>
          <t>Plumbing — new fixtures or drainage</t>
        </is>
      </c>
      <c r="D10" s="107" t="inlineStr">
        <is>
          <t>Excluded</t>
        </is>
      </c>
      <c r="E10" s="106" t="inlineStr">
        <is>
          <t>Medium</t>
        </is>
      </c>
      <c r="F10" s="96" t="inlineStr">
        <is>
          <t>Minor modifications covered by allowance. Major new plumbing excluded.</t>
        </is>
      </c>
    </row>
    <row r="11" ht="19.5" customHeight="1">
      <c r="B11" s="105" t="inlineStr">
        <is>
          <t>Existing Conditions</t>
        </is>
      </c>
      <c r="C11" s="46" t="inlineStr">
        <is>
          <t>Concealed corrosion or substrate damage beyond scope assumptions</t>
        </is>
      </c>
      <c r="D11" s="107" t="inlineStr">
        <is>
          <t>Excluded</t>
        </is>
      </c>
      <c r="E11" s="104" t="inlineStr">
        <is>
          <t>High</t>
        </is>
      </c>
      <c r="F11" s="98" t="inlineStr">
        <is>
          <t>Carry contingency or unit rates for concealed conditions. Field verification recommended.</t>
        </is>
      </c>
    </row>
    <row r="12" ht="19.5" customHeight="1">
      <c r="B12" s="103" t="inlineStr">
        <is>
          <t>Existing Conditions</t>
        </is>
      </c>
      <c r="C12" s="39" t="inlineStr">
        <is>
          <t>Hazardous material abatement (asbestos, lead paint)</t>
        </is>
      </c>
      <c r="D12" s="107" t="inlineStr">
        <is>
          <t>Excluded</t>
        </is>
      </c>
      <c r="E12" s="104" t="inlineStr">
        <is>
          <t>High</t>
        </is>
      </c>
      <c r="F12" s="96" t="inlineStr">
        <is>
          <t>Requires testing and licensed abatement contractor. Separate budget required.</t>
        </is>
      </c>
    </row>
    <row r="13" ht="19.5" customHeight="1">
      <c r="B13" s="105" t="inlineStr">
        <is>
          <t>Existing Conditions</t>
        </is>
      </c>
      <c r="C13" s="46" t="inlineStr">
        <is>
          <t>Structural deficiencies identified during construction</t>
        </is>
      </c>
      <c r="D13" s="107" t="inlineStr">
        <is>
          <t>Excluded</t>
        </is>
      </c>
      <c r="E13" s="104" t="inlineStr">
        <is>
          <t>High</t>
        </is>
      </c>
      <c r="F13" s="98" t="inlineStr">
        <is>
          <t>Not in scope. Structural engineer review recommended before estimate finalization.</t>
        </is>
      </c>
    </row>
    <row r="14" ht="19.5" customHeight="1">
      <c r="B14" s="103" t="inlineStr">
        <is>
          <t>Schedule</t>
        </is>
      </c>
      <c r="C14" s="39" t="inlineStr">
        <is>
          <t>Cost escalation beyond current estimate date</t>
        </is>
      </c>
      <c r="D14" s="107" t="inlineStr">
        <is>
          <t>Excluded</t>
        </is>
      </c>
      <c r="E14" s="106" t="inlineStr">
        <is>
          <t>Medium</t>
        </is>
      </c>
      <c r="F14" s="96" t="inlineStr">
        <is>
          <t>Adjust ENR escalation factor in ASSUMPTIONS for revised bid dates.</t>
        </is>
      </c>
    </row>
    <row r="15" ht="19.5" customHeight="1">
      <c r="B15" s="105" t="inlineStr">
        <is>
          <t>Schedule</t>
        </is>
      </c>
      <c r="C15" s="46" t="inlineStr">
        <is>
          <t>Owner-caused delays extending construction schedule</t>
        </is>
      </c>
      <c r="D15" s="107" t="inlineStr">
        <is>
          <t>Excluded</t>
        </is>
      </c>
      <c r="E15" s="106" t="inlineStr">
        <is>
          <t>Medium</t>
        </is>
      </c>
      <c r="F15" s="98" t="inlineStr">
        <is>
          <t>Extended general conditions are not included. Owner decision delays add cost.</t>
        </is>
      </c>
    </row>
    <row r="16" ht="19.5" customHeight="1">
      <c r="B16" s="103" t="inlineStr">
        <is>
          <t>Permits</t>
        </is>
      </c>
      <c r="C16" s="39" t="inlineStr">
        <is>
          <t>Building permits, zoning approvals, and municipal fees</t>
        </is>
      </c>
      <c r="D16" s="60" t="inlineStr">
        <is>
          <t>Allowance</t>
        </is>
      </c>
      <c r="E16" s="108" t="inlineStr">
        <is>
          <t>Low</t>
        </is>
      </c>
      <c r="F16" s="96" t="inlineStr">
        <is>
          <t>Bid/permit/bond allowance included at {rate}%. Actual fees may vary.</t>
        </is>
      </c>
    </row>
    <row r="17" ht="19.5" customHeight="1">
      <c r="B17" s="105" t="inlineStr">
        <is>
          <t>Soft Costs</t>
        </is>
      </c>
      <c r="C17" s="46" t="inlineStr">
        <is>
          <t>Architectural and engineering fees</t>
        </is>
      </c>
      <c r="D17" s="107" t="inlineStr">
        <is>
          <t>Excluded</t>
        </is>
      </c>
      <c r="E17" s="109" t="inlineStr">
        <is>
          <t>Information Only</t>
        </is>
      </c>
      <c r="F17" s="98" t="inlineStr">
        <is>
          <t>AE fees are a separate budget line. Typical range: 8%–12% of construction cost.</t>
        </is>
      </c>
    </row>
    <row r="18" ht="19.5" customHeight="1">
      <c r="B18" s="103" t="inlineStr">
        <is>
          <t>Soft Costs</t>
        </is>
      </c>
      <c r="C18" s="39" t="inlineStr">
        <is>
          <t>Owner project management / owner's rep fees</t>
        </is>
      </c>
      <c r="D18" s="107" t="inlineStr">
        <is>
          <t>Excluded</t>
        </is>
      </c>
      <c r="E18" s="109" t="inlineStr">
        <is>
          <t>Information Only</t>
        </is>
      </c>
      <c r="F18" s="96" t="inlineStr">
        <is>
          <t>M4Di ALDi retainer fees are a separate agreement, not included in construction budget.</t>
        </is>
      </c>
    </row>
    <row r="19" ht="19.5" customHeight="1">
      <c r="B19" s="105" t="inlineStr">
        <is>
          <t>Soft Costs</t>
        </is>
      </c>
      <c r="C19" s="46" t="inlineStr">
        <is>
          <t>Furniture, fixtures, and equipment (FF&amp;E) not specified</t>
        </is>
      </c>
      <c r="D19" s="107" t="inlineStr">
        <is>
          <t>Excluded</t>
        </is>
      </c>
      <c r="E19" s="106" t="inlineStr">
        <is>
          <t>Medium</t>
        </is>
      </c>
      <c r="F19" s="98" t="inlineStr">
        <is>
          <t>Only items specifically called out in unit price library are included.</t>
        </is>
      </c>
    </row>
    <row r="20" ht="19.5" customHeight="1">
      <c r="B20" s="103" t="inlineStr">
        <is>
          <t>Site</t>
        </is>
      </c>
      <c r="C20" s="39" t="inlineStr">
        <is>
          <t>Site utilities, site work, or exterior improvements</t>
        </is>
      </c>
      <c r="D20" s="107" t="inlineStr">
        <is>
          <t>Excluded</t>
        </is>
      </c>
      <c r="E20" s="106" t="inlineStr">
        <is>
          <t>Medium</t>
        </is>
      </c>
      <c r="F20" s="96" t="inlineStr">
        <is>
          <t>Interior scope only unless site work is specifically noted in TAKEOFF.</t>
        </is>
      </c>
    </row>
    <row r="21" ht="19.5" customHeight="1">
      <c r="B21" s="105" t="inlineStr">
        <is>
          <t>Accessibility</t>
        </is>
      </c>
      <c r="C21" s="46" t="inlineStr">
        <is>
          <t>ADA path of travel upgrades beyond specified scope</t>
        </is>
      </c>
      <c r="D21" s="107" t="inlineStr">
        <is>
          <t>Excluded</t>
        </is>
      </c>
      <c r="E21" s="106" t="inlineStr">
        <is>
          <t>Medium</t>
        </is>
      </c>
      <c r="F21" s="98" t="inlineStr">
        <is>
          <t>ADA items within designated scope are included. Full-building accessibility audit not in scope.</t>
        </is>
      </c>
    </row>
    <row r="23" ht="15" customHeight="1">
      <c r="B23" s="194" t="inlineStr">
        <is>
          <t>→ ADD PROJECT-SPECIFIC CLARIFICATIONS ABOVE. Always include this sheet in client deliverable packages.</t>
        </is>
      </c>
    </row>
  </sheetData>
  <mergeCells count="3">
    <mergeCell ref="B2:F2"/>
    <mergeCell ref="B23:F23"/>
    <mergeCell ref="B1:F1"/>
  </mergeCells>
  <dataValidations count="2">
    <dataValidation sqref="E4:E21" showDropDown="0" showInputMessage="0" showErrorMessage="0" allowBlank="0" type="list">
      <formula1>"High,Medium,Low,Information Only"</formula1>
      <formula2>0</formula2>
    </dataValidation>
    <dataValidation sqref="D4:D21" showDropDown="0" showInputMessage="0" showErrorMessage="0" allowBlank="0" type="list">
      <formula1>"Included,Excluded,Allowance,Pending Scope Clarification"</formula1>
      <formula2>0</formula2>
    </dataValidation>
  </dataValidations>
  <pageMargins left="0.75" right="0.75" top="1" bottom="1" header="0.511811023622047" footer="0.511805555555556"/>
  <pageSetup orientation="portrait" paperSize="9" horizontalDpi="300" verticalDpi="300"/>
  <headerFooter>
    <oddHeader/>
    <oddFooter>&amp;L&amp;8 M4Di — Merge 4 Development Institute, Inc.&amp;C&amp;8 Page &amp;P of &amp;N  ·  Draft — Internal Use Only  ·  © 2026 M4Di, Inc.&amp;R&amp;8 M4Di.Oi™  ALDi™  FeasOps™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196B23"/>
    <outlinePr summaryBelow="1" summaryRight="1"/>
    <pageSetUpPr/>
  </sheetPr>
  <dimension ref="B1:F4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36" customWidth="1" min="2" max="2"/>
    <col width="18" customWidth="1" min="3" max="3"/>
    <col width="16" customWidth="1" min="4" max="4"/>
    <col width="14" customWidth="1" min="5" max="5"/>
    <col width="36" customWidth="1" min="6" max="6"/>
  </cols>
  <sheetData>
    <row r="1" ht="37.5" customHeight="1">
      <c r="B1" s="187" t="inlineStr">
        <is>
          <t>TOTAL PROJECT BUDGET — Hard Costs + Soft Costs + Owner Costs</t>
        </is>
      </c>
    </row>
    <row r="2" ht="36" customHeight="1">
      <c r="B2" s="222" t="inlineStr">
        <is>
          <t>This sheet aggregates the full project investment: construction hard costs (from BID SUMMARY), professional fees and soft costs (from SOFT COSTS), and owner contingency. Use this for board presentations, CDFI loan packages, and grant applications.</t>
        </is>
      </c>
    </row>
    <row r="3" ht="21.75" customHeight="1">
      <c r="B3" s="226">
        <f>"Project:  " &amp; ASSUMPTIONS!C3 &amp; "   |   " &amp; TEXT(ASSUMPTIONS!C4,"mm/dd/yyyy") &amp; "   |   Phase: " &amp; ASSUMPTIONS!C5</f>
        <v/>
      </c>
      <c r="C3" s="294" t="n"/>
      <c r="D3" s="294" t="n"/>
      <c r="E3" s="294" t="n"/>
      <c r="F3" s="294" t="n"/>
    </row>
    <row r="5" ht="19.5" customHeight="1">
      <c r="B5" s="145" t="inlineStr">
        <is>
          <t>Budget Item</t>
        </is>
      </c>
      <c r="C5" s="145" t="inlineStr">
        <is>
          <t>Amount ($)</t>
        </is>
      </c>
      <c r="D5" s="145" t="inlineStr">
        <is>
          <t>% of Hard Cost</t>
        </is>
      </c>
      <c r="E5" s="145" t="inlineStr">
        <is>
          <t>% of Total</t>
        </is>
      </c>
      <c r="F5" s="145" t="inlineStr">
        <is>
          <t>Notes</t>
        </is>
      </c>
    </row>
    <row r="6" ht="19.5" customHeight="1">
      <c r="B6" s="188" t="inlineStr">
        <is>
          <t>SECTION 1 — HARD COSTS (Construction)</t>
        </is>
      </c>
    </row>
    <row r="7" ht="18" customHeight="1">
      <c r="B7" s="75" t="inlineStr">
        <is>
          <t>Base Building Subtotal (labor + materials)</t>
        </is>
      </c>
      <c r="C7" s="20">
        <f>'BID SUMMARY'!C5</f>
        <v/>
      </c>
      <c r="D7" s="146">
        <f>IFERROR(C7/C13,0)</f>
        <v/>
      </c>
      <c r="E7" s="147">
        <f>IFERROR(C7/C36,0)</f>
        <v/>
      </c>
      <c r="F7" s="128" t="inlineStr">
        <is>
          <t>Quantity-based takeoff from TAKEOFF sheet, adjusted for region and escalation.</t>
        </is>
      </c>
    </row>
    <row r="8" ht="18" customHeight="1">
      <c r="B8" s="33" t="inlineStr">
        <is>
          <t>Equipment Allowances (owner selections)</t>
        </is>
      </c>
      <c r="C8" s="20">
        <f>'BID SUMMARY'!C6</f>
        <v/>
      </c>
      <c r="D8" s="148">
        <f>IFERROR(C8/C13,0)</f>
        <v/>
      </c>
      <c r="E8" s="149">
        <f>IFERROR(C8/C36,0)</f>
        <v/>
      </c>
      <c r="F8" s="127" t="inlineStr">
        <is>
          <t>Athletic and specialty equipment. Pending owner selections. See EQUIPMENT ALLOWANCES.</t>
        </is>
      </c>
    </row>
    <row r="9" ht="18" customHeight="1">
      <c r="B9" s="75" t="inlineStr">
        <is>
          <t>General Conditions</t>
        </is>
      </c>
      <c r="C9" s="20">
        <f>'BID SUMMARY'!C8</f>
        <v/>
      </c>
      <c r="D9" s="146">
        <f>IFERROR(C9/C13,0)</f>
        <v/>
      </c>
      <c r="E9" s="147">
        <f>IFERROR(C9/C36,0)</f>
        <v/>
      </c>
      <c r="F9" s="128" t="inlineStr">
        <is>
          <t>On-site supervision, temp facilities, insurance. Rate per ASSUMPTIONS.</t>
        </is>
      </c>
    </row>
    <row r="10" ht="18" customHeight="1">
      <c r="B10" s="33" t="inlineStr">
        <is>
          <t>Overhead &amp; Profit (OH&amp;P)</t>
        </is>
      </c>
      <c r="C10" s="20">
        <f>'BID SUMMARY'!C9</f>
        <v/>
      </c>
      <c r="D10" s="148">
        <f>IFERROR(C10/C13,0)</f>
        <v/>
      </c>
      <c r="E10" s="149">
        <f>IFERROR(C10/C36,0)</f>
        <v/>
      </c>
      <c r="F10" s="127" t="inlineStr">
        <is>
          <t>Contractor OH&amp;P. Rate per ASSUMPTIONS.</t>
        </is>
      </c>
    </row>
    <row r="11" ht="18" customHeight="1">
      <c r="B11" s="75" t="inlineStr">
        <is>
          <t>Total Contingencies</t>
        </is>
      </c>
      <c r="C11" s="20">
        <f>'BID SUMMARY'!C10</f>
        <v/>
      </c>
      <c r="D11" s="146">
        <f>IFERROR(C11/C13,0)</f>
        <v/>
      </c>
      <c r="E11" s="147">
        <f>IFERROR(C11/C36,0)</f>
        <v/>
      </c>
      <c r="F11" s="128" t="inlineStr">
        <is>
          <t>Design + existing conditions + owner selection contingency. Will reduce at each gate.</t>
        </is>
      </c>
    </row>
    <row r="12" ht="18" customHeight="1">
      <c r="B12" s="33" t="inlineStr">
        <is>
          <t>Bid / Permit / Bonds</t>
        </is>
      </c>
      <c r="C12" s="20">
        <f>'BID SUMMARY'!C11</f>
        <v/>
      </c>
      <c r="D12" s="148">
        <f>IFERROR(C12/C13,0)</f>
        <v/>
      </c>
      <c r="E12" s="149">
        <f>IFERROR(C12/C36,0)</f>
        <v/>
      </c>
      <c r="F12" s="127" t="inlineStr">
        <is>
          <t>Permitting fees, bid bonds, performance bonds.</t>
        </is>
      </c>
    </row>
    <row r="13" ht="25.5" customHeight="1">
      <c r="B13" s="150" t="inlineStr">
        <is>
          <t>TOTAL HARD COST (Construction ROM)</t>
        </is>
      </c>
      <c r="C13" s="151">
        <f>'BID SUMMARY'!C12</f>
        <v/>
      </c>
      <c r="D13" s="152" t="n">
        <v>1</v>
      </c>
      <c r="E13" s="153">
        <f>IFERROR(C13/C36,0)</f>
        <v/>
      </c>
      <c r="F13" s="154" t="n"/>
    </row>
    <row r="15" ht="19.5" customHeight="1">
      <c r="B15" s="189" t="inlineStr">
        <is>
          <t>SECTION 2 — SOFT COSTS (Professional Fees &amp; Owner Costs)</t>
        </is>
      </c>
    </row>
    <row r="16" ht="18" customHeight="1">
      <c r="B16" s="33" t="inlineStr">
        <is>
          <t>Architecture — Total Fee (base + renovation premium)</t>
        </is>
      </c>
      <c r="C16" s="20">
        <f>'SOFT COSTS'!F54</f>
        <v/>
      </c>
      <c r="D16" s="149">
        <f>IFERROR(C16/C13,0)</f>
        <v/>
      </c>
      <c r="E16" s="149">
        <f>IFERROR(C16/C36,0)</f>
        <v/>
      </c>
      <c r="F16" s="127" t="inlineStr">
        <is>
          <t>Base fee per M4Di fee schedule + renovation premium. See SOFT COSTS sheet.</t>
        </is>
      </c>
    </row>
    <row r="17" ht="18" customHeight="1">
      <c r="B17" s="75" t="inlineStr">
        <is>
          <t>Structural Engineering</t>
        </is>
      </c>
      <c r="C17" s="20">
        <f>'SOFT COSTS'!F57</f>
        <v/>
      </c>
      <c r="D17" s="147">
        <f>IFERROR(C17/C13,0)</f>
        <v/>
      </c>
      <c r="E17" s="147">
        <f>IFERROR(C17/C36,0)</f>
        <v/>
      </c>
      <c r="F17" s="128" t="inlineStr">
        <is>
          <t>See SOFT COSTS sheet for rate and override.</t>
        </is>
      </c>
    </row>
    <row r="18" ht="18" customHeight="1">
      <c r="B18" s="33" t="inlineStr">
        <is>
          <t>Mechanical Engineering (HVAC)</t>
        </is>
      </c>
      <c r="C18" s="20">
        <f>'SOFT COSTS'!F58</f>
        <v/>
      </c>
      <c r="D18" s="149">
        <f>IFERROR(C18/C13,0)</f>
        <v/>
      </c>
      <c r="E18" s="149">
        <f>IFERROR(C18/C36,0)</f>
        <v/>
      </c>
      <c r="F18" s="127" t="inlineStr">
        <is>
          <t>See SOFT COSTS sheet for rate and override.</t>
        </is>
      </c>
    </row>
    <row r="19" ht="18" customHeight="1">
      <c r="B19" s="75" t="inlineStr">
        <is>
          <t>Electrical Engineering</t>
        </is>
      </c>
      <c r="C19" s="20">
        <f>'SOFT COSTS'!F59</f>
        <v/>
      </c>
      <c r="D19" s="147">
        <f>IFERROR(C19/C13,0)</f>
        <v/>
      </c>
      <c r="E19" s="147">
        <f>IFERROR(C19/C36,0)</f>
        <v/>
      </c>
      <c r="F19" s="128" t="inlineStr">
        <is>
          <t>See SOFT COSTS sheet for rate and override.</t>
        </is>
      </c>
    </row>
    <row r="20" ht="18" customHeight="1">
      <c r="B20" s="33" t="inlineStr">
        <is>
          <t>Plumbing Engineering</t>
        </is>
      </c>
      <c r="C20" s="20">
        <f>'SOFT COSTS'!F60</f>
        <v/>
      </c>
      <c r="D20" s="149">
        <f>IFERROR(C20/C13,0)</f>
        <v/>
      </c>
      <c r="E20" s="149">
        <f>IFERROR(C20/C36,0)</f>
        <v/>
      </c>
      <c r="F20" s="127" t="inlineStr">
        <is>
          <t>See SOFT COSTS sheet for rate and override.</t>
        </is>
      </c>
    </row>
    <row r="21" ht="18" customHeight="1">
      <c r="B21" s="75" t="inlineStr">
        <is>
          <t>Fire Protection Engineering</t>
        </is>
      </c>
      <c r="C21" s="20">
        <f>'SOFT COSTS'!F61</f>
        <v/>
      </c>
      <c r="D21" s="147">
        <f>IFERROR(C21/C13,0)</f>
        <v/>
      </c>
      <c r="E21" s="147">
        <f>IFERROR(C21/C36,0)</f>
        <v/>
      </c>
      <c r="F21" s="128" t="inlineStr">
        <is>
          <t>See SOFT COSTS sheet for rate and override.</t>
        </is>
      </c>
    </row>
    <row r="22" ht="18" customHeight="1">
      <c r="B22" s="33" t="inlineStr">
        <is>
          <t>Civil Engineering</t>
        </is>
      </c>
      <c r="C22" s="20">
        <f>'SOFT COSTS'!F62</f>
        <v/>
      </c>
      <c r="D22" s="149">
        <f>IFERROR(C22/C13,0)</f>
        <v/>
      </c>
      <c r="E22" s="149">
        <f>IFERROR(C22/C36,0)</f>
        <v/>
      </c>
      <c r="F22" s="127" t="inlineStr">
        <is>
          <t>See SOFT COSTS sheet. Minimal for interior-only scope.</t>
        </is>
      </c>
    </row>
    <row r="23" ht="18" customHeight="1">
      <c r="B23" s="75" t="inlineStr">
        <is>
          <t>Geotechnical / Soils Report</t>
        </is>
      </c>
      <c r="C23" s="20">
        <f>'SOFT COSTS'!F63</f>
        <v/>
      </c>
      <c r="D23" s="147">
        <f>IFERROR(C23/C13,0)</f>
        <v/>
      </c>
      <c r="E23" s="147">
        <f>IFERROR(C23/C36,0)</f>
        <v/>
      </c>
      <c r="F23" s="128" t="inlineStr">
        <is>
          <t>Fixed fee item for new foundations or unknown conditions.</t>
        </is>
      </c>
    </row>
    <row r="24" ht="18" customHeight="1">
      <c r="B24" s="33" t="inlineStr">
        <is>
          <t>Other Consultants &amp; Owner Costs</t>
        </is>
      </c>
      <c r="C24" s="20">
        <f>'SOFT COSTS'!F85</f>
        <v/>
      </c>
      <c r="D24" s="149">
        <f>IFERROR(C24/C13,0)</f>
        <v/>
      </c>
      <c r="E24" s="149">
        <f>IFERROR(C24/C36,0)</f>
        <v/>
      </c>
      <c r="F24" s="127" t="inlineStr">
        <is>
          <t>Technology, legal, permits, insurance, testing, environmental. See SOFT COSTS.</t>
        </is>
      </c>
    </row>
    <row r="25" ht="25.5" customHeight="1">
      <c r="B25" s="155" t="inlineStr">
        <is>
          <t>TOTAL SOFT COSTS</t>
        </is>
      </c>
      <c r="C25" s="156">
        <f>'SOFT COSTS'!F86</f>
        <v/>
      </c>
      <c r="D25" s="141">
        <f>IFERROR(C25/C13,0)</f>
        <v/>
      </c>
      <c r="E25" s="157">
        <f>IFERROR(C25/C36,0)</f>
        <v/>
      </c>
      <c r="F25" s="142" t="n"/>
    </row>
    <row r="27" ht="19.5" customHeight="1">
      <c r="B27" s="191" t="inlineStr">
        <is>
          <t>SECTION 3 — OWNER CONTINGENCY &amp; PREDEVELOPMENT</t>
        </is>
      </c>
    </row>
    <row r="28" ht="19.5" customHeight="1">
      <c r="B28" s="33" t="inlineStr">
        <is>
          <t>Owner Project Contingency (post-GMP)</t>
        </is>
      </c>
      <c r="C28" s="158">
        <f>IFERROR(D28*C13,0)</f>
        <v/>
      </c>
      <c r="D28" s="159" t="n">
        <v>0.05</v>
      </c>
      <c r="E28" s="160">
        <f>IFERROR(C28/C36,0)</f>
        <v/>
      </c>
      <c r="F28" s="72" t="inlineStr">
        <is>
          <t>Owner-held contingency for scope changes, unforeseen conditions, and owner decisions after GMP. Recommend 5%–10%.</t>
        </is>
      </c>
    </row>
    <row r="29" ht="19.5" customHeight="1">
      <c r="B29" s="75" t="inlineStr">
        <is>
          <t>Predevelopment Costs (M4Di P1–P3 fees)</t>
        </is>
      </c>
      <c r="C29" s="161">
        <f>IFERROR(D29*C13,0)</f>
        <v/>
      </c>
      <c r="D29" s="159" t="n">
        <v>0</v>
      </c>
      <c r="E29" s="160">
        <f>IFERROR(C29/C36,0)</f>
        <v/>
      </c>
      <c r="F29" s="76" t="inlineStr">
        <is>
          <t>M4Di feasibility ops fees already incurred or contracted. Enter fixed dollar amount in override on SOFT COSTS.</t>
        </is>
      </c>
    </row>
    <row r="30" ht="19.5" customHeight="1">
      <c r="B30" s="33" t="inlineStr">
        <is>
          <t>FF&amp;E — Furniture, Fixtures &amp; Equipment</t>
        </is>
      </c>
      <c r="C30" s="158">
        <f>IFERROR(D30*C13,0)</f>
        <v/>
      </c>
      <c r="D30" s="159" t="n">
        <v>0</v>
      </c>
      <c r="E30" s="160">
        <f>IFERROR(C30/C36,0)</f>
        <v/>
      </c>
      <c r="F30" s="72" t="inlineStr">
        <is>
          <t>Non-construction FF&amp;E not in the construction contract. Enter lump sum estimate.</t>
        </is>
      </c>
    </row>
    <row r="31" ht="19.5" customHeight="1">
      <c r="B31" s="75" t="inlineStr">
        <is>
          <t>Technology / AV / Security Systems</t>
        </is>
      </c>
      <c r="C31" s="161">
        <f>IFERROR(D31*C13,0)</f>
        <v/>
      </c>
      <c r="D31" s="159" t="n">
        <v>0</v>
      </c>
      <c r="E31" s="160">
        <f>IFERROR(C31/C36,0)</f>
        <v/>
      </c>
      <c r="F31" s="76" t="inlineStr">
        <is>
          <t>Owner-procured tech systems outside of construction contract. Enter estimate.</t>
        </is>
      </c>
    </row>
    <row r="32" ht="19.5" customHeight="1">
      <c r="B32" s="33" t="inlineStr">
        <is>
          <t>Moving / Relocation / Swing Space</t>
        </is>
      </c>
      <c r="C32" s="158">
        <f>IFERROR(D32*C13,0)</f>
        <v/>
      </c>
      <c r="D32" s="159" t="n">
        <v>0</v>
      </c>
      <c r="E32" s="160">
        <f>IFERROR(C32/C36,0)</f>
        <v/>
      </c>
      <c r="F32" s="72" t="inlineStr">
        <is>
          <t>If applicable. Enter fixed estimate.</t>
        </is>
      </c>
    </row>
    <row r="33" ht="19.5" customHeight="1">
      <c r="B33" s="75" t="inlineStr">
        <is>
          <t>Program Reserve (funding gap buffer)</t>
        </is>
      </c>
      <c r="C33" s="161">
        <f>IFERROR(D33*C13,0)</f>
        <v/>
      </c>
      <c r="D33" s="159" t="n">
        <v>0</v>
      </c>
      <c r="E33" s="160">
        <f>IFERROR(C33/C36,0)</f>
        <v/>
      </c>
      <c r="F33" s="76" t="inlineStr">
        <is>
          <t>Discretionary reserve for funding shortfalls. Typically 3%–8% of total project cost for nonprofit owners.</t>
        </is>
      </c>
    </row>
    <row r="34" ht="21.75" customHeight="1">
      <c r="B34" s="162" t="inlineStr">
        <is>
          <t>TOTAL OWNER CONTINGENCY &amp; OTHER</t>
        </is>
      </c>
      <c r="C34" s="163">
        <f>C28+C29+C30+C31+C32+C33</f>
        <v/>
      </c>
      <c r="D34" s="164">
        <f>IFERROR(C34/C13,0)</f>
        <v/>
      </c>
      <c r="E34" s="165">
        <f>IFERROR(C34/C36,0)</f>
        <v/>
      </c>
      <c r="F34" s="138" t="n"/>
    </row>
    <row r="36" ht="33.75" customHeight="1">
      <c r="B36" s="166" t="inlineStr">
        <is>
          <t>TOTAL PROJECT INVESTMENT</t>
        </is>
      </c>
      <c r="C36" s="167">
        <f>C13+C25+C34</f>
        <v/>
      </c>
      <c r="D36" s="168" t="n">
        <v>1</v>
      </c>
      <c r="E36" s="142" t="n"/>
      <c r="F36" s="142" t="n"/>
    </row>
    <row r="38" ht="19.5" customHeight="1">
      <c r="B38" s="224" t="inlineStr">
        <is>
          <t>SUMMARY METRICS</t>
        </is>
      </c>
    </row>
    <row r="39" ht="19.5" customHeight="1">
      <c r="B39" s="2" t="inlineStr">
        <is>
          <t>Total Project Investment</t>
        </is>
      </c>
      <c r="C39" s="169">
        <f>C36</f>
        <v/>
      </c>
      <c r="D39" s="225" t="n"/>
      <c r="E39" s="294" t="n"/>
      <c r="F39" s="294" t="n"/>
    </row>
    <row r="40" ht="19.5" customHeight="1">
      <c r="B40" s="75" t="inlineStr">
        <is>
          <t>Hard Cost ROM</t>
        </is>
      </c>
      <c r="C40" s="170">
        <f>'BID SUMMARY'!C12</f>
        <v/>
      </c>
      <c r="D40" s="223" t="n"/>
      <c r="E40" s="294" t="n"/>
      <c r="F40" s="294" t="n"/>
    </row>
    <row r="41" ht="19.5" customHeight="1">
      <c r="B41" s="33" t="inlineStr">
        <is>
          <t>Soft Costs (professional fees + other)</t>
        </is>
      </c>
      <c r="C41" s="171">
        <f>'SOFT COSTS'!F86</f>
        <v/>
      </c>
      <c r="D41" s="220" t="n"/>
      <c r="E41" s="294" t="n"/>
      <c r="F41" s="294" t="n"/>
    </row>
    <row r="42" ht="27.75" customHeight="1">
      <c r="B42" s="75" t="inlineStr">
        <is>
          <t>Soft Costs as % of Hard Costs</t>
        </is>
      </c>
      <c r="C42" s="172">
        <f>IFERROR('SOFT COSTS'!F86/'BID SUMMARY'!C12,0)</f>
        <v/>
      </c>
      <c r="D42" s="223" t="inlineStr">
        <is>
          <t>Benchmark: 18%–25% typical community facility; 25%–35% complex renovation/new construction.</t>
        </is>
      </c>
      <c r="E42" s="294" t="n"/>
      <c r="F42" s="294" t="n"/>
    </row>
    <row r="43" ht="27.75" customHeight="1">
      <c r="B43" s="33" t="inlineStr">
        <is>
          <t>Total Project Cost / SF</t>
        </is>
      </c>
      <c r="C43" s="173">
        <f>IFERROR(C36/ASSUMPTIONS!C9,0)</f>
        <v/>
      </c>
      <c r="D43" s="220" t="inlineStr">
        <is>
          <t>Total investment including all soft costs. Compare to $/SF benchmarks in SF BENCHMARK sheet.</t>
        </is>
      </c>
      <c r="E43" s="294" t="n"/>
      <c r="F43" s="294" t="n"/>
    </row>
    <row r="44" ht="27.75" customHeight="1">
      <c r="B44" s="75" t="inlineStr">
        <is>
          <t>Hard Cost / SF</t>
        </is>
      </c>
      <c r="C44" s="174">
        <f>'BID SUMMARY'!C14</f>
        <v/>
      </c>
      <c r="D44" s="223" t="inlineStr">
        <is>
          <t>Construction cost only. Use for benchmarking against comparable projects.</t>
        </is>
      </c>
      <c r="E44" s="294" t="n"/>
      <c r="F44" s="294" t="n"/>
    </row>
  </sheetData>
  <mergeCells count="13">
    <mergeCell ref="D42:F42"/>
    <mergeCell ref="B6:F6"/>
    <mergeCell ref="B38:F38"/>
    <mergeCell ref="B2:F2"/>
    <mergeCell ref="D41:F41"/>
    <mergeCell ref="B15:F15"/>
    <mergeCell ref="B3:F3"/>
    <mergeCell ref="D40:F40"/>
    <mergeCell ref="D44:F44"/>
    <mergeCell ref="B1:F1"/>
    <mergeCell ref="D39:F39"/>
    <mergeCell ref="B27:F27"/>
    <mergeCell ref="D43:F43"/>
  </mergeCells>
  <pageMargins left="0.75" right="0.75" top="1" bottom="1" header="0.511811023622047" footer="0.511805555555556"/>
  <pageSetup orientation="portrait" paperSize="9" horizontalDpi="300" verticalDpi="300"/>
  <headerFooter>
    <oddHeader/>
    <oddFooter>&amp;L&amp;8 M4Di — Merge 4 Development Institute, Inc.&amp;C&amp;8 Page &amp;P of &amp;N  ·  Draft — Internal Use Only  ·  © 2026 M4Di, Inc.&amp;R&amp;8 M4Di.Oi™  ALDi™  FeasOps™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009B1C1C"/>
    <outlinePr summaryBelow="1" summaryRight="1"/>
    <pageSetUpPr/>
  </sheetPr>
  <dimension ref="B1:C34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40" customWidth="1" min="3" max="3"/>
    <col width="2" customWidth="1" min="4" max="4"/>
  </cols>
  <sheetData>
    <row r="1" ht="18" customHeight="1">
      <c r="B1" s="326" t="inlineStr">
        <is>
          <t>ALDDB EXPORT - Closeout Data Row | M4Di Historical Cost Database</t>
        </is>
      </c>
    </row>
    <row r="2">
      <c r="B2" s="327" t="inlineStr">
        <is>
          <t>Complete at Gate 4 closeout. Copy Col C as VALUES into ALDDB Master next empty row. This is the moat. Never skip.</t>
        </is>
      </c>
    </row>
    <row r="4" ht="14" customHeight="1">
      <c r="B4" s="251" t="inlineStr">
        <is>
          <t>FIELD</t>
        </is>
      </c>
      <c r="C4" s="251" t="inlineStr">
        <is>
          <t>VALUE / FORMULA</t>
        </is>
      </c>
    </row>
    <row r="5" ht="14" customHeight="1">
      <c r="B5" s="233" t="inlineStr">
        <is>
          <t>Project Code</t>
        </is>
      </c>
      <c r="C5" s="328">
        <f>COVER!C6</f>
        <v/>
      </c>
    </row>
    <row r="6" ht="14" customHeight="1">
      <c r="B6" s="233" t="inlineStr">
        <is>
          <t>Project Name</t>
        </is>
      </c>
      <c r="C6" s="328">
        <f>COVER!C7</f>
        <v/>
      </c>
    </row>
    <row r="7" ht="14" customHeight="1">
      <c r="B7" s="233" t="inlineStr">
        <is>
          <t>Address</t>
        </is>
      </c>
      <c r="C7" s="328">
        <f>COVER!C8</f>
        <v/>
      </c>
    </row>
    <row r="8" ht="14" customHeight="1">
      <c r="B8" s="233" t="inlineStr">
        <is>
          <t>Client</t>
        </is>
      </c>
      <c r="C8" s="328">
        <f>COVER!C9</f>
        <v/>
      </c>
    </row>
    <row r="9" ht="14" customHeight="1">
      <c r="B9" s="233" t="inlineStr">
        <is>
          <t>Lead Firm</t>
        </is>
      </c>
      <c r="C9" s="328">
        <f>COVER!C10</f>
        <v/>
      </c>
    </row>
    <row r="10" ht="14" customHeight="1">
      <c r="B10" s="233" t="inlineStr">
        <is>
          <t>ALDi Gate at Export</t>
        </is>
      </c>
      <c r="C10" s="234" t="inlineStr">
        <is>
          <t>G4 Closeout (enter manually)</t>
        </is>
      </c>
    </row>
    <row r="11" ht="14" customHeight="1">
      <c r="B11" s="233" t="inlineStr">
        <is>
          <t>Governing Code</t>
        </is>
      </c>
      <c r="C11" s="328">
        <f>COVER!C15</f>
        <v/>
      </c>
    </row>
    <row r="12" ht="14" customHeight="1">
      <c r="B12" s="233" t="inlineStr">
        <is>
          <t>Construction Type</t>
        </is>
      </c>
      <c r="C12" s="328">
        <f>COVER!C24</f>
        <v/>
      </c>
    </row>
    <row r="13" ht="14" customHeight="1">
      <c r="B13" s="233" t="inlineStr">
        <is>
          <t>Total Units</t>
        </is>
      </c>
      <c r="C13" s="328">
        <f>COVER!C24</f>
        <v/>
      </c>
    </row>
    <row r="14" ht="14" customHeight="1">
      <c r="B14" s="233" t="inlineStr">
        <is>
          <t>Unit SF</t>
        </is>
      </c>
      <c r="C14" s="328">
        <f>COVER!C29</f>
        <v/>
      </c>
    </row>
    <row r="15" ht="14" customHeight="1">
      <c r="B15" s="233" t="inlineStr">
        <is>
          <t>Total GFA (SF)</t>
        </is>
      </c>
      <c r="C15" s="328">
        <f>COVER!C30</f>
        <v/>
      </c>
    </row>
    <row r="16" ht="14" customHeight="1">
      <c r="B16" s="233" t="inlineStr">
        <is>
          <t>Site SF</t>
        </is>
      </c>
      <c r="C16" s="328">
        <f>COVER!C18</f>
        <v/>
      </c>
    </row>
    <row r="17" ht="14" customHeight="1">
      <c r="B17" s="233" t="inlineStr">
        <is>
          <t>Site Acres</t>
        </is>
      </c>
      <c r="C17" s="328">
        <f>COVER!C19</f>
        <v/>
      </c>
    </row>
    <row r="18" ht="14" customHeight="1">
      <c r="B18" s="233" t="inlineStr">
        <is>
          <t>Year Completed</t>
        </is>
      </c>
      <c r="C18" s="234" t="inlineStr">
        <is>
          <t>Enter at closeout</t>
        </is>
      </c>
    </row>
    <row r="19" ht="14" customHeight="1">
      <c r="B19" s="233" t="inlineStr">
        <is>
          <t>Column D ROM Total</t>
        </is>
      </c>
      <c r="C19" s="328">
        <f>COVER!C54</f>
        <v/>
      </c>
    </row>
    <row r="20" ht="14" customHeight="1">
      <c r="B20" s="233" t="inlineStr">
        <is>
          <t>Column E 75% DD</t>
        </is>
      </c>
      <c r="C20" s="234" t="inlineStr">
        <is>
          <t>Enter from BUDGET TRACKER at closeout</t>
        </is>
      </c>
    </row>
    <row r="21" ht="14" customHeight="1">
      <c r="B21" s="233" t="inlineStr">
        <is>
          <t>Column F GMP/SOV</t>
        </is>
      </c>
      <c r="C21" s="234" t="inlineStr">
        <is>
          <t>Enter from BUDGET TRACKER at closeout</t>
        </is>
      </c>
    </row>
    <row r="22" ht="14" customHeight="1">
      <c r="B22" s="233" t="inlineStr">
        <is>
          <t>Column G Actual Cost</t>
        </is>
      </c>
      <c r="C22" s="234" t="inlineStr">
        <is>
          <t>Enter from BUDGET TRACKER at closeout</t>
        </is>
      </c>
    </row>
    <row r="23" ht="14" customHeight="1">
      <c r="B23" s="233" t="inlineStr">
        <is>
          <t>Column D vs G Variance ($)</t>
        </is>
      </c>
      <c r="C23" s="328">
        <f>IF(C15&gt;0,C17-C15,"-")</f>
        <v/>
      </c>
    </row>
    <row r="24" ht="14" customHeight="1">
      <c r="B24" s="233" t="inlineStr">
        <is>
          <t>Column D vs G Variance (%)</t>
        </is>
      </c>
      <c r="C24" s="328">
        <f>IF(C15&gt;0,(C17-C15)/C15,"-")</f>
        <v/>
      </c>
    </row>
    <row r="25" ht="14" customHeight="1">
      <c r="B25" s="233" t="inlineStr">
        <is>
          <t>Hard Cost / SF</t>
        </is>
      </c>
      <c r="C25" s="328">
        <f>COVER!C64</f>
        <v/>
      </c>
    </row>
    <row r="26" ht="14" customHeight="1">
      <c r="B26" s="233" t="inlineStr">
        <is>
          <t>Total Cost / SF</t>
        </is>
      </c>
      <c r="C26" s="328">
        <f>COVER!C65</f>
        <v/>
      </c>
    </row>
    <row r="27" ht="14" customHeight="1">
      <c r="B27" s="233" t="inlineStr">
        <is>
          <t>Subsidy Gap / Unit</t>
        </is>
      </c>
      <c r="C27" s="234" t="inlineStr">
        <is>
          <t>Enter from BUDGET TRACKER at closeout</t>
        </is>
      </c>
    </row>
    <row r="28" ht="14" customHeight="1">
      <c r="B28" s="233" t="inlineStr">
        <is>
          <t>ENR Index</t>
        </is>
      </c>
      <c r="C28" s="328">
        <f>COVER!C66</f>
        <v/>
      </c>
    </row>
    <row r="29" ht="14" customHeight="1">
      <c r="B29" s="233" t="inlineStr">
        <is>
          <t>Bid Date</t>
        </is>
      </c>
      <c r="C29" s="328">
        <f>COVER!C67</f>
        <v/>
      </c>
    </row>
    <row r="30" ht="14" customHeight="1">
      <c r="B30" s="233" t="inlineStr">
        <is>
          <t>Key Variance Notes</t>
        </is>
      </c>
      <c r="C30" s="234" t="inlineStr">
        <is>
          <t>Enter from VARIANCE LOG at closeout</t>
        </is>
      </c>
    </row>
    <row r="31" ht="14" customHeight="1">
      <c r="B31" s="233" t="inlineStr">
        <is>
          <t>Data Entry Date</t>
        </is>
      </c>
      <c r="C31" s="234" t="inlineStr">
        <is>
          <t>Enter at closeout</t>
        </is>
      </c>
    </row>
    <row r="34">
      <c r="B34" s="329" t="inlineStr">
        <is>
          <t>PROTOCOL: At Gate 4 closeout, complete all blue "Enter" cells. Copy Col C as Paste Special &gt; Values into next ALDDB Master row. One row per closed project. This feeds the moat.</t>
        </is>
      </c>
    </row>
  </sheetData>
  <mergeCells count="3">
    <mergeCell ref="B1:C1"/>
    <mergeCell ref="B2:C2"/>
    <mergeCell ref="B34:C3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9E9E9E"/>
    <outlinePr summaryBelow="1" summaryRight="1"/>
    <pageSetUpPr/>
  </sheetPr>
  <dimension ref="B1:I28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8" customWidth="1" min="2" max="2"/>
    <col width="22" customWidth="1" min="3" max="3"/>
    <col width="8" customWidth="1" min="4" max="4"/>
    <col width="24" customWidth="1" min="5" max="5"/>
    <col width="28" customWidth="1" min="6" max="6"/>
    <col width="20" customWidth="1" min="7" max="7"/>
    <col width="14" customWidth="1" min="8" max="9"/>
  </cols>
  <sheetData>
    <row r="1" ht="19.5" customHeight="1">
      <c r="B1" s="187" t="inlineStr">
        <is>
          <t>TAB QA — CRITICAL FORMULA CHECKS &amp; WORKBOOK VALIDATION</t>
        </is>
      </c>
    </row>
    <row r="2" ht="30" customHeight="1">
      <c r="B2" s="228" t="inlineStr">
        <is>
          <t>Use this sheet after any revision to confirm critical formulas are working correctly. Open in Excel, press Ctrl+Alt+F9 to force full recalculation, then review each check.</t>
        </is>
      </c>
    </row>
    <row r="3" ht="21.75" customHeight="1">
      <c r="B3" s="37" t="inlineStr">
        <is>
          <t>Check ID</t>
        </is>
      </c>
      <c r="C3" s="37" t="inlineStr">
        <is>
          <t>Sheet</t>
        </is>
      </c>
      <c r="D3" s="37" t="inlineStr">
        <is>
          <t>Cell</t>
        </is>
      </c>
      <c r="E3" s="37" t="inlineStr">
        <is>
          <t>Description</t>
        </is>
      </c>
      <c r="F3" s="37" t="inlineStr">
        <is>
          <t>Expected Behavior</t>
        </is>
      </c>
      <c r="G3" s="37" t="inlineStr">
        <is>
          <t>Live Value</t>
        </is>
      </c>
      <c r="H3" s="37" t="inlineStr">
        <is>
          <t>Manual QA Result</t>
        </is>
      </c>
      <c r="I3" s="37" t="inlineStr">
        <is>
          <t>Reviewer Notes</t>
        </is>
      </c>
    </row>
    <row r="4" ht="18" customHeight="1">
      <c r="B4" s="175" t="inlineStr">
        <is>
          <t>QA-01</t>
        </is>
      </c>
      <c r="C4" s="39" t="inlineStr">
        <is>
          <t>ASSUMPTIONS</t>
        </is>
      </c>
      <c r="D4" s="39" t="inlineStr">
        <is>
          <t>C12</t>
        </is>
      </c>
      <c r="E4" s="39" t="inlineStr">
        <is>
          <t>Weighted trade labor factor</t>
        </is>
      </c>
      <c r="F4" s="39" t="inlineStr">
        <is>
          <t>Returns 1.000x for Delaware and ~1.145x for Philadelphia Metro</t>
        </is>
      </c>
      <c r="G4" s="16">
        <f>ASSUMPTIONS!C12</f>
        <v/>
      </c>
      <c r="H4" s="55" t="inlineStr">
        <is>
          <t>Not Checked</t>
        </is>
      </c>
      <c r="I4" s="176" t="n"/>
    </row>
    <row r="5" ht="18" customHeight="1">
      <c r="B5" s="177" t="inlineStr">
        <is>
          <t>QA-02</t>
        </is>
      </c>
      <c r="C5" s="46" t="inlineStr">
        <is>
          <t>REGIONAL FACTORS</t>
        </is>
      </c>
      <c r="D5" s="46" t="inlineStr">
        <is>
          <t>I3</t>
        </is>
      </c>
      <c r="E5" s="46" t="inlineStr">
        <is>
          <t>Delaware weighted labor basket</t>
        </is>
      </c>
      <c r="F5" s="46" t="inlineStr">
        <is>
          <t>Returns a numeric weighted basket (should be ~26.17)</t>
        </is>
      </c>
      <c r="G5" s="53">
        <f>'REGIONAL FACTORS'!I3</f>
        <v/>
      </c>
      <c r="H5" s="55" t="inlineStr">
        <is>
          <t>Not Checked</t>
        </is>
      </c>
      <c r="I5" s="178" t="n"/>
    </row>
    <row r="6" ht="18" customHeight="1">
      <c r="B6" s="175" t="inlineStr">
        <is>
          <t>QA-03</t>
        </is>
      </c>
      <c r="C6" s="39" t="inlineStr">
        <is>
          <t>REGIONAL FACTORS</t>
        </is>
      </c>
      <c r="D6" s="39" t="inlineStr">
        <is>
          <t>I4</t>
        </is>
      </c>
      <c r="E6" s="39" t="inlineStr">
        <is>
          <t>Philadelphia region factor</t>
        </is>
      </c>
      <c r="F6" s="39" t="inlineStr">
        <is>
          <t>Returns factor &gt;1.000x (should be ~1.145)</t>
        </is>
      </c>
      <c r="G6" s="53">
        <f>'REGIONAL FACTORS'!I4</f>
        <v/>
      </c>
      <c r="H6" s="55" t="inlineStr">
        <is>
          <t>Not Checked</t>
        </is>
      </c>
      <c r="I6" s="176" t="n"/>
    </row>
    <row r="7" ht="18" customHeight="1">
      <c r="B7" s="177" t="inlineStr">
        <is>
          <t>QA-04</t>
        </is>
      </c>
      <c r="C7" s="46" t="inlineStr">
        <is>
          <t>UNIT PRICE LIBRARY</t>
        </is>
      </c>
      <c r="D7" s="46" t="inlineStr">
        <is>
          <t>K3</t>
        </is>
      </c>
      <c r="E7" s="46" t="inlineStr">
        <is>
          <t>Adjusted unit price row 3</t>
        </is>
      </c>
      <c r="F7" s="46" t="inlineStr">
        <is>
          <t>Returns numeric adjusted unit price (Base Price × Region Factor × Escalation)</t>
        </is>
      </c>
      <c r="G7" s="53">
        <f>'UNIT PRICE LIBRARY'!K3</f>
        <v/>
      </c>
      <c r="H7" s="55" t="inlineStr">
        <is>
          <t>Not Checked</t>
        </is>
      </c>
      <c r="I7" s="178" t="n"/>
    </row>
    <row r="8" ht="18" customHeight="1">
      <c r="B8" s="175" t="inlineStr">
        <is>
          <t>QA-05</t>
        </is>
      </c>
      <c r="C8" s="39" t="inlineStr">
        <is>
          <t>TAKEOFF</t>
        </is>
      </c>
      <c r="D8" s="39" t="inlineStr">
        <is>
          <t>L3</t>
        </is>
      </c>
      <c r="E8" s="39" t="inlineStr">
        <is>
          <t>Adj. unit cost VLOOKUP row 3</t>
        </is>
      </c>
      <c r="F8" s="39" t="inlineStr">
        <is>
          <t>Returns matching adjusted unit cost from UNIT PRICE LIBRARY via Cost Code VLOOKUP</t>
        </is>
      </c>
      <c r="G8" s="53">
        <f>TAKEOFF!L3</f>
        <v/>
      </c>
      <c r="H8" s="55" t="inlineStr">
        <is>
          <t>Not Checked</t>
        </is>
      </c>
      <c r="I8" s="176" t="n"/>
    </row>
    <row r="9" ht="18" customHeight="1">
      <c r="B9" s="177" t="inlineStr">
        <is>
          <t>QA-06</t>
        </is>
      </c>
      <c r="C9" s="46" t="inlineStr">
        <is>
          <t>TAKEOFF</t>
        </is>
      </c>
      <c r="D9" s="46" t="inlineStr">
        <is>
          <t>M3</t>
        </is>
      </c>
      <c r="E9" s="46" t="inlineStr">
        <is>
          <t>Takeoff line total row 3</t>
        </is>
      </c>
      <c r="F9" s="46" t="inlineStr">
        <is>
          <t>Returns quantity × adjusted unit cost (or 0 if Included = No)</t>
        </is>
      </c>
      <c r="G9" s="20">
        <f>TAKEOFF!M3</f>
        <v/>
      </c>
      <c r="H9" s="55" t="inlineStr">
        <is>
          <t>Not Checked</t>
        </is>
      </c>
      <c r="I9" s="178" t="n"/>
    </row>
    <row r="10" ht="18" customHeight="1">
      <c r="B10" s="175" t="inlineStr">
        <is>
          <t>QA-07</t>
        </is>
      </c>
      <c r="C10" s="39" t="inlineStr">
        <is>
          <t>FLOOR SUMMARY</t>
        </is>
      </c>
      <c r="D10" s="39" t="inlineStr">
        <is>
          <t>C3</t>
        </is>
      </c>
      <c r="E10" s="39" t="inlineStr">
        <is>
          <t>LL base building total</t>
        </is>
      </c>
      <c r="F10" s="39" t="inlineStr">
        <is>
          <t>Sums all LL rows from TAKEOFF where Included = Yes or Allowance</t>
        </is>
      </c>
      <c r="G10" s="20">
        <f>'FLOOR SUMMARY'!C3</f>
        <v/>
      </c>
      <c r="H10" s="55" t="inlineStr">
        <is>
          <t>Not Checked</t>
        </is>
      </c>
      <c r="I10" s="176" t="n"/>
    </row>
    <row r="11" ht="18" customHeight="1">
      <c r="B11" s="177" t="inlineStr">
        <is>
          <t>QA-08</t>
        </is>
      </c>
      <c r="C11" s="46" t="inlineStr">
        <is>
          <t>FLOOR SUMMARY</t>
        </is>
      </c>
      <c r="D11" s="46" t="inlineStr">
        <is>
          <t>I8</t>
        </is>
      </c>
      <c r="E11" s="46" t="inlineStr">
        <is>
          <t>Total Project ROM</t>
        </is>
      </c>
      <c r="F11" s="46" t="inlineStr">
        <is>
          <t>Should equal sum of all floor totals in column J</t>
        </is>
      </c>
      <c r="G11" s="20">
        <f>'FLOOR SUMMARY'!I8</f>
        <v/>
      </c>
      <c r="H11" s="55" t="inlineStr">
        <is>
          <t>Not Checked</t>
        </is>
      </c>
      <c r="I11" s="178" t="n"/>
    </row>
    <row r="12" ht="18" customHeight="1">
      <c r="B12" s="175" t="inlineStr">
        <is>
          <t>QA-09</t>
        </is>
      </c>
      <c r="C12" s="39" t="inlineStr">
        <is>
          <t>BID SUMMARY</t>
        </is>
      </c>
      <c r="D12" s="39" t="inlineStr">
        <is>
          <t>C10</t>
        </is>
      </c>
      <c r="E12" s="39" t="inlineStr">
        <is>
          <t>TOTAL PROJECT ROM</t>
        </is>
      </c>
      <c r="F12" s="39" t="inlineStr">
        <is>
          <t>Should match FLOOR SUMMARY total project ROM within rounding</t>
        </is>
      </c>
      <c r="G12" s="20">
        <f>'BID SUMMARY'!C12</f>
        <v/>
      </c>
      <c r="H12" s="55" t="inlineStr">
        <is>
          <t>Not Checked</t>
        </is>
      </c>
      <c r="I12" s="176" t="n"/>
    </row>
    <row r="13" ht="18" customHeight="1">
      <c r="B13" s="177" t="inlineStr">
        <is>
          <t>QA-10</t>
        </is>
      </c>
      <c r="C13" s="46" t="inlineStr">
        <is>
          <t>BID SUMMARY</t>
        </is>
      </c>
      <c r="D13" s="46" t="inlineStr">
        <is>
          <t>C14</t>
        </is>
      </c>
      <c r="E13" s="46" t="inlineStr">
        <is>
          <t>Project cost per SF</t>
        </is>
      </c>
      <c r="F13" s="46" t="inlineStr">
        <is>
          <t>Total ROM / Project SF from ASSUMPTIONS. Returns numeric $/SF.</t>
        </is>
      </c>
      <c r="G13" s="53">
        <f>'BID SUMMARY'!C14</f>
        <v/>
      </c>
      <c r="H13" s="55" t="inlineStr">
        <is>
          <t>Not Checked</t>
        </is>
      </c>
      <c r="I13" s="178" t="n"/>
    </row>
    <row r="14" ht="18" customHeight="1">
      <c r="B14" s="175" t="inlineStr">
        <is>
          <t>QA-11</t>
        </is>
      </c>
      <c r="C14" s="39" t="inlineStr">
        <is>
          <t>OWNER SELECTIONS</t>
        </is>
      </c>
      <c r="D14" s="39" t="inlineStr">
        <is>
          <t>M12</t>
        </is>
      </c>
      <c r="E14" s="39" t="inlineStr">
        <is>
          <t>Owner selection allowance total</t>
        </is>
      </c>
      <c r="F14" s="39" t="inlineStr">
        <is>
          <t>Returns sum of all Allowance Each × Qty. Should match EQUIPMENT ALLOWANCES total.</t>
        </is>
      </c>
      <c r="G14" s="179">
        <f>'OWNER SELECTIONS'!M12</f>
        <v/>
      </c>
      <c r="H14" s="55" t="inlineStr">
        <is>
          <t>Not Checked</t>
        </is>
      </c>
      <c r="I14" s="176" t="n"/>
    </row>
    <row r="15" ht="18" customHeight="1">
      <c r="B15" s="177" t="inlineStr">
        <is>
          <t>QA-12</t>
        </is>
      </c>
      <c r="C15" s="46" t="inlineStr">
        <is>
          <t>SF BENCHMARK</t>
        </is>
      </c>
      <c r="D15" s="46" t="inlineStr">
        <is>
          <t>C6</t>
        </is>
      </c>
      <c r="E15" s="46" t="inlineStr">
        <is>
          <t>Calculated project cost / SF</t>
        </is>
      </c>
      <c r="F15" s="46" t="inlineStr">
        <is>
          <t>Returns numeric $/SF from BID SUMMARY</t>
        </is>
      </c>
      <c r="G15" s="53">
        <f>'SF BENCHMARK'!C6</f>
        <v/>
      </c>
      <c r="H15" s="55" t="inlineStr">
        <is>
          <t>Not Checked</t>
        </is>
      </c>
      <c r="I15" s="178" t="n"/>
    </row>
    <row r="16" ht="18" customHeight="1">
      <c r="B16" s="175" t="inlineStr">
        <is>
          <t>QA-13</t>
        </is>
      </c>
      <c r="C16" s="39" t="inlineStr">
        <is>
          <t>SF BENCHMARK</t>
        </is>
      </c>
      <c r="D16" s="39" t="inlineStr">
        <is>
          <t>F6</t>
        </is>
      </c>
      <c r="E16" s="39" t="inlineStr">
        <is>
          <t>Sanity check text</t>
        </is>
      </c>
      <c r="F16" s="39" t="inlineStr">
        <is>
          <t>Returns readable text: Within historical range / Above / Below</t>
        </is>
      </c>
      <c r="G16" s="179">
        <f>'SF BENCHMARK'!F6</f>
        <v/>
      </c>
      <c r="H16" s="55" t="inlineStr">
        <is>
          <t>Not Checked</t>
        </is>
      </c>
      <c r="I16" s="176" t="n"/>
    </row>
    <row r="17" ht="18" customHeight="1">
      <c r="B17" s="177" t="inlineStr">
        <is>
          <t>QA-14</t>
        </is>
      </c>
      <c r="C17" s="46" t="inlineStr">
        <is>
          <t>HISTORICAL DB</t>
        </is>
      </c>
      <c r="D17" s="46" t="inlineStr">
        <is>
          <t>H4</t>
        </is>
      </c>
      <c r="E17" s="46" t="inlineStr">
        <is>
          <t>Historical cost per SF row 4</t>
        </is>
      </c>
      <c r="F17" s="46" t="inlineStr">
        <is>
          <t>Returns numeric cost/SF for the first historical project</t>
        </is>
      </c>
      <c r="G17" s="53">
        <f>'HISTORICAL DB'!H4</f>
        <v/>
      </c>
      <c r="H17" s="55" t="inlineStr">
        <is>
          <t>Not Checked</t>
        </is>
      </c>
      <c r="I17" s="178" t="n"/>
    </row>
    <row r="18" ht="18" customHeight="1">
      <c r="B18" s="175" t="inlineStr">
        <is>
          <t>QA-15</t>
        </is>
      </c>
      <c r="C18" s="39" t="inlineStr">
        <is>
          <t>ALLOWANCE LOG</t>
        </is>
      </c>
      <c r="D18" s="39" t="inlineStr">
        <is>
          <t>F12</t>
        </is>
      </c>
      <c r="E18" s="39" t="inlineStr">
        <is>
          <t>Total open allowances</t>
        </is>
      </c>
      <c r="F18" s="39" t="inlineStr">
        <is>
          <t>Sum of all allowance amounts. Should be &gt; $0 while items are pending.</t>
        </is>
      </c>
      <c r="G18" s="179">
        <f>'ALLOWANCE LOG'!F12</f>
        <v/>
      </c>
      <c r="H18" s="55" t="inlineStr">
        <is>
          <t>Not Checked</t>
        </is>
      </c>
      <c r="I18" s="176" t="n"/>
    </row>
    <row r="21" ht="19.5" customHeight="1">
      <c r="B21" s="188" t="inlineStr">
        <is>
          <t>QUICK QA STEPS</t>
        </is>
      </c>
    </row>
    <row r="22" ht="15.75" customHeight="1">
      <c r="B22" s="227" t="inlineStr">
        <is>
          <t>1. Open workbook in desktop Excel (not browser).</t>
        </is>
      </c>
      <c r="C22" s="294" t="n"/>
      <c r="D22" s="294" t="n"/>
      <c r="E22" s="294" t="n"/>
      <c r="F22" s="294" t="n"/>
      <c r="G22" s="294" t="n"/>
      <c r="H22" s="294" t="n"/>
      <c r="I22" s="294" t="n"/>
    </row>
    <row r="23" ht="15.75" customHeight="1">
      <c r="B23" s="227" t="inlineStr">
        <is>
          <t>2. Press Ctrl+Alt+F9 to force full recalculation of all formulas.</t>
        </is>
      </c>
      <c r="C23" s="294" t="n"/>
      <c r="D23" s="294" t="n"/>
      <c r="E23" s="294" t="n"/>
      <c r="F23" s="294" t="n"/>
      <c r="G23" s="294" t="n"/>
      <c r="H23" s="294" t="n"/>
      <c r="I23" s="294" t="n"/>
    </row>
    <row r="24" ht="15.75" customHeight="1">
      <c r="B24" s="227" t="inlineStr">
        <is>
          <t>3. Review Live Value column — confirm no REF errors, VALUE errors, NAME errors, or blank totals.</t>
        </is>
      </c>
      <c r="C24" s="294" t="n"/>
      <c r="D24" s="294" t="n"/>
      <c r="E24" s="294" t="n"/>
      <c r="F24" s="294" t="n"/>
      <c r="G24" s="294" t="n"/>
      <c r="H24" s="294" t="n"/>
      <c r="I24" s="294" t="n"/>
    </row>
    <row r="25" ht="15.75" customHeight="1">
      <c r="B25" s="227" t="inlineStr">
        <is>
          <t>4. Check BID SUMMARY Total ROM vs. FLOOR SUMMARY Total ROM — should match.</t>
        </is>
      </c>
      <c r="C25" s="294" t="n"/>
      <c r="D25" s="294" t="n"/>
      <c r="E25" s="294" t="n"/>
      <c r="F25" s="294" t="n"/>
      <c r="G25" s="294" t="n"/>
      <c r="H25" s="294" t="n"/>
      <c r="I25" s="294" t="n"/>
    </row>
    <row r="26" ht="15.75" customHeight="1">
      <c r="B26" s="227" t="inlineStr">
        <is>
          <t>5. Confirm ALLOWANCE LOG pending count matches OWNER SELECTIONS pending count.</t>
        </is>
      </c>
      <c r="C26" s="294" t="n"/>
      <c r="D26" s="294" t="n"/>
      <c r="E26" s="294" t="n"/>
      <c r="F26" s="294" t="n"/>
      <c r="G26" s="294" t="n"/>
      <c r="H26" s="294" t="n"/>
      <c r="I26" s="294" t="n"/>
    </row>
    <row r="27" ht="15.75" customHeight="1">
      <c r="B27" s="227" t="inlineStr">
        <is>
          <t>6. Mark each check as Pass / Fail / Review.</t>
        </is>
      </c>
      <c r="C27" s="294" t="n"/>
      <c r="D27" s="294" t="n"/>
      <c r="E27" s="294" t="n"/>
      <c r="F27" s="294" t="n"/>
      <c r="G27" s="294" t="n"/>
      <c r="H27" s="294" t="n"/>
      <c r="I27" s="294" t="n"/>
    </row>
    <row r="28" ht="15.75" customHeight="1">
      <c r="B28" s="227" t="inlineStr">
        <is>
          <t>7. Save a dated revision copy before issuing to any external party.</t>
        </is>
      </c>
      <c r="C28" s="294" t="n"/>
      <c r="D28" s="294" t="n"/>
      <c r="E28" s="294" t="n"/>
      <c r="F28" s="294" t="n"/>
      <c r="G28" s="294" t="n"/>
      <c r="H28" s="294" t="n"/>
      <c r="I28" s="294" t="n"/>
    </row>
  </sheetData>
  <mergeCells count="10">
    <mergeCell ref="B21:I21"/>
    <mergeCell ref="B25:I25"/>
    <mergeCell ref="B24:I24"/>
    <mergeCell ref="B2:I2"/>
    <mergeCell ref="B28:I28"/>
    <mergeCell ref="B22:I22"/>
    <mergeCell ref="B23:I23"/>
    <mergeCell ref="B27:I27"/>
    <mergeCell ref="B1:I1"/>
    <mergeCell ref="B26:I26"/>
  </mergeCells>
  <dataValidations count="1">
    <dataValidation sqref="H4:H18" showDropDown="0" showInputMessage="0" showErrorMessage="0" allowBlank="0" type="list">
      <formula1>"Pass,Fail — See Notes,Review,Not Checked"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2026-03-14T17:33:29Z</dcterms:created>
  <dcterms:modified xmlns:dcterms="http://purl.org/dc/terms/" xmlns:xsi="http://www.w3.org/2001/XMLSchema-instance" xsi:type="dcterms:W3CDTF">2026-04-13T16:41:27Z</dcterms:modified>
  <cp:lastModifiedBy>David Ainsworth</cp:lastModifiedBy>
  <cp:revision>0</cp:revision>
  <cp:lastPrinted>2026-03-15T14:06:15Z</cp:lastPrinted>
</cp:coreProperties>
</file>