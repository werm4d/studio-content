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erge4designllc-my.sharepoint.com/personal/david4d_merge4design_com/Documents/00_M2-README_START-HERE/00_INBOX_CAPTURE/00_INBOX_M4D/M4Di/M4Di/M4Di_Max_Demo/"/>
    </mc:Choice>
  </mc:AlternateContent>
  <xr:revisionPtr revIDLastSave="282" documentId="11_CEAC65A4474D43C1DC39FDFC24E93F361330BA5B" xr6:coauthVersionLast="47" xr6:coauthVersionMax="47" xr10:uidLastSave="{6AF3FA90-E16E-4D3B-933B-1D35A322DEE8}"/>
  <bookViews>
    <workbookView minimized="1" xWindow="1320" yWindow="225" windowWidth="26970" windowHeight="14085" tabRatio="932" activeTab="1" xr2:uid="{00000000-000D-0000-FFFF-FFFF00000000}"/>
  </bookViews>
  <sheets>
    <sheet name="README" sheetId="1" r:id="rId1"/>
    <sheet name="ASSUMPTIONS" sheetId="2" r:id="rId2"/>
    <sheet name="REGIONAL FACTORS" sheetId="3" r:id="rId3"/>
    <sheet name="UNIT PRICE LIBRARY" sheetId="4" r:id="rId4"/>
    <sheet name="TAKEOFF" sheetId="5" r:id="rId5"/>
    <sheet name="EQUIPMENT ALLOWANCES" sheetId="6" r:id="rId6"/>
    <sheet name="FLOOR SUMMARY" sheetId="7" r:id="rId7"/>
    <sheet name="BID SUMMARY" sheetId="8" r:id="rId8"/>
    <sheet name="SF BENCHMARK" sheetId="9" r:id="rId9"/>
    <sheet name="HISTORICAL DB" sheetId="10" r:id="rId10"/>
    <sheet name="OWNER SELECTIONS" sheetId="11" r:id="rId11"/>
    <sheet name="ALLOWANCE LOG" sheetId="12" r:id="rId12"/>
    <sheet name="CLARIFICATIONS" sheetId="13" r:id="rId13"/>
    <sheet name="SOFT COSTS" sheetId="14" r:id="rId14"/>
    <sheet name="TOTAL PROJECT BUDGET" sheetId="15" r:id="rId15"/>
    <sheet name="SIGNAGE PROGRAM" sheetId="16" r:id="rId16"/>
    <sheet name="TAB QA"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8" i="17" l="1"/>
  <c r="G14" i="17"/>
  <c r="G9" i="17"/>
  <c r="G8" i="17"/>
  <c r="G7" i="17"/>
  <c r="F117" i="16"/>
  <c r="H17" i="16"/>
  <c r="G17" i="16"/>
  <c r="B4" i="16"/>
  <c r="B3" i="15"/>
  <c r="C53" i="14"/>
  <c r="C8" i="14"/>
  <c r="C7" i="14"/>
  <c r="C6" i="14"/>
  <c r="F14" i="12"/>
  <c r="F13" i="12"/>
  <c r="M14" i="11"/>
  <c r="M11" i="11"/>
  <c r="M10" i="11"/>
  <c r="M9" i="11"/>
  <c r="M8" i="11"/>
  <c r="M7" i="11"/>
  <c r="M13" i="11" s="1"/>
  <c r="M6" i="11"/>
  <c r="M5" i="11"/>
  <c r="M4" i="11"/>
  <c r="C17" i="10"/>
  <c r="C16" i="10"/>
  <c r="C13" i="10"/>
  <c r="H8" i="10"/>
  <c r="H7" i="10"/>
  <c r="H6" i="10"/>
  <c r="H5" i="10"/>
  <c r="H4" i="10"/>
  <c r="G17" i="17" s="1"/>
  <c r="C11" i="9"/>
  <c r="C10" i="9"/>
  <c r="C9" i="9"/>
  <c r="C8" i="9"/>
  <c r="C7" i="9"/>
  <c r="C4" i="9"/>
  <c r="B3" i="8"/>
  <c r="B2" i="8"/>
  <c r="G13" i="6"/>
  <c r="G10" i="6"/>
  <c r="G9" i="6"/>
  <c r="G8" i="6"/>
  <c r="G7" i="6"/>
  <c r="G6" i="6"/>
  <c r="G5" i="6"/>
  <c r="G4" i="6"/>
  <c r="G12" i="6" s="1"/>
  <c r="G3" i="6"/>
  <c r="M29" i="5"/>
  <c r="N29" i="5" s="1"/>
  <c r="K116" i="4"/>
  <c r="K113" i="4"/>
  <c r="K111" i="4"/>
  <c r="K105" i="4"/>
  <c r="K103" i="4"/>
  <c r="K100" i="4"/>
  <c r="K98" i="4"/>
  <c r="K97" i="4"/>
  <c r="K96" i="4"/>
  <c r="K95" i="4"/>
  <c r="K91" i="4"/>
  <c r="K89" i="4"/>
  <c r="K88" i="4"/>
  <c r="K87" i="4"/>
  <c r="K82" i="4"/>
  <c r="K79" i="4"/>
  <c r="K76" i="4"/>
  <c r="K74" i="4"/>
  <c r="K72" i="4"/>
  <c r="K71" i="4"/>
  <c r="K70" i="4"/>
  <c r="K67" i="4"/>
  <c r="K64" i="4"/>
  <c r="K63" i="4"/>
  <c r="K62" i="4"/>
  <c r="K58" i="4"/>
  <c r="K55" i="4"/>
  <c r="K53" i="4"/>
  <c r="K51" i="4"/>
  <c r="K50" i="4"/>
  <c r="K49" i="4"/>
  <c r="K48" i="4"/>
  <c r="K45" i="4"/>
  <c r="K43" i="4"/>
  <c r="K42" i="4"/>
  <c r="K41" i="4"/>
  <c r="K36" i="4"/>
  <c r="K33" i="4"/>
  <c r="K30" i="4"/>
  <c r="K27" i="4"/>
  <c r="K26" i="4"/>
  <c r="K25" i="4"/>
  <c r="K23" i="4"/>
  <c r="K20" i="4"/>
  <c r="K17" i="4"/>
  <c r="K15" i="4"/>
  <c r="K14" i="4"/>
  <c r="K9" i="4"/>
  <c r="K7" i="4"/>
  <c r="L9" i="3"/>
  <c r="J9" i="3"/>
  <c r="I9" i="3"/>
  <c r="I8" i="3"/>
  <c r="J8" i="3" s="1"/>
  <c r="J7" i="3"/>
  <c r="I7" i="3"/>
  <c r="J6" i="3"/>
  <c r="I6" i="3"/>
  <c r="I5" i="3"/>
  <c r="J5" i="3" s="1"/>
  <c r="J4" i="3"/>
  <c r="I4" i="3"/>
  <c r="G6" i="17" s="1"/>
  <c r="J3" i="3"/>
  <c r="I3" i="3"/>
  <c r="G5" i="17" s="1"/>
  <c r="C30" i="2"/>
  <c r="C29" i="2"/>
  <c r="C26" i="2"/>
  <c r="C16" i="2"/>
  <c r="K102" i="4" s="1"/>
  <c r="C12" i="2"/>
  <c r="J111" i="4" s="1"/>
  <c r="L111" i="4" s="1"/>
  <c r="M84" i="5" s="1"/>
  <c r="N84" i="5" s="1"/>
  <c r="J50" i="4" l="1"/>
  <c r="L50" i="4" s="1"/>
  <c r="M37" i="5" s="1"/>
  <c r="N37" i="5" s="1"/>
  <c r="J37" i="4"/>
  <c r="J61" i="4"/>
  <c r="J10" i="4"/>
  <c r="J39" i="4"/>
  <c r="J88" i="4"/>
  <c r="L88" i="4" s="1"/>
  <c r="M64" i="5" s="1"/>
  <c r="N64" i="5" s="1"/>
  <c r="J114" i="4"/>
  <c r="J13" i="4"/>
  <c r="J42" i="4"/>
  <c r="L42" i="4" s="1"/>
  <c r="J44" i="4"/>
  <c r="J26" i="4"/>
  <c r="L26" i="4" s="1"/>
  <c r="M19" i="5" s="1"/>
  <c r="N19" i="5" s="1"/>
  <c r="J79" i="4"/>
  <c r="L79" i="4" s="1"/>
  <c r="J105" i="4"/>
  <c r="L105" i="4" s="1"/>
  <c r="M81" i="5" s="1"/>
  <c r="N81" i="5" s="1"/>
  <c r="J63" i="4"/>
  <c r="L63" i="4" s="1"/>
  <c r="M48" i="5" s="1"/>
  <c r="N48" i="5" s="1"/>
  <c r="J15" i="4"/>
  <c r="L15" i="4" s="1"/>
  <c r="M12" i="5" s="1"/>
  <c r="N12" i="5" s="1"/>
  <c r="J65" i="4"/>
  <c r="L65" i="4" s="1"/>
  <c r="M50" i="5" s="1"/>
  <c r="N50" i="5" s="1"/>
  <c r="J95" i="4"/>
  <c r="L95" i="4" s="1"/>
  <c r="M70" i="5" s="1"/>
  <c r="N70" i="5" s="1"/>
  <c r="J18" i="4"/>
  <c r="J70" i="4"/>
  <c r="L70" i="4" s="1"/>
  <c r="M54" i="5" s="1"/>
  <c r="N54" i="5" s="1"/>
  <c r="J48" i="4"/>
  <c r="L48" i="4" s="1"/>
  <c r="M35" i="5" s="1"/>
  <c r="N35" i="5" s="1"/>
  <c r="J23" i="4"/>
  <c r="L23" i="4" s="1"/>
  <c r="M17" i="5" s="1"/>
  <c r="N17" i="5" s="1"/>
  <c r="J97" i="4"/>
  <c r="L97" i="4" s="1"/>
  <c r="M72" i="5" s="1"/>
  <c r="N72" i="5" s="1"/>
  <c r="J72" i="4"/>
  <c r="L72" i="4" s="1"/>
  <c r="J55" i="4"/>
  <c r="L55" i="4" s="1"/>
  <c r="M42" i="5" s="1"/>
  <c r="N42" i="5" s="1"/>
  <c r="J33" i="4"/>
  <c r="L33" i="4" s="1"/>
  <c r="J82" i="4"/>
  <c r="L82" i="4" s="1"/>
  <c r="M59" i="5" s="1"/>
  <c r="N59" i="5" s="1"/>
  <c r="J7" i="4"/>
  <c r="L7" i="4" s="1"/>
  <c r="M7" i="5" s="1"/>
  <c r="N7" i="5" s="1"/>
  <c r="J58" i="4"/>
  <c r="L58" i="4" s="1"/>
  <c r="M44" i="5" s="1"/>
  <c r="N44" i="5" s="1"/>
  <c r="J109" i="4"/>
  <c r="J36" i="4"/>
  <c r="L36" i="4" s="1"/>
  <c r="M24" i="5" s="1"/>
  <c r="N24" i="5" s="1"/>
  <c r="J83" i="4"/>
  <c r="J9" i="4"/>
  <c r="L9" i="4" s="1"/>
  <c r="M9" i="5" s="1"/>
  <c r="N9" i="5" s="1"/>
  <c r="J59" i="4"/>
  <c r="J85" i="4"/>
  <c r="J112" i="4"/>
  <c r="J90" i="4"/>
  <c r="J103" i="4"/>
  <c r="L103" i="4" s="1"/>
  <c r="M79" i="5" s="1"/>
  <c r="N79" i="5" s="1"/>
  <c r="L10" i="4"/>
  <c r="M10" i="5" s="1"/>
  <c r="N10" i="5" s="1"/>
  <c r="L114" i="4"/>
  <c r="M87" i="5" s="1"/>
  <c r="N87" i="5" s="1"/>
  <c r="L90" i="4"/>
  <c r="M66" i="5" s="1"/>
  <c r="N66" i="5" s="1"/>
  <c r="J25" i="4"/>
  <c r="L25" i="4" s="1"/>
  <c r="M18" i="5" s="1"/>
  <c r="N18" i="5" s="1"/>
  <c r="J49" i="4"/>
  <c r="L49" i="4" s="1"/>
  <c r="M36" i="5" s="1"/>
  <c r="N36" i="5" s="1"/>
  <c r="J71" i="4"/>
  <c r="L71" i="4" s="1"/>
  <c r="M55" i="5" s="1"/>
  <c r="N55" i="5" s="1"/>
  <c r="J96" i="4"/>
  <c r="L96" i="4" s="1"/>
  <c r="M71" i="5" s="1"/>
  <c r="N71" i="5" s="1"/>
  <c r="K112" i="4"/>
  <c r="J35" i="4"/>
  <c r="J104" i="4"/>
  <c r="J8" i="4"/>
  <c r="J57" i="4"/>
  <c r="J81" i="4"/>
  <c r="K8" i="4"/>
  <c r="J17" i="4"/>
  <c r="L17" i="4" s="1"/>
  <c r="M13" i="5" s="1"/>
  <c r="N13" i="5" s="1"/>
  <c r="K35" i="4"/>
  <c r="J43" i="4"/>
  <c r="L43" i="4" s="1"/>
  <c r="K57" i="4"/>
  <c r="J64" i="4"/>
  <c r="L64" i="4" s="1"/>
  <c r="M49" i="5" s="1"/>
  <c r="N49" i="5" s="1"/>
  <c r="K81" i="4"/>
  <c r="J89" i="4"/>
  <c r="L89" i="4" s="1"/>
  <c r="M65" i="5" s="1"/>
  <c r="N65" i="5" s="1"/>
  <c r="K104" i="4"/>
  <c r="J113" i="4"/>
  <c r="L113" i="4" s="1"/>
  <c r="M86" i="5" s="1"/>
  <c r="N86" i="5" s="1"/>
  <c r="G4" i="17"/>
  <c r="K18" i="4"/>
  <c r="J27" i="4"/>
  <c r="L27" i="4" s="1"/>
  <c r="M20" i="5" s="1"/>
  <c r="N20" i="5" s="1"/>
  <c r="K44" i="4"/>
  <c r="J51" i="4"/>
  <c r="L51" i="4" s="1"/>
  <c r="M38" i="5" s="1"/>
  <c r="N38" i="5" s="1"/>
  <c r="K65" i="4"/>
  <c r="J74" i="4"/>
  <c r="L74" i="4" s="1"/>
  <c r="K90" i="4"/>
  <c r="J98" i="4"/>
  <c r="L98" i="4" s="1"/>
  <c r="M73" i="5" s="1"/>
  <c r="N73" i="5" s="1"/>
  <c r="K114" i="4"/>
  <c r="J106" i="4"/>
  <c r="K10" i="4"/>
  <c r="J20" i="4"/>
  <c r="L20" i="4" s="1"/>
  <c r="M14" i="5" s="1"/>
  <c r="N14" i="5" s="1"/>
  <c r="K37" i="4"/>
  <c r="L37" i="4" s="1"/>
  <c r="M25" i="5" s="1"/>
  <c r="N25" i="5" s="1"/>
  <c r="J45" i="4"/>
  <c r="L45" i="4" s="1"/>
  <c r="M32" i="5" s="1"/>
  <c r="N32" i="5" s="1"/>
  <c r="K59" i="4"/>
  <c r="L59" i="4" s="1"/>
  <c r="M45" i="5" s="1"/>
  <c r="N45" i="5" s="1"/>
  <c r="J67" i="4"/>
  <c r="L67" i="4" s="1"/>
  <c r="M51" i="5" s="1"/>
  <c r="N51" i="5" s="1"/>
  <c r="K83" i="4"/>
  <c r="L83" i="4" s="1"/>
  <c r="M60" i="5" s="1"/>
  <c r="N60" i="5" s="1"/>
  <c r="J91" i="4"/>
  <c r="L91" i="4" s="1"/>
  <c r="M67" i="5" s="1"/>
  <c r="N67" i="5" s="1"/>
  <c r="K106" i="4"/>
  <c r="J116" i="4"/>
  <c r="L116" i="4" s="1"/>
  <c r="C14" i="10"/>
  <c r="J29" i="4"/>
  <c r="L29" i="4" s="1"/>
  <c r="M21" i="5" s="1"/>
  <c r="N21" i="5" s="1"/>
  <c r="J52" i="4"/>
  <c r="L52" i="4" s="1"/>
  <c r="M39" i="5" s="1"/>
  <c r="N39" i="5" s="1"/>
  <c r="J75" i="4"/>
  <c r="L75" i="4" s="1"/>
  <c r="J99" i="4"/>
  <c r="J11" i="4"/>
  <c r="K29" i="4"/>
  <c r="J38" i="4"/>
  <c r="K52" i="4"/>
  <c r="J60" i="4"/>
  <c r="K75" i="4"/>
  <c r="J84" i="4"/>
  <c r="K99" i="4"/>
  <c r="J108" i="4"/>
  <c r="K11" i="4"/>
  <c r="J21" i="4"/>
  <c r="L21" i="4" s="1"/>
  <c r="M15" i="5" s="1"/>
  <c r="N15" i="5" s="1"/>
  <c r="K38" i="4"/>
  <c r="J46" i="4"/>
  <c r="L46" i="4" s="1"/>
  <c r="M33" i="5" s="1"/>
  <c r="N33" i="5" s="1"/>
  <c r="K60" i="4"/>
  <c r="J68" i="4"/>
  <c r="L68" i="4" s="1"/>
  <c r="M52" i="5" s="1"/>
  <c r="N52" i="5" s="1"/>
  <c r="K84" i="4"/>
  <c r="J93" i="4"/>
  <c r="L93" i="4" s="1"/>
  <c r="M68" i="5" s="1"/>
  <c r="N68" i="5" s="1"/>
  <c r="K108" i="4"/>
  <c r="J117" i="4"/>
  <c r="L117" i="4" s="1"/>
  <c r="C15" i="10"/>
  <c r="K21" i="4"/>
  <c r="J30" i="4"/>
  <c r="L30" i="4" s="1"/>
  <c r="K46" i="4"/>
  <c r="J53" i="4"/>
  <c r="L53" i="4" s="1"/>
  <c r="M40" i="5" s="1"/>
  <c r="N40" i="5" s="1"/>
  <c r="K68" i="4"/>
  <c r="J76" i="4"/>
  <c r="L76" i="4" s="1"/>
  <c r="K93" i="4"/>
  <c r="J100" i="4"/>
  <c r="L100" i="4" s="1"/>
  <c r="M75" i="5" s="1"/>
  <c r="N75" i="5" s="1"/>
  <c r="K117" i="4"/>
  <c r="K13" i="4"/>
  <c r="L13" i="4" s="1"/>
  <c r="M11" i="5" s="1"/>
  <c r="N11" i="5" s="1"/>
  <c r="J22" i="4"/>
  <c r="L22" i="4" s="1"/>
  <c r="M16" i="5" s="1"/>
  <c r="N16" i="5" s="1"/>
  <c r="K39" i="4"/>
  <c r="L39" i="4" s="1"/>
  <c r="M27" i="5" s="1"/>
  <c r="N27" i="5" s="1"/>
  <c r="J47" i="4"/>
  <c r="L47" i="4" s="1"/>
  <c r="M34" i="5" s="1"/>
  <c r="N34" i="5" s="1"/>
  <c r="K61" i="4"/>
  <c r="L61" i="4" s="1"/>
  <c r="J69" i="4"/>
  <c r="L69" i="4" s="1"/>
  <c r="M53" i="5" s="1"/>
  <c r="N53" i="5" s="1"/>
  <c r="K85" i="4"/>
  <c r="J94" i="4"/>
  <c r="L94" i="4" s="1"/>
  <c r="M69" i="5" s="1"/>
  <c r="N69" i="5" s="1"/>
  <c r="K109" i="4"/>
  <c r="J118" i="4"/>
  <c r="L118" i="4" s="1"/>
  <c r="J6" i="4"/>
  <c r="K22" i="4"/>
  <c r="J31" i="4"/>
  <c r="K47" i="4"/>
  <c r="J54" i="4"/>
  <c r="K69" i="4"/>
  <c r="J78" i="4"/>
  <c r="K94" i="4"/>
  <c r="J102" i="4"/>
  <c r="L102" i="4" s="1"/>
  <c r="M78" i="5" s="1"/>
  <c r="N78" i="5" s="1"/>
  <c r="K118" i="4"/>
  <c r="K6" i="4"/>
  <c r="J14" i="4"/>
  <c r="L14" i="4" s="1"/>
  <c r="K31" i="4"/>
  <c r="J41" i="4"/>
  <c r="L41" i="4" s="1"/>
  <c r="M28" i="5" s="1"/>
  <c r="N28" i="5" s="1"/>
  <c r="K54" i="4"/>
  <c r="J62" i="4"/>
  <c r="L62" i="4" s="1"/>
  <c r="M47" i="5" s="1"/>
  <c r="N47" i="5" s="1"/>
  <c r="K78" i="4"/>
  <c r="J87" i="4"/>
  <c r="L87" i="4" s="1"/>
  <c r="M63" i="5" s="1"/>
  <c r="N63" i="5" s="1"/>
  <c r="L109" i="4" l="1"/>
  <c r="M77" i="5" s="1"/>
  <c r="N77" i="5" s="1"/>
  <c r="L44" i="4"/>
  <c r="M31" i="5" s="1"/>
  <c r="N31" i="5" s="1"/>
  <c r="L112" i="4"/>
  <c r="M85" i="5" s="1"/>
  <c r="N85" i="5" s="1"/>
  <c r="L85" i="4"/>
  <c r="M62" i="5" s="1"/>
  <c r="N62" i="5" s="1"/>
  <c r="L18" i="4"/>
  <c r="L57" i="4"/>
  <c r="M43" i="5" s="1"/>
  <c r="N43" i="5" s="1"/>
  <c r="L78" i="4"/>
  <c r="M57" i="5" s="1"/>
  <c r="N57" i="5" s="1"/>
  <c r="L60" i="4"/>
  <c r="M46" i="5" s="1"/>
  <c r="N46" i="5" s="1"/>
  <c r="L108" i="4"/>
  <c r="M76" i="5" s="1"/>
  <c r="N76" i="5" s="1"/>
  <c r="L81" i="4"/>
  <c r="M58" i="5" s="1"/>
  <c r="N58" i="5" s="1"/>
  <c r="L38" i="4"/>
  <c r="M26" i="5" s="1"/>
  <c r="N26" i="5" s="1"/>
  <c r="L11" i="4"/>
  <c r="L104" i="4"/>
  <c r="M80" i="5" s="1"/>
  <c r="N80" i="5" s="1"/>
  <c r="L84" i="4"/>
  <c r="M61" i="5" s="1"/>
  <c r="N61" i="5" s="1"/>
  <c r="L106" i="4"/>
  <c r="M82" i="5" s="1"/>
  <c r="N82" i="5" s="1"/>
  <c r="L54" i="4"/>
  <c r="M41" i="5" s="1"/>
  <c r="N41" i="5" s="1"/>
  <c r="L31" i="4"/>
  <c r="M22" i="5" s="1"/>
  <c r="N22" i="5" s="1"/>
  <c r="L8" i="4"/>
  <c r="M8" i="5" s="1"/>
  <c r="N8" i="5" s="1"/>
  <c r="L6" i="4"/>
  <c r="M6" i="5" s="1"/>
  <c r="N6" i="5" s="1"/>
  <c r="L99" i="4"/>
  <c r="M74" i="5" s="1"/>
  <c r="N74" i="5" s="1"/>
  <c r="L35" i="4"/>
  <c r="M23" i="5" s="1"/>
  <c r="N23" i="5" s="1"/>
  <c r="D4" i="7" l="1"/>
  <c r="N88" i="5"/>
  <c r="D6" i="7" s="1"/>
  <c r="C4" i="7"/>
  <c r="E4" i="7" s="1"/>
  <c r="C3" i="7"/>
  <c r="C5" i="7"/>
  <c r="D5" i="7" l="1"/>
  <c r="E5" i="7" s="1"/>
  <c r="D3" i="7"/>
  <c r="E3" i="7" s="1"/>
  <c r="C6" i="7"/>
  <c r="E6" i="7" s="1"/>
  <c r="F6" i="7" s="1"/>
  <c r="G6" i="7" s="1"/>
  <c r="G10" i="17"/>
  <c r="F4" i="7"/>
  <c r="D8" i="7" l="1"/>
  <c r="C6" i="8"/>
  <c r="C5" i="8"/>
  <c r="C8" i="7"/>
  <c r="C32" i="2"/>
  <c r="C8" i="15"/>
  <c r="H6" i="7"/>
  <c r="F5" i="7"/>
  <c r="G5" i="7" s="1"/>
  <c r="G4" i="7"/>
  <c r="H4" i="7" s="1"/>
  <c r="F3" i="7"/>
  <c r="F8" i="7" s="1"/>
  <c r="E8" i="7"/>
  <c r="C31" i="2"/>
  <c r="C7" i="8"/>
  <c r="C7" i="15"/>
  <c r="H5" i="7" l="1"/>
  <c r="C33" i="2"/>
  <c r="C8" i="8"/>
  <c r="I5" i="7"/>
  <c r="I6" i="7"/>
  <c r="J6" i="7" s="1"/>
  <c r="G3" i="7"/>
  <c r="G8" i="7" s="1"/>
  <c r="I4" i="7"/>
  <c r="J4" i="7" s="1"/>
  <c r="J5" i="7" l="1"/>
  <c r="H3" i="7"/>
  <c r="C9" i="15"/>
  <c r="C34" i="2"/>
  <c r="C9" i="8"/>
  <c r="C10" i="8" s="1"/>
  <c r="C18" i="8" l="1"/>
  <c r="C36" i="2"/>
  <c r="C11" i="15"/>
  <c r="C11" i="8"/>
  <c r="C12" i="15" s="1"/>
  <c r="C10" i="15"/>
  <c r="C35" i="2"/>
  <c r="C19" i="8"/>
  <c r="C17" i="8"/>
  <c r="H8" i="7"/>
  <c r="I3" i="7"/>
  <c r="I8" i="7" s="1"/>
  <c r="G11" i="17" s="1"/>
  <c r="J3" i="7" l="1"/>
  <c r="J8" i="7" s="1"/>
  <c r="C12" i="8"/>
  <c r="C14" i="8" l="1"/>
  <c r="C40" i="15"/>
  <c r="G12" i="17"/>
  <c r="C5" i="9"/>
  <c r="C13" i="15"/>
  <c r="C5" i="14"/>
  <c r="F16" i="9" l="1"/>
  <c r="G13" i="17"/>
  <c r="C6" i="9"/>
  <c r="F21" i="9"/>
  <c r="F20" i="9"/>
  <c r="F19" i="9"/>
  <c r="F18" i="9"/>
  <c r="F17" i="9"/>
  <c r="C44" i="15"/>
  <c r="F15" i="9"/>
  <c r="D79" i="14"/>
  <c r="F79" i="14" s="1"/>
  <c r="D69" i="14"/>
  <c r="F69" i="14" s="1"/>
  <c r="D57" i="14"/>
  <c r="F57" i="14" s="1"/>
  <c r="D78" i="14"/>
  <c r="F78" i="14" s="1"/>
  <c r="D68" i="14"/>
  <c r="F68" i="14" s="1"/>
  <c r="D77" i="14"/>
  <c r="F77" i="14" s="1"/>
  <c r="D65" i="14"/>
  <c r="F65" i="14" s="1"/>
  <c r="D53" i="14"/>
  <c r="F53" i="14" s="1"/>
  <c r="D76" i="14"/>
  <c r="F76" i="14" s="1"/>
  <c r="D64" i="14"/>
  <c r="F64" i="14" s="1"/>
  <c r="D75" i="14"/>
  <c r="F75" i="14" s="1"/>
  <c r="D63" i="14"/>
  <c r="F63" i="14" s="1"/>
  <c r="C23" i="15" s="1"/>
  <c r="C52" i="14"/>
  <c r="C54" i="14" s="1"/>
  <c r="D74" i="14"/>
  <c r="F74" i="14" s="1"/>
  <c r="D62" i="14"/>
  <c r="F62" i="14" s="1"/>
  <c r="C22" i="15" s="1"/>
  <c r="D73" i="14"/>
  <c r="F73" i="14" s="1"/>
  <c r="D61" i="14"/>
  <c r="F61" i="14" s="1"/>
  <c r="C21" i="15" s="1"/>
  <c r="D72" i="14"/>
  <c r="F72" i="14" s="1"/>
  <c r="D60" i="14"/>
  <c r="F60" i="14" s="1"/>
  <c r="C20" i="15" s="1"/>
  <c r="D71" i="14"/>
  <c r="F71" i="14" s="1"/>
  <c r="D59" i="14"/>
  <c r="F59" i="14" s="1"/>
  <c r="C19" i="15" s="1"/>
  <c r="D80" i="14"/>
  <c r="F80" i="14" s="1"/>
  <c r="D70" i="14"/>
  <c r="F70" i="14" s="1"/>
  <c r="D58" i="14"/>
  <c r="F58" i="14" s="1"/>
  <c r="C18" i="15" s="1"/>
  <c r="C28" i="15"/>
  <c r="C33" i="15"/>
  <c r="C32" i="15"/>
  <c r="C31" i="15"/>
  <c r="C30" i="15"/>
  <c r="C29" i="15"/>
  <c r="D8" i="15"/>
  <c r="D7" i="15"/>
  <c r="D9" i="15"/>
  <c r="D11" i="15"/>
  <c r="D10" i="15"/>
  <c r="D12" i="15"/>
  <c r="D18" i="15" l="1"/>
  <c r="C17" i="15"/>
  <c r="F84" i="14"/>
  <c r="C23" i="8" s="1"/>
  <c r="D20" i="15"/>
  <c r="D21" i="15"/>
  <c r="D22" i="15"/>
  <c r="D23" i="15"/>
  <c r="G15" i="17"/>
  <c r="F6" i="9"/>
  <c r="G16" i="17" s="1"/>
  <c r="F5" i="9"/>
  <c r="F4" i="9"/>
  <c r="C34" i="15"/>
  <c r="F85" i="14"/>
  <c r="D19" i="15"/>
  <c r="D52" i="14"/>
  <c r="F52" i="14" s="1"/>
  <c r="D17" i="15" l="1"/>
  <c r="F54" i="14"/>
  <c r="F83" i="14"/>
  <c r="F86" i="14" s="1"/>
  <c r="C24" i="15"/>
  <c r="C24" i="8"/>
  <c r="D34" i="15"/>
  <c r="C26" i="8"/>
  <c r="C42" i="15" l="1"/>
  <c r="C41" i="15"/>
  <c r="C25" i="15"/>
  <c r="C86" i="14"/>
  <c r="C25" i="8"/>
  <c r="D24" i="15"/>
  <c r="C16" i="15"/>
  <c r="C22" i="8"/>
  <c r="D16" i="15" l="1"/>
  <c r="D25" i="15"/>
  <c r="C36" i="15"/>
  <c r="E25" i="15" s="1"/>
  <c r="C43" i="15" l="1"/>
  <c r="C39" i="15"/>
  <c r="C27" i="8"/>
  <c r="E7" i="15"/>
  <c r="E8" i="15"/>
  <c r="E9" i="15"/>
  <c r="E11" i="15"/>
  <c r="E12" i="15"/>
  <c r="E10" i="15"/>
  <c r="E13" i="15"/>
  <c r="E32" i="15"/>
  <c r="E28" i="15"/>
  <c r="E31" i="15"/>
  <c r="E23" i="15"/>
  <c r="E18" i="15"/>
  <c r="E30" i="15"/>
  <c r="E33" i="15"/>
  <c r="E20" i="15"/>
  <c r="E21" i="15"/>
  <c r="E19" i="15"/>
  <c r="E22" i="15"/>
  <c r="E29" i="15"/>
  <c r="E17" i="15"/>
  <c r="E34" i="15"/>
  <c r="E24" i="15"/>
  <c r="E16" i="15"/>
</calcChain>
</file>

<file path=xl/sharedStrings.xml><?xml version="1.0" encoding="utf-8"?>
<sst xmlns="http://schemas.openxmlformats.org/spreadsheetml/2006/main" count="3131" uniqueCount="1711">
  <si>
    <t>M4Di Operational Intelligence (OI) Tool — Phase 0</t>
  </si>
  <si>
    <t>ROM Estimating &amp; Predevelopment Cost Intelligence Platform</t>
  </si>
  <si>
    <t>Version 1.0  |  March 2026  |  © M4Di, Inc.  |  CONFIDENTIAL</t>
  </si>
  <si>
    <t>RECOMMENDED WORKFLOW</t>
  </si>
  <si>
    <t>1</t>
  </si>
  <si>
    <t>ASSUMPTIONS</t>
  </si>
  <si>
    <t>Enter yellow input cells: project name, date, region, and all markup percentages.</t>
  </si>
  <si>
    <t>2</t>
  </si>
  <si>
    <t>REGIONAL FACTORS</t>
  </si>
  <si>
    <t>Review or update the regional labor basket and select your pricing region.</t>
  </si>
  <si>
    <t>3</t>
  </si>
  <si>
    <t>UNIT PRICE LIBRARY</t>
  </si>
  <si>
    <t>Verify or add unit prices for your project scope. Craig populates the Baseline Region.</t>
  </si>
  <si>
    <t>4</t>
  </si>
  <si>
    <t>TAKEOFF</t>
  </si>
  <si>
    <t>Enter quantities by floor/zone. The tool auto-applies adjusted unit costs.</t>
  </si>
  <si>
    <t>5</t>
  </si>
  <si>
    <t>EQUIPMENT ALLOWANCES</t>
  </si>
  <si>
    <t>Document owner-selection-dependent equipment allowances with basis of design.</t>
  </si>
  <si>
    <t>6</t>
  </si>
  <si>
    <t>FLOOR SUMMARY</t>
  </si>
  <si>
    <t>Review auto-calculated floor totals with markups. No data entry required.</t>
  </si>
  <si>
    <t>7</t>
  </si>
  <si>
    <t>BID SUMMARY</t>
  </si>
  <si>
    <t>Executive ROM with full cost stack. Use for board presentations and funder packages.</t>
  </si>
  <si>
    <t>8</t>
  </si>
  <si>
    <t>SF BENCHMARK</t>
  </si>
  <si>
    <t>Compare project $/SF against M4Di historical database and facility type ranges.</t>
  </si>
  <si>
    <t>9</t>
  </si>
  <si>
    <t>HISTORICAL DB</t>
  </si>
  <si>
    <t>CRITICAL: Enter every completed project. This is M4Di's proprietary data asset.</t>
  </si>
  <si>
    <t>10</t>
  </si>
  <si>
    <t>OWNER SELECTIONS</t>
  </si>
  <si>
    <t>Track owner decisions affecting allowance-sensitive items.</t>
  </si>
  <si>
    <t>11</t>
  </si>
  <si>
    <t>ALLOWANCE LOG</t>
  </si>
  <si>
    <t>Living log of all open allowances. Export monthly for ALDi gate reporting.</t>
  </si>
  <si>
    <t>12</t>
  </si>
  <si>
    <t>CLARIFICATIONS</t>
  </si>
  <si>
    <t>Document scope inclusions, exclusions, and risk flags for client delivery.</t>
  </si>
  <si>
    <t>COLOR CODING LEGEND (Industry Standard)</t>
  </si>
  <si>
    <t>SAMPLE</t>
  </si>
  <si>
    <t>Blue text / yellow background</t>
  </si>
  <si>
    <t>Hardcoded user inputs — values you enter or change</t>
  </si>
  <si>
    <t>Black text / white background</t>
  </si>
  <si>
    <t>Calculated formulas — do not overwrite</t>
  </si>
  <si>
    <t>Green text / light green background</t>
  </si>
  <si>
    <t>Cross-sheet links — pulling from another tab</t>
  </si>
  <si>
    <t>Red text</t>
  </si>
  <si>
    <t>External links to other files</t>
  </si>
  <si>
    <t>Yellow background</t>
  </si>
  <si>
    <t>Cells requiring attention or decision</t>
  </si>
  <si>
    <t>PROPRIETARY NOTICE: This workbook and its methodology, unit price library, regional factor weights, and historical database are proprietary to M4Di, Inc. Unauthorized distribution or reproduction is prohibited. © 2026 M4Di, Inc. All rights reserved.</t>
  </si>
  <si>
    <t>PROJECT ASSUMPTIONS &amp; CONTROLS</t>
  </si>
  <si>
    <t>Input</t>
  </si>
  <si>
    <t>Value</t>
  </si>
  <si>
    <t>Notes</t>
  </si>
  <si>
    <t>Project Name</t>
  </si>
  <si>
    <t>M-Well Community Health Campus</t>
  </si>
  <si>
    <t>Use a short, consistent project code (e.g., WHACC-2026).</t>
  </si>
  <si>
    <t>Estimate Date</t>
  </si>
  <si>
    <t>Enter as MM/DD/YYYY. Update with each revision.</t>
  </si>
  <si>
    <t>Estimate Type</t>
  </si>
  <si>
    <t>ROM / Conceptual</t>
  </si>
  <si>
    <t>ROM / Conceptual | Schematic | Design Development | GMP</t>
  </si>
  <si>
    <t>Project Type</t>
  </si>
  <si>
    <t>Adaptive Reuse</t>
  </si>
  <si>
    <t>Interior Improvement | Adaptive Reuse | New Construction | Mixed-Use</t>
  </si>
  <si>
    <t>Client / Owner</t>
  </si>
  <si>
    <t>M-Well Medical Group</t>
  </si>
  <si>
    <t>Legal entity name of the owner organization.</t>
  </si>
  <si>
    <t>Site Address</t>
  </si>
  <si>
    <t>3110 Philadelphia Pike, Claymont, DE 19703</t>
  </si>
  <si>
    <t>Full property address for zoning lookup reference.</t>
  </si>
  <si>
    <t>Total Gross Area (SF)</t>
  </si>
  <si>
    <t>Total gross building SF affected by the scope.</t>
  </si>
  <si>
    <t>Base Region</t>
  </si>
  <si>
    <t>Delaware</t>
  </si>
  <si>
    <t>Delaware = M4Di baseline. All unit prices sourced from Delaware competitive bid market.</t>
  </si>
  <si>
    <t>Selected Pricing Region</t>
  </si>
  <si>
    <t>New Castle/Wilmington</t>
  </si>
  <si>
    <t>Must match a region defined in REGIONAL FACTORS sheet.</t>
  </si>
  <si>
    <t>Weighted Trade Labor Factor</t>
  </si>
  <si>
    <t>Auto-pulled from REGIONAL FACTORS. 1.000x = Delaware baseline. Philadelphia Metro ≈ 1.145x.</t>
  </si>
  <si>
    <t>COST ESCALATION</t>
  </si>
  <si>
    <t>ENR Construction Cost Index (CCI) Escalation %</t>
  </si>
  <si>
    <t>Source: ENR CCI Q1 2026. Update quarterly. Applies to all labor-heavy items.</t>
  </si>
  <si>
    <t>ENR Building Cost Index (BCI) Escalation %</t>
  </si>
  <si>
    <t>Source: ENR BCI Q1 2026. Update quarterly. Applies to material-heavy items.</t>
  </si>
  <si>
    <t>Blended Escalation Rate</t>
  </si>
  <si>
    <t>Formula: average of CCI and BCI. Used in unit price adjusted cost calculation.</t>
  </si>
  <si>
    <t>Material / Market Factor</t>
  </si>
  <si>
    <t>Adjust for procurement pressure, bid climate volatility, or material shortages. 1.000x = neutral.</t>
  </si>
  <si>
    <t>MARKUPS &amp; CONTINGENCIES</t>
  </si>
  <si>
    <t>General Conditions %</t>
  </si>
  <si>
    <t>Typical range: 6%–10%. Covers on-site supervision, temporary facilities, insurance.</t>
  </si>
  <si>
    <t>Overhead &amp; Profit (OH&amp;P) %</t>
  </si>
  <si>
    <t>Typical range: 8%–12%. Applied to subtotal after GC.</t>
  </si>
  <si>
    <t>Design Contingency %</t>
  </si>
  <si>
    <t>Reduce to 8% at SD; 5% at DD; 0% at GMP. Reflects design development risk.</t>
  </si>
  <si>
    <t>Existing Conditions Contingency %</t>
  </si>
  <si>
    <t>Higher for gut renovations (12%–15%). Covers concealed conditions and substrate damage.</t>
  </si>
  <si>
    <t>Equipment / Owner Selection Contingency %</t>
  </si>
  <si>
    <t>Reduce as owner selections are confirmed. Set to 0% when all allowances are locked.</t>
  </si>
  <si>
    <t>Bid / Permit / Bonds %</t>
  </si>
  <si>
    <t>Covers permitting fees, bid bonds, performance bonds. Adjust for municipality.</t>
  </si>
  <si>
    <t>Sales Tax %</t>
  </si>
  <si>
    <t>Delaware: 0%. Adjust for other jurisdictions. Apply only to taxable material costs if split.</t>
  </si>
  <si>
    <t>Total Contingency %</t>
  </si>
  <si>
    <t>Sum of all contingency lines. For reference only.</t>
  </si>
  <si>
    <t>QUICK REFERENCE TOTALS (auto-calculated from BID SUMMARY)</t>
  </si>
  <si>
    <t>Base Building Subtotal</t>
  </si>
  <si>
    <t>Equipment Allowances</t>
  </si>
  <si>
    <t>Subtotal Before Markups</t>
  </si>
  <si>
    <t>General Conditions</t>
  </si>
  <si>
    <t>OH&amp;P</t>
  </si>
  <si>
    <t>Total Contingencies</t>
  </si>
  <si>
    <t>Bid / Permit / Bonds</t>
  </si>
  <si>
    <t>TOTAL PROJECT ROM</t>
  </si>
  <si>
    <t>FEE SCHEDULE CONTROLS (feeds SOFT COSTS sheet)</t>
  </si>
  <si>
    <t>AIA Project Type Code</t>
  </si>
  <si>
    <t>C</t>
  </si>
  <si>
    <t>A=warehouse, B=office, C=school/fitness (M4Di default), D=clinic/theater, E=hospital/research.</t>
  </si>
  <si>
    <t>Renovation Project?</t>
  </si>
  <si>
    <t>Yes</t>
  </si>
  <si>
    <t>Yes adds renovation premium to base architecture fee. WHACC = Yes.</t>
  </si>
  <si>
    <t>REGIONAL MARKET FACTORS — Public Data-Based Labor Basket</t>
  </si>
  <si>
    <t>Region</t>
  </si>
  <si>
    <t>Carpenters
$/hr</t>
  </si>
  <si>
    <t>Laborers
$/hr</t>
  </si>
  <si>
    <t>Electricians
$/hr</t>
  </si>
  <si>
    <t>Painters
$/hr</t>
  </si>
  <si>
    <t>Concrete
Finishers $/hr</t>
  </si>
  <si>
    <t>Drywall/Ceiling
$/hr</t>
  </si>
  <si>
    <t>Weighted Labor
Basket</t>
  </si>
  <si>
    <t>Region Factor
vs. Delaware</t>
  </si>
  <si>
    <t>Trade</t>
  </si>
  <si>
    <t>Weight</t>
  </si>
  <si>
    <t>Carpenters</t>
  </si>
  <si>
    <t>Baseline — Delaware statewide OEWS wages. Source: BLS OEWS 2024, State=DE.</t>
  </si>
  <si>
    <t>Laborers</t>
  </si>
  <si>
    <t>New Castle County sub-market proxy. Slightly above state average for urban premium.</t>
  </si>
  <si>
    <t>Philadelphia Metro</t>
  </si>
  <si>
    <t>Electricians</t>
  </si>
  <si>
    <t>Philadelphia-Camden-Wilmington MSA. Source: BLS OEWS 2024, MSA=37980.</t>
  </si>
  <si>
    <t>New Jersey</t>
  </si>
  <si>
    <t>Painters</t>
  </si>
  <si>
    <t>NJ statewide OEWS 2024, all industries. Higher union density drives premium.</t>
  </si>
  <si>
    <t>Baltimore Area</t>
  </si>
  <si>
    <t>Concrete Finishers</t>
  </si>
  <si>
    <t>Baltimore-Columbia-Towson MSA proxy. Source: BLS OEWS 2024, MSA=12580.</t>
  </si>
  <si>
    <t>Washington DC Metro</t>
  </si>
  <si>
    <t>Drywall/Ceiling</t>
  </si>
  <si>
    <t>DC-VA-MD-WV MSA. Source: BLS OEWS 2024, MSA=47900. High labor market tightness.</t>
  </si>
  <si>
    <t>Custom</t>
  </si>
  <si>
    <t>TOTAL</t>
  </si>
  <si>
    <t>Enter custom wage rates. Factor auto-calculates vs. Delaware baseline.</t>
  </si>
  <si>
    <t>NOTE: Weighted Labor Basket is an internal blended labor-only ROM index using BLS OEWS wage data and the trade weightings shown at right. It is not a full construction location factor. ENR City Cost Indexes should be used for full project-level location adjustment when available.</t>
  </si>
  <si>
    <t>M4Di™ UNIT PRICE LIBRARY — IDD Residential + Community Health Facility  ·  M-Well Community Health Campus  ·  Phase 1: School Renovation  ·  New Castle County / Wilmington, Delaware  ·  2026 Pricing</t>
  </si>
  <si>
    <t>All base unit prices reflect New Castle County / Wilmington Delaware competitive bid market. Regional Factor and Escalation Factor apply automatically. Adjusted Unit Price feeds TAKEOFF via VLOOKUP on Cost Code. Blue/yellow input cells = overrideable. Do not modify columns I–K (formulas). Scope items aligned to M-Well Phase 1: 27,452 SF 2-story school → IDD R-4 residential + IDD licensing standards.</t>
  </si>
  <si>
    <t>B</t>
  </si>
  <si>
    <t>Div</t>
  </si>
  <si>
    <t>Cost Code</t>
  </si>
  <si>
    <t>Spec Section</t>
  </si>
  <si>
    <t>Bid Package</t>
  </si>
  <si>
    <t>Scope Item</t>
  </si>
  <si>
    <t>Unit</t>
  </si>
  <si>
    <t>Base Unit Price
(Baseline Region)</t>
  </si>
  <si>
    <t>Region
Factor</t>
  </si>
  <si>
    <t>Escalation
Factor</t>
  </si>
  <si>
    <t>Adjusted
Unit Price</t>
  </si>
  <si>
    <t>Owner Selection
Sensitive?</t>
  </si>
  <si>
    <t>Source / Basis</t>
  </si>
  <si>
    <t>DIV 02 — DEMOLITION &amp; SITE PREPARATION</t>
  </si>
  <si>
    <t>02</t>
  </si>
  <si>
    <t>DEM-01</t>
  </si>
  <si>
    <t>02 41 19</t>
  </si>
  <si>
    <t>Selective demolition – interior non-structural partitions</t>
  </si>
  <si>
    <t>SF</t>
  </si>
  <si>
    <t>No</t>
  </si>
  <si>
    <t>Per SF GFA. Includes debris removal and haul-off. Range $3–7/SF for school renovation.</t>
  </si>
  <si>
    <t>DEM-02</t>
  </si>
  <si>
    <t>Selective demolition – existing ceilings and soffits</t>
  </si>
  <si>
    <t>ACT grid + tile or drywall ceiling removal. Includes sorting for recycling.</t>
  </si>
  <si>
    <t>DEM-03</t>
  </si>
  <si>
    <t>02 41 13</t>
  </si>
  <si>
    <t>Selective demolition – existing doors, frames, hardware</t>
  </si>
  <si>
    <t>EA</t>
  </si>
  <si>
    <t>Per opening. Includes careful removal to protect openings for reuse or patching.</t>
  </si>
  <si>
    <t>DEM-04</t>
  </si>
  <si>
    <t>Selective demolition – existing flooring (VCT/tile/carpet)</t>
  </si>
  <si>
    <t>Includes adhesive scraping and surface prep for new flooring. Hazmat survey assumed complete.</t>
  </si>
  <si>
    <t>HAZ-01</t>
  </si>
  <si>
    <t>02 82 13</t>
  </si>
  <si>
    <t>Asbestos abatement – floor tile and mastic (pre-1980 school)</t>
  </si>
  <si>
    <t>Per SF affected area. Includes air monitoring, NESHAP notification, disposal. NCC licensed contractor.</t>
  </si>
  <si>
    <t>HAZ-02</t>
  </si>
  <si>
    <t>02 83 13</t>
  </si>
  <si>
    <t>Lead paint abatement – encapsulation or removal</t>
  </si>
  <si>
    <t>Per SF surface area. Method TBD by industrial hygienist report. Allowance pending Phase I ESA.</t>
  </si>
  <si>
    <t>DIV 03 — CONCRETE</t>
  </si>
  <si>
    <t>03</t>
  </si>
  <si>
    <t>CON-01</t>
  </si>
  <si>
    <t>03 30 00</t>
  </si>
  <si>
    <t>Concrete slab patch / repair (existing slab anomalies)</t>
  </si>
  <si>
    <t>Assumes 15% of floor area requires patching. Full slab replacement priced separately if needed.</t>
  </si>
  <si>
    <t>CON-02</t>
  </si>
  <si>
    <t>Concrete housekeeping pad – mechanical equipment</t>
  </si>
  <si>
    <t>CY</t>
  </si>
  <si>
    <t>Formed, reinforced, poured, finished. Per CY. For mechanical and plumbing equipment bases.</t>
  </si>
  <si>
    <t>CON-03</t>
  </si>
  <si>
    <t>Elevator pit – concrete liner and sump</t>
  </si>
  <si>
    <t>LS</t>
  </si>
  <si>
    <t>Lump sum allowance. Excavation, forming, waterproofing, pit drain. Coordinate with elevator supplier.</t>
  </si>
  <si>
    <t>DIV 04 — MASONRY</t>
  </si>
  <si>
    <t>04</t>
  </si>
  <si>
    <t>MAS-01</t>
  </si>
  <si>
    <t>04 22 00</t>
  </si>
  <si>
    <t>CMU infill – existing openings to be closed</t>
  </si>
  <si>
    <t>New CMU to match existing, includes mortar, grout, reinforcing. Toothing and pinning.</t>
  </si>
  <si>
    <t>MAS-02</t>
  </si>
  <si>
    <t>CMU repair – tuck-pointing and spall repair</t>
  </si>
  <si>
    <t>Per SF affected surface. Includes mortar removal, repointing, color-matching mortar.</t>
  </si>
  <si>
    <t>DIV 05 — METALS</t>
  </si>
  <si>
    <t>05</t>
  </si>
  <si>
    <t>MET-01</t>
  </si>
  <si>
    <t>05 52 13</t>
  </si>
  <si>
    <t>Stainless steel handrail – IDD residential corridor (1.5" dia.)</t>
  </si>
  <si>
    <t>LF</t>
  </si>
  <si>
    <t>Continuous handrail both sides of corridor per DDDS licensing. Stainless for durability/hygiene.</t>
  </si>
  <si>
    <t>MET-02</t>
  </si>
  <si>
    <t>Aluminum guardrail – stair and open-to-below conditions</t>
  </si>
  <si>
    <t>IBC 42" height minimum. Includes anchor system. Powder coat standard.</t>
  </si>
  <si>
    <t>MET-03</t>
  </si>
  <si>
    <t>05 40 00</t>
  </si>
  <si>
    <t>Light gauge steel framing – new non-structural partitions</t>
  </si>
  <si>
    <t>Per SF of partition (one face). 3-5/8" 20ga stud at 16" OC. Includes track and bridging.</t>
  </si>
  <si>
    <t>MET-04</t>
  </si>
  <si>
    <t>05 51 13</t>
  </si>
  <si>
    <t>Steel stair – new elevator shaft framing and support</t>
  </si>
  <si>
    <t>Allowance for elevator shaft structural framing, pit angle, and cab guide rail embeds.</t>
  </si>
  <si>
    <t>DIV 06 — WOOD &amp; PLASTICS</t>
  </si>
  <si>
    <t>06</t>
  </si>
  <si>
    <t>CAR-01</t>
  </si>
  <si>
    <t>06 10 00</t>
  </si>
  <si>
    <t>Rough carpentry – blocking and backing for grab bars / equipment</t>
  </si>
  <si>
    <t>Per SF wall area requiring backing. IDD residential: extensive blocking for grab bars throughout.</t>
  </si>
  <si>
    <t>CAR-02</t>
  </si>
  <si>
    <t>06 20 00</t>
  </si>
  <si>
    <t>Finish carpentry – base cabinets (medication room, staff stations)</t>
  </si>
  <si>
    <t>Allowance. Per LF of base cabinet. Includes box, door, hardware. Countertop separate.</t>
  </si>
  <si>
    <t>CAR-03</t>
  </si>
  <si>
    <t>Finish carpentry – countertop (HPL, med-grade, per LF)</t>
  </si>
  <si>
    <t>High-pressure laminate. Solid surface upcharge = $55/LF additional. ADA heights required.</t>
  </si>
  <si>
    <t>DIV 07 — THERMAL &amp; MOISTURE PROTECTION</t>
  </si>
  <si>
    <t>07</t>
  </si>
  <si>
    <t>INS-01</t>
  </si>
  <si>
    <t>07 21 00</t>
  </si>
  <si>
    <t>Batt insulation – exterior wall cavities (R-13 or R-19)</t>
  </si>
  <si>
    <t>Per SF of exterior wall. Faced batt, energy code compliant. Verify existing cavity depth.</t>
  </si>
  <si>
    <t>INS-02</t>
  </si>
  <si>
    <t>07 21 19</t>
  </si>
  <si>
    <t>Rigid insulation board – below-slab or roof deck</t>
  </si>
  <si>
    <t>2" polyiso or XPS. Per SF. For roof and slab-on-grade conditions.</t>
  </si>
  <si>
    <t>ROO-01</t>
  </si>
  <si>
    <t>07 52 16</t>
  </si>
  <si>
    <t>Roof membrane replacement – EPDM 60-mil fully adhered</t>
  </si>
  <si>
    <t>Per SF of roof area. Includes new insulation, edge metal, drain modification. No structural deck.</t>
  </si>
  <si>
    <t>Per SF of below-grade wall. Crystalline or sheet membrane. Includes drainage board.</t>
  </si>
  <si>
    <t>CLK-01</t>
  </si>
  <si>
    <t>07 92 00</t>
  </si>
  <si>
    <t>Sealants and caulking – windows, penetrations, control joints</t>
  </si>
  <si>
    <t>Per LF of joint. Silicone at exterior; paintable latex at interior. Safety-compliant VOC.</t>
  </si>
  <si>
    <t>DIV 08 — OPENINGS</t>
  </si>
  <si>
    <t>08</t>
  </si>
  <si>
    <t>DOO-01</t>
  </si>
  <si>
    <t>08 11 13</t>
  </si>
  <si>
    <t>Hollow metal door + frame + hardware set – standard interior</t>
  </si>
  <si>
    <t>Complete unit. ADA lever handle, LCN closer, Von Duprin panic if required. 3'x8' standard.</t>
  </si>
  <si>
    <t>DOO-02</t>
  </si>
  <si>
    <t>Hollow metal door + frame + hardware – IDD resident bedroom (ligature-resistant)</t>
  </si>
  <si>
    <t>Allowance. Anti-ligature hardware required per DDDS licensing: recessed hinges, tamper-resistant.</t>
  </si>
  <si>
    <t>DOO-03</t>
  </si>
  <si>
    <t>Hollow metal door + frame – medication room (keyed security)</t>
  </si>
  <si>
    <t>Allowance. Controlled access hardware, security hinges, vision panel with film. DDDS required.</t>
  </si>
  <si>
    <t>DOO-04</t>
  </si>
  <si>
    <t>08 11 16</t>
  </si>
  <si>
    <t>Aluminum storefront entrance – main accessible entry</t>
  </si>
  <si>
    <t>Allowance. Full-lite aluminum with ADA-compliant power door operator. Includes threshold and sill.</t>
  </si>
  <si>
    <t>WIN-01</t>
  </si>
  <si>
    <t>08 51 13</t>
  </si>
  <si>
    <t>Aluminum window replacement – existing school openings</t>
  </si>
  <si>
    <t>Allowance. Per SF of rough opening. Thermally broken aluminum, Low-E glazing, Safety film interior.</t>
  </si>
  <si>
    <t>DIV 09 — FINISHES</t>
  </si>
  <si>
    <t>09</t>
  </si>
  <si>
    <t>GWB-01</t>
  </si>
  <si>
    <t>09 29 00</t>
  </si>
  <si>
    <t>Gypsum wallboard partition – 3-5/8" metal stud, taped + primed (per face)</t>
  </si>
  <si>
    <t>Per face SF. Double for both faces. Type-X at corridor walls per NFPA 101.</t>
  </si>
  <si>
    <t>GWB-02</t>
  </si>
  <si>
    <t>Gypsum wallboard – moisture-resistant (bathrooms, hygiene rooms)</t>
  </si>
  <si>
    <t>Per face SF. Cement board at wet areas behind tile. Required at all IDD bathroom walls.</t>
  </si>
  <si>
    <t>ACT-01</t>
  </si>
  <si>
    <t>09 51 00</t>
  </si>
  <si>
    <t>ACT ceiling – 2x2 grid + tile (standard occupied spaces)</t>
  </si>
  <si>
    <t>Standard 2x2 ACT. Includes grid, tile, suspension. Does not include MEP above.</t>
  </si>
  <si>
    <t>ACT-02</t>
  </si>
  <si>
    <t>09 51 23</t>
  </si>
  <si>
    <t>ACT ceiling – moisture-resistant tile (bathrooms, laundry)</t>
  </si>
  <si>
    <t>Moisture-resistant tile required at all wet areas per DDDS licensing.</t>
  </si>
  <si>
    <t>GWB-03</t>
  </si>
  <si>
    <t>Gypsum board ceiling (drywall) – corridors and sensory rooms</t>
  </si>
  <si>
    <t>Drywall ceiling at corridors (fire rated) and sensory/quiet rooms. Smooth finish.</t>
  </si>
  <si>
    <t>PAI-01</t>
  </si>
  <si>
    <t>09 91 00</t>
  </si>
  <si>
    <t>Interior paint – standard 2-coat system (walls + ceiling)</t>
  </si>
  <si>
    <t>Per SF of surface. Low-VOC latex. IDD residential: eggshell at walls, flat at ceilings.</t>
  </si>
  <si>
    <t>PAI-02</t>
  </si>
  <si>
    <t>Interior paint – semi-gloss (bathrooms, kitchens, medication rooms)</t>
  </si>
  <si>
    <t>Per SF. Semi-gloss for washability. Required at all wet + clinical areas.</t>
  </si>
  <si>
    <t>PAI-03</t>
  </si>
  <si>
    <t>09 96 00</t>
  </si>
  <si>
    <t>High-performance epoxy coating – mechanical and utility rooms</t>
  </si>
  <si>
    <t>2-coat epoxy floor and wall system. Tnemec or equal. Floors + lower 4' of walls.</t>
  </si>
  <si>
    <t>FLR-01</t>
  </si>
  <si>
    <t>09 65 13</t>
  </si>
  <si>
    <t>LVT (luxury vinyl tile) – resident bedrooms and corridors</t>
  </si>
  <si>
    <t>Per SF. 6mm commercial LVT, wear layer ≥0.55mm. Forbo Allura or equal. Ease of cleaning for IDD.</t>
  </si>
  <si>
    <t>FLR-02</t>
  </si>
  <si>
    <t>09 66 13</t>
  </si>
  <si>
    <t>Ceramic tile – bathroom floors (slip-resistant, DCOF ≥0.42)</t>
  </si>
  <si>
    <t>Per SF. 12x12 or 12x24 porcelain. Slip-resistant per ADA/DDDS. Includes mortar bed.</t>
  </si>
  <si>
    <t>FLR-03</t>
  </si>
  <si>
    <t>Ceramic tile – bathroom walls (wainscot to 72")</t>
  </si>
  <si>
    <t>Per SF of tile. 4x12 or subway tile. Epoxy grout at wet areas. Full-height at shower surrounds.</t>
  </si>
  <si>
    <t>FLR-04</t>
  </si>
  <si>
    <t>09 65 16</t>
  </si>
  <si>
    <t>Sheet vinyl – sensory rooms, therapy rooms (seamless, cushioned)</t>
  </si>
  <si>
    <t>Allowance. Seamless sheet vinyl preferred for IDD sensory environments. Forbo Marmoleum or equal.</t>
  </si>
  <si>
    <t>FLR-05</t>
  </si>
  <si>
    <t>09 68 13</t>
  </si>
  <si>
    <t>Carpet tile – therapy/activity rooms (soft zone, low-pile)</t>
  </si>
  <si>
    <t>Allowance. 24x24 carpet tile, GlasTac adhesive. IDD: pattern/color per OT recommendation.</t>
  </si>
  <si>
    <t>ACC-01</t>
  </si>
  <si>
    <t>09 22 36</t>
  </si>
  <si>
    <t>Corner guards – stainless steel, IDD corridor (full height)</t>
  </si>
  <si>
    <t>Per LF. Stainless, mechanically anchored. Required at all IDD corridor corners. DDDS standard.</t>
  </si>
  <si>
    <t>ACC-02</t>
  </si>
  <si>
    <t>Wall protection – chair rail and crash rail system</t>
  </si>
  <si>
    <t>Per LF of rail. PVC or rubber. 32" and 42" heights at residential corridors.</t>
  </si>
  <si>
    <t>DIV 10 — SPECIALTIES &amp; EQUIPMENT</t>
  </si>
  <si>
    <t>ACC-03</t>
  </si>
  <si>
    <t>10 28 00</t>
  </si>
  <si>
    <t>Toilet accessories – ADA-compliant set (grab bars, dispenser, mirror)</t>
  </si>
  <si>
    <t>Per bathroom. Includes (2) grab bars, TP dispenser, soap dispenser, ADA mirror. Bradley or equal.</t>
  </si>
  <si>
    <t>ACC-04</t>
  </si>
  <si>
    <t>10 28 13</t>
  </si>
  <si>
    <t>Ligature-resistant toilet accessories – IDD resident bathrooms</t>
  </si>
  <si>
    <t>Allowance per DDDS requirement. Tamper-resistant, recessed, anti-ligature hardware throughout.</t>
  </si>
  <si>
    <t>ACC-05</t>
  </si>
  <si>
    <t>10 26 00</t>
  </si>
  <si>
    <t>Fire extinguisher cabinet – recessed, painted steel</t>
  </si>
  <si>
    <t>Per cabinet. Includes extinguisher. Fire marshal placement per NFPA 10.</t>
  </si>
  <si>
    <t>SIG-01</t>
  </si>
  <si>
    <t>10 14 23</t>
  </si>
  <si>
    <t>ADA room sign – tactile (Braille + raised characters per ICC A117.1)</t>
  </si>
  <si>
    <t>Per sign. Includes mounting hardware. Room ID, restroom, stair. Sign text from SIGNAGE PROGRAM tab.</t>
  </si>
  <si>
    <t>SIG-02</t>
  </si>
  <si>
    <t>10 14 53</t>
  </si>
  <si>
    <t>Wayfinding directional sign – interior wall-mounted</t>
  </si>
  <si>
    <t>Allowance. Per sign location. System pricing in SIGNAGE PROGRAM tab (ALW-SGN-02).</t>
  </si>
  <si>
    <t>NUR-01</t>
  </si>
  <si>
    <t>10 51 16</t>
  </si>
  <si>
    <t>Nurse/staff call panel – resident room header unit</t>
  </si>
  <si>
    <t>Allowance. Per room. Wired staff call with dome light at corridor. Rauland or equal.</t>
  </si>
  <si>
    <t>NUR-02</t>
  </si>
  <si>
    <t>Nurse/staff call panel – corridor annunciator</t>
  </si>
  <si>
    <t>Allowance. Per corridor zone. Ties to room call units. Coordinate with electrical.</t>
  </si>
  <si>
    <t>WIN-02</t>
  </si>
  <si>
    <t>10 91 19</t>
  </si>
  <si>
    <t>Window treatment – IDD residential (blackout, safety-cord-free)</t>
  </si>
  <si>
    <t>Allowance per window. Cordless blackout shade. Anti-ligature specification required.</t>
  </si>
  <si>
    <t>MIR-01</t>
  </si>
  <si>
    <t>Mirrors – stainless steel frameless (IDD residential bathrooms)</t>
  </si>
  <si>
    <t>Per mirror. Shatter-resistant or polished stainless. Recessed or flush mount. DDDS standard.</t>
  </si>
  <si>
    <t>DIV 11 — EQUIPMENT (IDD Residential + Clinical)</t>
  </si>
  <si>
    <t>EQP-01</t>
  </si>
  <si>
    <t>11 31 00</t>
  </si>
  <si>
    <t>Residential kitchen equipment – dining service area</t>
  </si>
  <si>
    <t>Allowance. Commercial-grade for IDD residential service: range, hood, refrigerators, dishwasher, serving line.</t>
  </si>
  <si>
    <t>EQP-02</t>
  </si>
  <si>
    <t>11 31 16</t>
  </si>
  <si>
    <t>Residential laundry equipment – per unit (washer + dryer)</t>
  </si>
  <si>
    <t>Allowance per pair. Commercial-grade front-load, ADA-accessible controls. Speed Queen or equal.</t>
  </si>
  <si>
    <t>EQP-03</t>
  </si>
  <si>
    <t>11 71 00</t>
  </si>
  <si>
    <t>Medical equipment – medication dispensing unit (automated)</t>
  </si>
  <si>
    <t>Allowance per floor. Omnicell or Pyxis system. Requires dedicated power, network, ventilation.</t>
  </si>
  <si>
    <t>EQP-04</t>
  </si>
  <si>
    <t>11 72 00</t>
  </si>
  <si>
    <t>Therapy equipment – sensory room (sensory swing, panels, lighting)</t>
  </si>
  <si>
    <t>Allowance per sensory room. OT-specified: weighted swing, bubble column, tactile wall panels. IDD-specific.</t>
  </si>
  <si>
    <t>EQP-05</t>
  </si>
  <si>
    <t>Therapy equipment – activity room (OT/PT standard package)</t>
  </si>
  <si>
    <t>Allowance per therapy room. Balance beams, mats, therapy balls, storage. OT program-specific.</t>
  </si>
  <si>
    <t>EQP-06</t>
  </si>
  <si>
    <t>11 82 16</t>
  </si>
  <si>
    <t>Residential furniture – IDD resident bedroom (bed, dresser, desk, chair)</t>
  </si>
  <si>
    <t>Allowance per room. Residential-grade, ADA-compatible, anti-tip anchored. 112 rooms.</t>
  </si>
  <si>
    <t>DIV 12 — FURNISHINGS</t>
  </si>
  <si>
    <t>FUR-01</t>
  </si>
  <si>
    <t>12 21 13</t>
  </si>
  <si>
    <t>Window blinds – cordless, blackout (see also WIN-02 for IDD)</t>
  </si>
  <si>
    <t>Allowance. Standard non-IDD areas: offices, therapy, dining. Cordless specification throughout.</t>
  </si>
  <si>
    <t>FUR-02</t>
  </si>
  <si>
    <t>12 56 00</t>
  </si>
  <si>
    <t>Common area furnishings – dining (tables, chairs, per seat)</t>
  </si>
  <si>
    <t>Allowance per seat. Commercial-grade, stackable chairs. ADA-compliant table heights.</t>
  </si>
  <si>
    <t>FUR-03</t>
  </si>
  <si>
    <t>Common area furnishings – therapy/activity room (lounge seating)</t>
  </si>
  <si>
    <t>Allowance per room. Cleanable upholstery, residential scale, IDD-appropriate selection.</t>
  </si>
  <si>
    <t>DIV 21 — FIRE SUPPRESSION</t>
  </si>
  <si>
    <t>21</t>
  </si>
  <si>
    <t>FPS-01</t>
  </si>
  <si>
    <t>21 13 13</t>
  </si>
  <si>
    <t>NFPA 13 wet-pipe sprinkler system – new throughout building</t>
  </si>
  <si>
    <t>Per SF GFA. Full building NFPA 13 required for IBC R-4 IDD residential. Includes riser, heads, piping.</t>
  </si>
  <si>
    <t>FPS-02</t>
  </si>
  <si>
    <t>Sprinkler head replacement / reconfiguration (existing partial system)</t>
  </si>
  <si>
    <t>Per head. If partial system exists and requires reconfiguration to meet NFPA 13.</t>
  </si>
  <si>
    <t>DIV 22 — PLUMBING</t>
  </si>
  <si>
    <t>22</t>
  </si>
  <si>
    <t>PLB-01</t>
  </si>
  <si>
    <t>22 11 16</t>
  </si>
  <si>
    <t>Plumbing rough-in and trim – new bathroom (complete fixture group)</t>
  </si>
  <si>
    <t>Per bathroom. Includes water closet, lavatory, shower (if applicable), piping, waste, vent.</t>
  </si>
  <si>
    <t>PLB-02</t>
  </si>
  <si>
    <t>Plumbing fixture – ADA water closet (wall-hung, anti-ligature flush)</t>
  </si>
  <si>
    <t>Allowance. Anti-ligature flush valve per DDDS. Wall-hung for cleaning access. Sloan or Zurn.</t>
  </si>
  <si>
    <t>PLB-03</t>
  </si>
  <si>
    <t>Plumbing fixture – ADA lavatory (wall-hung, insulated P-trap)</t>
  </si>
  <si>
    <t>Allowance. Insulated P-trap per ADA scald protection. Anti-ligature faucet for IDD bathrooms.</t>
  </si>
  <si>
    <t>PLB-04</t>
  </si>
  <si>
    <t>22 35 00</t>
  </si>
  <si>
    <t>Domestic hot water heater – commercial (per 20-resident zone)</t>
  </si>
  <si>
    <t>Per water heater zone. High-recovery commercial unit. Tempering valve required at IDD bathrooms.</t>
  </si>
  <si>
    <t>PLB-05</t>
  </si>
  <si>
    <t>Plumbing rough-in – kitchen equipment connections</t>
  </si>
  <si>
    <t>Lump sum allowance for kitchen rough plumbing. Gas (if applicable) priced separately.</t>
  </si>
  <si>
    <t>DIV 23 — HVAC</t>
  </si>
  <si>
    <t>23</t>
  </si>
  <si>
    <t>HVA-01</t>
  </si>
  <si>
    <t>23 05 00</t>
  </si>
  <si>
    <t>HVAC system replacement – residential unit ventilators (per room)</t>
  </si>
  <si>
    <t>Per resident room. Unit ventilator with individual zone control. IDD residential: independent room control required.</t>
  </si>
  <si>
    <t>HVA-02</t>
  </si>
  <si>
    <t>HVAC ductwork and distribution – common areas</t>
  </si>
  <si>
    <t>Per SF of common area (dining, therapy, corridors). Includes duct, diffusers, VAV if applicable.</t>
  </si>
  <si>
    <t>HVA-03</t>
  </si>
  <si>
    <t>23 82 19</t>
  </si>
  <si>
    <t>Bathroom exhaust fan – continuous, code minimum (50 CFM)</t>
  </si>
  <si>
    <t>Per bathroom. DDDS: continuous exhaust required in all resident bathrooms. Include backdraft damper.</t>
  </si>
  <si>
    <t>HVA-04</t>
  </si>
  <si>
    <t>23 05 93</t>
  </si>
  <si>
    <t>HVAC controls and BAS (Building Automation System) integration</t>
  </si>
  <si>
    <t>Allowance. Entire building controls package. Includes thermostats, sensors, BAS integration, commissioning.</t>
  </si>
  <si>
    <t>HVA-05</t>
  </si>
  <si>
    <t>23 82 00</t>
  </si>
  <si>
    <t>Kitchen exhaust hood and make-up air system</t>
  </si>
  <si>
    <t>Allowance. Commercial UL-listed hood, fire suppression tie-in, make-up air unit. Health dept. compliance.</t>
  </si>
  <si>
    <t>DIV 26 — ELECTRICAL</t>
  </si>
  <si>
    <t>26</t>
  </si>
  <si>
    <t>ELC-01</t>
  </si>
  <si>
    <t>26 05 00</t>
  </si>
  <si>
    <t>Electrical service upgrade – new main switchgear and distribution</t>
  </si>
  <si>
    <t>Allowance. Full service upgrade for IDD residential + clinical loads. Coordinate with utility for transformer.</t>
  </si>
  <si>
    <t>ELC-02</t>
  </si>
  <si>
    <t>26 05 19</t>
  </si>
  <si>
    <t>Electrical wiring – resident room circuit package (lights, outlets, call)</t>
  </si>
  <si>
    <t>Per resident room. Includes branch circuits, devices, nurse call rough-in. Tamper-resistant outlets required.</t>
  </si>
  <si>
    <t>ELC-03</t>
  </si>
  <si>
    <t>Electrical wiring – bathroom (GFI circuits, exhaust, lighting)</t>
  </si>
  <si>
    <t>Per bathroom. GFCI throughout, exhaust fan circuit, vanity lighting, night light circuit.</t>
  </si>
  <si>
    <t>ELC-04</t>
  </si>
  <si>
    <t>26 51 00</t>
  </si>
  <si>
    <t>Lighting fixture – LED corridor/common area (fixture + lamp)</t>
  </si>
  <si>
    <t>Per fixture. Commercial LED, 0-10V dimming, correlated color 3000K. IDD: warm neutral tones preferred.</t>
  </si>
  <si>
    <t>ELC-05</t>
  </si>
  <si>
    <t>Lighting fixture – LED resident bedroom (ceiling, dimmable)</t>
  </si>
  <si>
    <t>Per fixture. Residential-scale LED, flush mount, dimmable. IDD: no strobing or harsh color temp.</t>
  </si>
  <si>
    <t>ELC-06</t>
  </si>
  <si>
    <t>26 09 26</t>
  </si>
  <si>
    <t>Occupancy sensor – resident room and common area</t>
  </si>
  <si>
    <t>Per sensor. Required for energy code. PIR or dual-technology. Delay setting for IDD populations.</t>
  </si>
  <si>
    <t>ELC-07</t>
  </si>
  <si>
    <t>26 32 13</t>
  </si>
  <si>
    <t>Emergency generator – diesel standby (per required KVA)</t>
  </si>
  <si>
    <t>KVA</t>
  </si>
  <si>
    <t>Allowance per KVA. NFPA 99/110 Type 10 for IDD residential. Includes ATS, enclosure, fuel tank.</t>
  </si>
  <si>
    <t>ELC-08</t>
  </si>
  <si>
    <t>26 27 26</t>
  </si>
  <si>
    <t>Tamper-resistant outlet covers / safety outlets throughout</t>
  </si>
  <si>
    <t>Per outlet. TR outlets required per NEC 406.12 and DDDS licensing. All resident areas.</t>
  </si>
  <si>
    <t>DIV 27 — COMMUNICATIONS</t>
  </si>
  <si>
    <t>27</t>
  </si>
  <si>
    <t>COM-01</t>
  </si>
  <si>
    <t>27 11 00</t>
  </si>
  <si>
    <t>Data/telecom infrastructure – Cat6 rough-in per room</t>
  </si>
  <si>
    <t>Per room. Includes conduit, pull string, boxes. Pulls and terminations by telecom contractor.</t>
  </si>
  <si>
    <t>COM-02</t>
  </si>
  <si>
    <t>Wireless access point – ceiling-mount, per coverage zone</t>
  </si>
  <si>
    <t>Allowance per AP location. PoE switch infrastructure additional. Meraki or Ubiquiti.</t>
  </si>
  <si>
    <t>COM-03</t>
  </si>
  <si>
    <t>27 53 16</t>
  </si>
  <si>
    <t>Nurse call system – resident room to corridor (full system)</t>
  </si>
  <si>
    <t>Allowance. Full Rauland or equivalent system. Required for DDDS licensing. Includes server, wiring, commissioning.</t>
  </si>
  <si>
    <t>COM-04</t>
  </si>
  <si>
    <t>27 41 16</t>
  </si>
  <si>
    <t>Security / access control – door card readers + control panel</t>
  </si>
  <si>
    <t>Allowance per controlled opening. DDDS: controlled access at medication rooms, exits, and staff areas.</t>
  </si>
  <si>
    <t>COM-05</t>
  </si>
  <si>
    <t>27 41 21</t>
  </si>
  <si>
    <t>CCTV security cameras – interior coverage</t>
  </si>
  <si>
    <t>Allowance per camera location. IP cameras with NVR system. Required at entries, corridors, common areas.</t>
  </si>
  <si>
    <t>DIV 28 — FIRE ALARM</t>
  </si>
  <si>
    <t>28</t>
  </si>
  <si>
    <t>FAL-01</t>
  </si>
  <si>
    <t>28 31 00</t>
  </si>
  <si>
    <t>Fire alarm system – addressable, voice evacuation (full building)</t>
  </si>
  <si>
    <t>Per SF GFA. NFPA 72 addressable system with voice evacuation. Required for IBC R-4. Includes panels, devices, commissioning.</t>
  </si>
  <si>
    <t>FAL-02</t>
  </si>
  <si>
    <t>Visual strobe devices – ADA-compliant (resident rooms + bathrooms)</t>
  </si>
  <si>
    <t>Per device. Required in all sleeping rooms and bathrooms per ADA 4.28.3 and IBC.</t>
  </si>
  <si>
    <t>DIV 31/32 — SITE WORK (Phase 1 — School Building Only)</t>
  </si>
  <si>
    <t>32</t>
  </si>
  <si>
    <t>SIT-01</t>
  </si>
  <si>
    <t>32 12 16</t>
  </si>
  <si>
    <t>Accessible parking surface – asphalt with ADA markings</t>
  </si>
  <si>
    <t>SY</t>
  </si>
  <si>
    <t>Per SY. Includes base, binder, wearing course, striping. ADA van-accessible space markings.</t>
  </si>
  <si>
    <t>SIT-02</t>
  </si>
  <si>
    <t>32 17 23</t>
  </si>
  <si>
    <t>Accessible pedestrian path – concrete (4" slab, broom finish)</t>
  </si>
  <si>
    <t>Per SF. ADA-compliant accessible route from parking to entrance. Includes curb ramps.</t>
  </si>
  <si>
    <t>SIT-03</t>
  </si>
  <si>
    <t>32 31 13</t>
  </si>
  <si>
    <t>Perimeter fence / security fence – chain link with privacy slats</t>
  </si>
  <si>
    <t>Allowance. Per LF. IDD residential: secure perimeter recommended. Height and specification TBD.</t>
  </si>
  <si>
    <t>SIT-04</t>
  </si>
  <si>
    <t>32 90 00</t>
  </si>
  <si>
    <t>Landscaping – Phase 1 basic campus restoration</t>
  </si>
  <si>
    <t>Allowance. Seed/sod disturbed areas, foundation plantings at entry, accessible route planting strips.</t>
  </si>
  <si>
    <t>DIV 10 — SIGNAGE (see also SIGNAGE PROGRAM tab)</t>
  </si>
  <si>
    <t>SGN-01</t>
  </si>
  <si>
    <t>ADA tactile room sign – resident bedroom (anti-ligature mount)</t>
  </si>
  <si>
    <t>Per sign. Ligature-resistant mount required at IDD residential rooms. Raised characters + Braille.</t>
  </si>
  <si>
    <t>SGN-02</t>
  </si>
  <si>
    <t>Wayfinding directional system – campus-wide allowance</t>
  </si>
  <si>
    <t>Allowance. Full system per SIGNAGE PROGRAM tab (ALW-SGN-02). Includes campus map, floor directories, directionals.</t>
  </si>
  <si>
    <t>SGN-03</t>
  </si>
  <si>
    <t>10 14 00</t>
  </si>
  <si>
    <t>Building exterior identification sign</t>
  </si>
  <si>
    <t>Allowance. Per SIGNAGE PROGRAM tab (ALW-SGN-03). NCC sign permit required.</t>
  </si>
  <si>
    <t>→  ADD NEW SCOPE ITEMS BELOW THIS ROW. Copy formulas in columns J–L from any row above.</t>
  </si>
  <si>
    <t>QUANTITY TAKEOFF — M-Well Community Health Campus  ·  Phase 1: School Building Renovation (IDD Residential, 27,452 SF)</t>
  </si>
  <si>
    <t>Enter quantities in column L (Quantity). Column M (Adj. Unit Cost) pulls automatically from UNIT PRICE LIBRARY via VLOOKUP on Cost Code. Column N (Line Total) = L × M. Column O (Included?) controls BID SUMMARY: enter 'Yes', 'No', or 'Allowance'. Add rows above the SUBTOTAL row. Do not modify formulas in L or M.</t>
  </si>
  <si>
    <t>Floor</t>
  </si>
  <si>
    <t>Area / Zone</t>
  </si>
  <si>
    <t>Spec
Section</t>
  </si>
  <si>
    <t>Bid
Package</t>
  </si>
  <si>
    <t>Cost
Code</t>
  </si>
  <si>
    <t>Quantity
Source</t>
  </si>
  <si>
    <t>Quantity</t>
  </si>
  <si>
    <t>Adj. Unit Cost
(from Library)</t>
  </si>
  <si>
    <t>Line Total</t>
  </si>
  <si>
    <t>Included?</t>
  </si>
  <si>
    <t>Comments</t>
  </si>
  <si>
    <t>FLOOR 1 — PHASE 1A: Partial Fit-Out + Full Building Life-Safety Backbone</t>
  </si>
  <si>
    <t>1F</t>
  </si>
  <si>
    <t>Entire Building</t>
  </si>
  <si>
    <t>Selective demolition – interior partitions and finishes</t>
  </si>
  <si>
    <t>27,452 SF × 65% demo factor</t>
  </si>
  <si>
    <t>65% of GFA requires interior demolition. Excludes areas to remain.</t>
  </si>
  <si>
    <t>Selective demolition – existing ceilings (ACT + drywall)</t>
  </si>
  <si>
    <t>27,452 SF GFA</t>
  </si>
  <si>
    <t>Full ceiling demolition required to run new MEP backbone.</t>
  </si>
  <si>
    <t>Selective demolition – existing doors, frames (to be replaced)</t>
  </si>
  <si>
    <t>Count existing</t>
  </si>
  <si>
    <t>Replace 65 of estimated 80 door openings. Retain serviceable openings.</t>
  </si>
  <si>
    <t>Selective demolition – existing flooring throughout</t>
  </si>
  <si>
    <t>Full flooring removal for new finishes and substrate prep.</t>
  </si>
  <si>
    <t>Estimated 40% of floor area</t>
  </si>
  <si>
    <t>Pre-1980 building: assume 40% of floor area affected. Phase I ESA to confirm.</t>
  </si>
  <si>
    <t>Corridors + Stairs</t>
  </si>
  <si>
    <t>Concrete slab patch / repair – corridors and damaged areas</t>
  </si>
  <si>
    <t>Estimated 15% of slab</t>
  </si>
  <si>
    <t>15% of floor area patching assumed for pre-1980 slab.</t>
  </si>
  <si>
    <t>Elevator Shaft</t>
  </si>
  <si>
    <t>Elevator pit – concrete liner, waterproofing, sump</t>
  </si>
  <si>
    <t>1 shaft</t>
  </si>
  <si>
    <t>Phase 1A: shaft shell + pit only. Cab installed in Phase 1B.</t>
  </si>
  <si>
    <t>CMU infill – new program openings to be closed</t>
  </si>
  <si>
    <t>Estimated 8 openings × 40 SF</t>
  </si>
  <si>
    <t>New program partitions require closure of some existing openings.</t>
  </si>
  <si>
    <t>Stainless steel handrail – IDD residential corridors (both sides)</t>
  </si>
  <si>
    <t>Corridor LF × 2 sides × 2 floors ÷ 2</t>
  </si>
  <si>
    <t>520 LF of corridor on Floor 1. Both sides per DDDS. Stainless for hygiene.</t>
  </si>
  <si>
    <t>Stairs A + B</t>
  </si>
  <si>
    <t>Aluminum guardrail – stair A and B open-to-below</t>
  </si>
  <si>
    <t>2 stairs × 28 LF each</t>
  </si>
  <si>
    <t>IBC 42" guardrail at open stair conditions.</t>
  </si>
  <si>
    <t>New Partitions</t>
  </si>
  <si>
    <t>Light gauge steel framing – new IDD program partitions</t>
  </si>
  <si>
    <t>New partition area (both faces) 6,400 SF</t>
  </si>
  <si>
    <t>New partitions for program rooms on Floor 1. Both faces included.</t>
  </si>
  <si>
    <t>Steel elevator shaft framing + structural support</t>
  </si>
  <si>
    <t>Shaft steel, pit angle, guide rail embeds. Cab by owner in Phase 1B.</t>
  </si>
  <si>
    <t>Resident Rooms</t>
  </si>
  <si>
    <t>Blocking + backing – grab bars, equipment attachment (IDD standard)</t>
  </si>
  <si>
    <t>27,452 SF × 30% blocking factor</t>
  </si>
  <si>
    <t>Extensive blocking required at IDD residential: grab bars in all bathrooms, handrails, equipment.</t>
  </si>
  <si>
    <t>Medication Room</t>
  </si>
  <si>
    <t>Base cabinets – medication room and staff charting station</t>
  </si>
  <si>
    <t>Medication rm 18 LF + staff station 12 LF</t>
  </si>
  <si>
    <t>DDDS required: lockable medication storage, staff workspace.</t>
  </si>
  <si>
    <t>Countertop (HPL) – medication room and staff station</t>
  </si>
  <si>
    <t>Medication rm 18 LF + station 12 LF</t>
  </si>
  <si>
    <t>ADA-compliant height at staff station section (34" max).</t>
  </si>
  <si>
    <t>Exterior Walls</t>
  </si>
  <si>
    <t>Batt insulation – exterior wall cavities (R-13)</t>
  </si>
  <si>
    <t>Perimeter wall SF × 60% cavity</t>
  </si>
  <si>
    <t>Re-insulate exterior walls where demolished. Estimate 4,200 SF of exterior wall cavity.</t>
  </si>
  <si>
    <t>Roof</t>
  </si>
  <si>
    <t>Roof membrane replacement – EPDM 60-mil (per floor plate)</t>
  </si>
  <si>
    <t>Phase 1 roof area 13,726 SF</t>
  </si>
  <si>
    <t>Full roof replacement at Phase 1 scope. Pre-1980 roof assumed at end of service life.</t>
  </si>
  <si>
    <t>All Program Rooms</t>
  </si>
  <si>
    <t>HM door + frame + hardware – standard interior (staff, utility, storage)</t>
  </si>
  <si>
    <t>Count</t>
  </si>
  <si>
    <t>Staff office, therapy, dining, laundry, storage. Standard ADA hardware.</t>
  </si>
  <si>
    <t>Resident Bedrooms</t>
  </si>
  <si>
    <t>HM door + frame + hardware – IDD resident bedroom (anti-ligature)</t>
  </si>
  <si>
    <t>All resident bedrooms: anti-ligature hardware required per DDDS. 35 rooms on both floors.</t>
  </si>
  <si>
    <t>HM door + frame + hardware – medication room (keyed security)</t>
  </si>
  <si>
    <t>Count — 1 per floor</t>
  </si>
  <si>
    <t>Controlled access required by DDDS at medication rooms.</t>
  </si>
  <si>
    <t>Main Entry</t>
  </si>
  <si>
    <t>Aluminum storefront entrance – main accessible entry with power operator</t>
  </si>
  <si>
    <t>1 entry assembly</t>
  </si>
  <si>
    <t>ADA power operator required. Includes threshold, sill, weatherstripping.</t>
  </si>
  <si>
    <t>All Exterior</t>
  </si>
  <si>
    <t>Window replacement – existing school openings (aluminum, Low-E)</t>
  </si>
  <si>
    <t>Estimated 60 windows × 24 SF avg</t>
  </si>
  <si>
    <t>Full window replacement. Safety film interior per IDD program. Low-E glazing for energy code.</t>
  </si>
  <si>
    <t>Corridors + Common</t>
  </si>
  <si>
    <t>GWB partition – new IDD program partitions (per face)</t>
  </si>
  <si>
    <t>New partition area (both faces)</t>
  </si>
  <si>
    <t>Type-X GWB at corridor walls per NFPA 101 § 18/19.</t>
  </si>
  <si>
    <t>Cement board at tile areas; moisture-resistant GWB elsewhere in wet rooms.</t>
  </si>
  <si>
    <t>Excludes resident rooms (drywall) and bathrooms (MR tile).</t>
  </si>
  <si>
    <t>Bathrooms</t>
  </si>
  <si>
    <t>ACT ceiling – moisture-resistant (all bathrooms + laundry)</t>
  </si>
  <si>
    <t>42 bathrooms × 80 SF + laundry 100 SF</t>
  </si>
  <si>
    <t>MR tile or MR ACT at all wet rooms per DDDS.</t>
  </si>
  <si>
    <t>Resident Rooms + Stairs</t>
  </si>
  <si>
    <t>Drywall ceiling – resident bedrooms and sensory rooms</t>
  </si>
  <si>
    <t>35 rooms × 180 SF avg ceiling</t>
  </si>
  <si>
    <t>Smooth drywall ceiling at resident rooms. Sensory rooms: full smooth interior.</t>
  </si>
  <si>
    <t>Common Areas</t>
  </si>
  <si>
    <t>Interior paint – standard 2-coat (walls + ceilings, all spaces)</t>
  </si>
  <si>
    <t>27,452 SF × 2.8 surface factor</t>
  </si>
  <si>
    <t>2.8× surface factor for walls + ceiling. Low-VOC required throughout.</t>
  </si>
  <si>
    <t>Bathrooms + Kitchens</t>
  </si>
  <si>
    <t>Interior paint – semi-gloss (all wet and clinical areas)</t>
  </si>
  <si>
    <t>Bathroom + kitchen wall SF</t>
  </si>
  <si>
    <t>Semi-gloss for washability at all wet areas and medication rooms.</t>
  </si>
  <si>
    <t>Mechanical + Utility</t>
  </si>
  <si>
    <t>Mech 320 SF + utility 200 SF</t>
  </si>
  <si>
    <t>Epoxy floor and wall at all mechanical/electrical rooms.</t>
  </si>
  <si>
    <t>Resident Rooms + Corridors</t>
  </si>
  <si>
    <t>LVT flooring – resident bedrooms and corridors (6mm commercial)</t>
  </si>
  <si>
    <t>Rooms 9,000 SF + corridors 4,200 SF</t>
  </si>
  <si>
    <t>Commercial LVT throughout residential areas. Ease of cleaning key for IDD program.</t>
  </si>
  <si>
    <t>42 bathrooms × 80 SF</t>
  </si>
  <si>
    <t>Slip-resistant porcelain. ADA-compliant DCOF. Required at all IDD bathrooms.</t>
  </si>
  <si>
    <t>42 bathrooms × 240 SF walls to 72"</t>
  </si>
  <si>
    <t>Full tile wainscot at all resident bathrooms per DDDS hygiene standards.</t>
  </si>
  <si>
    <t>Sensory Rooms</t>
  </si>
  <si>
    <t>Sheet vinyl – sensory rooms (seamless, cushioned, impact-absorbing)</t>
  </si>
  <si>
    <t>2 sensory rooms × 280 SF</t>
  </si>
  <si>
    <t>Allowance</t>
  </si>
  <si>
    <t>Forbo Marmoleum or equal. OT-specified. Color/pattern TBD by OT program.</t>
  </si>
  <si>
    <t>Therapy Rooms</t>
  </si>
  <si>
    <t>Carpet tile – therapy and activity rooms (soft zone)</t>
  </si>
  <si>
    <t>3 therapy rooms × 420 SF avg</t>
  </si>
  <si>
    <t>24x24 carpet tile. IDD: pattern and color per OT recommendation. Avoid strong patterns.</t>
  </si>
  <si>
    <t>IDD Corridors</t>
  </si>
  <si>
    <t>Corner guards – stainless steel IDD corridors (full height)</t>
  </si>
  <si>
    <t>Corridor LF × 4 corners per bay × est. factor</t>
  </si>
  <si>
    <t>All IDD corridor corners. Full height stainless. DDDS standard requirement.</t>
  </si>
  <si>
    <t>Corridor LF × 2 sides</t>
  </si>
  <si>
    <t>32" and 42" rails at residential corridors. Protects walls and residents.</t>
  </si>
  <si>
    <t>All Bathrooms</t>
  </si>
  <si>
    <t>Toilet accessories – ADA-compliant set (grab bars, dispensers, mirror)</t>
  </si>
  <si>
    <t>Count bathrooms</t>
  </si>
  <si>
    <t>Per bathroom. Includes 2 grab bars, TP, soap, mirror. ADA-compliant hardware.</t>
  </si>
  <si>
    <t>Resident Bathrooms</t>
  </si>
  <si>
    <t>Resident bathrooms only</t>
  </si>
  <si>
    <t>DDDS requirement. Anti-ligature hardware at all resident bathroom accessories.</t>
  </si>
  <si>
    <t>Per Floor</t>
  </si>
  <si>
    <t>10 22 00</t>
  </si>
  <si>
    <t>Fire extinguisher cabinets – recessed</t>
  </si>
  <si>
    <t>Per NFPA 10 spacing, est. 12 per floor</t>
  </si>
  <si>
    <t>12 cabinets per floor × 2 floors. Includes extinguisher.</t>
  </si>
  <si>
    <t>All Rooms</t>
  </si>
  <si>
    <t>ADA tactile room signs – all program rooms (anti-ligature mount at IDD rooms)</t>
  </si>
  <si>
    <t>57 interior sign locations</t>
  </si>
  <si>
    <t>From SIGNAGE PROGRAM tab room schedule. Ligature-resistant mount at resident rooms.</t>
  </si>
  <si>
    <t>Nurse/staff call – resident room header unit</t>
  </si>
  <si>
    <t>35 resident rooms</t>
  </si>
  <si>
    <t>Required for DDDS licensing. Dome light at corridor.</t>
  </si>
  <si>
    <t>Corridors</t>
  </si>
  <si>
    <t>Nurse/staff call – corridor annunciator panels</t>
  </si>
  <si>
    <t>6 corridor zones</t>
  </si>
  <si>
    <t>Annunciator at nursing station and corridor zones.</t>
  </si>
  <si>
    <t>Window treatments – cordless blackout blinds (IDD safety)</t>
  </si>
  <si>
    <t>60 windows building-wide</t>
  </si>
  <si>
    <t>Anti-ligature, cordless specification. Per DDDS program requirement.</t>
  </si>
  <si>
    <t>Mirrors – stainless steel frameless (IDD resident bathrooms)</t>
  </si>
  <si>
    <t>35 resident bathrooms</t>
  </si>
  <si>
    <t>Polished stainless or shatter-resistant. Recessed mount preferred.</t>
  </si>
  <si>
    <t>Dining / Kitchen</t>
  </si>
  <si>
    <t>Kitchen equipment package – residential IDD dining service</t>
  </si>
  <si>
    <t>1 kitchen</t>
  </si>
  <si>
    <t>Full commercial equipment: range, hood, refrigerators, dishwasher, serving line. Owner-selected.</t>
  </si>
  <si>
    <t>Laundry Rooms</t>
  </si>
  <si>
    <t>Laundry equipment – commercial washer + dryer pairs</t>
  </si>
  <si>
    <t>2 laundry rooms × 3 pairs each</t>
  </si>
  <si>
    <t>Commercial front-load, ADA-accessible controls. Speed Queen or equal.</t>
  </si>
  <si>
    <t>Medication Rooms</t>
  </si>
  <si>
    <t>Automated medication dispensing unit – per floor</t>
  </si>
  <si>
    <t>2 medication rooms (1 per floor)</t>
  </si>
  <si>
    <t>Omnicell or Pyxis. Requires dedicated power, network, ventilation. DDDS required.</t>
  </si>
  <si>
    <t>Sensory room equipment package (OT-specified)</t>
  </si>
  <si>
    <t>2 sensory rooms</t>
  </si>
  <si>
    <t>Sensory swing, bubble column, tactile wall panels, lighting. OT program-specific.</t>
  </si>
  <si>
    <t>Therapy room equipment package (OT/PT standard)</t>
  </si>
  <si>
    <t>3 therapy rooms</t>
  </si>
  <si>
    <t>Balance beams, therapy mats, balls, storage. Scope from OT program guide.</t>
  </si>
  <si>
    <t>FULL BUILDING — Life-Safety + MEP Backbone (Phase 1A — Non-Negotiable Scope)</t>
  </si>
  <si>
    <t>BLDG</t>
  </si>
  <si>
    <t>NFPA 13 wet-pipe sprinkler system – full building (27,452 SF)</t>
  </si>
  <si>
    <t>Full building GFA</t>
  </si>
  <si>
    <t>Full building NFPA 13 required for IBC R-4 IDD residential. Cannot phase. Install entire building in Phase 1A.</t>
  </si>
  <si>
    <t>Plumbing rough-in + trim – new bathrooms (complete fixture group)</t>
  </si>
  <si>
    <t>42 bathrooms</t>
  </si>
  <si>
    <t>Full plumbing at all bathrooms. WC, lavatory, shower where applicable. Full waste/vent runs.</t>
  </si>
  <si>
    <t>ADA anti-ligature water closet (wall-hung, DDDS)</t>
  </si>
  <si>
    <t>Anti-ligature flush valve required per DDDS at all resident bathrooms.</t>
  </si>
  <si>
    <t>ADA lavatory (wall-hung, insulated P-trap)</t>
  </si>
  <si>
    <t>Anti-scald protection, insulated P-trap, anti-ligature faucet.</t>
  </si>
  <si>
    <t>Mechanical Rooms</t>
  </si>
  <si>
    <t>Domestic hot water heaters – commercial (1 per 20-resident zone)</t>
  </si>
  <si>
    <t>6 zones for 112 residents</t>
  </si>
  <si>
    <t>High-recovery commercial units with tempering valves for safety.</t>
  </si>
  <si>
    <t>Kitchen</t>
  </si>
  <si>
    <t>Kitchen plumbing rough-in – dining service equipment connections</t>
  </si>
  <si>
    <t>All kitchen equipment rough plumbing. Gas (if applicable) priced separately.</t>
  </si>
  <si>
    <t>HVAC – unit ventilators with individual zone control (per room)</t>
  </si>
  <si>
    <t>Individual zone control required per DDDS for resident comfort and infection control.</t>
  </si>
  <si>
    <t>HVAC ductwork + distribution – common areas (dining, therapy, corridors)</t>
  </si>
  <si>
    <t>Common area SF approx 8,000</t>
  </si>
  <si>
    <t>Includes ductwork, diffusers, VAV boxes as required. Full HVAC for common program areas.</t>
  </si>
  <si>
    <t>Bathroom exhaust fans – continuous code-minimum (42 bathrooms)</t>
  </si>
  <si>
    <t>42 bathrooms + 4 utility rooms</t>
  </si>
  <si>
    <t>DDDS requires continuous exhaust at all resident bathrooms. Includes backdraft dampers.</t>
  </si>
  <si>
    <t>HVAC controls + BAS integration – entire building</t>
  </si>
  <si>
    <t>1 building</t>
  </si>
  <si>
    <t>Full controls package. BAS integration for monitoring and energy code compliance.</t>
  </si>
  <si>
    <t>Kitchen exhaust hood + make-up air system</t>
  </si>
  <si>
    <t>UL-listed commercial hood, fire suppression tie-in, make-up air unit. Health dept. required.</t>
  </si>
  <si>
    <t>Electrical service upgrade – new main switchgear + distribution</t>
  </si>
  <si>
    <t>Full service upgrade for IDD residential + clinical loads. Coordinate with utility for transformer.</t>
  </si>
  <si>
    <t>Branch circuits, devices, nurse call rough-in. Tamper-resistant outlets throughout.</t>
  </si>
  <si>
    <t>Electrical wiring – bathroom (GFCI, exhaust, lighting)</t>
  </si>
  <si>
    <t>GFCI throughout, exhaust fan circuit, vanity lighting, night light.</t>
  </si>
  <si>
    <t>LED lighting – corridor and common area fixtures</t>
  </si>
  <si>
    <t>Est. 1 fixture per 80 SF common area</t>
  </si>
  <si>
    <t>LED, 0-10V dimming, 3000K. IDD: warm neutral tones. Corridor: 5fc minimum maintained.</t>
  </si>
  <si>
    <t>LED lighting – resident bedroom (dimmable ceiling fixture)</t>
  </si>
  <si>
    <t>Residential scale, dimmable. IDD: no harsh color temperature.</t>
  </si>
  <si>
    <t>All Spaces</t>
  </si>
  <si>
    <t>Occupancy sensors – resident rooms and common areas</t>
  </si>
  <si>
    <t>35 rooms + 20 common areas</t>
  </si>
  <si>
    <t>Energy code required. PIR or dual-technology. Adjustable delay for IDD populations.</t>
  </si>
  <si>
    <t>Mechanical Room</t>
  </si>
  <si>
    <t>Emergency generator – diesel standby</t>
  </si>
  <si>
    <t>Estimated 150 KVA</t>
  </si>
  <si>
    <t>NFPA 99/110 Type 10 for IDD residential. Includes ATS, enclosure, fuel tank.</t>
  </si>
  <si>
    <t>All Resident Areas</t>
  </si>
  <si>
    <t>Tamper-resistant outlet covers throughout resident areas</t>
  </si>
  <si>
    <t>Est. 4 outlets per room × 35 rooms + corridors</t>
  </si>
  <si>
    <t>NEC 406.12 and DDDS licensing requirement.</t>
  </si>
  <si>
    <t>NFPA 72 addressable with voice evacuation. Required for IBC R-4. Cannot phase. Full building.</t>
  </si>
  <si>
    <t>All Sleeping Rooms</t>
  </si>
  <si>
    <t>Visual strobe devices – ADA compliant (resident rooms + bathrooms)</t>
  </si>
  <si>
    <t>35 rooms + 42 bathrooms</t>
  </si>
  <si>
    <t>ADA 4.28.3 and IBC: visual alarm in all sleeping rooms and bathrooms.</t>
  </si>
  <si>
    <t>Data/telecom rough-in – Cat6 per room</t>
  </si>
  <si>
    <t>35 rooms + 15 staff/common areas</t>
  </si>
  <si>
    <t>Conduit and boxes. Pulls by telecom contractor.</t>
  </si>
  <si>
    <t>Wireless access points – building-wide WiFi coverage</t>
  </si>
  <si>
    <t>Estimated 1 AP per 2,500 SF</t>
  </si>
  <si>
    <t>PoE switch infrastructure additional. Meraki or Ubiquiti.</t>
  </si>
  <si>
    <t>1 system building-wide</t>
  </si>
  <si>
    <t>Rauland or equal. Full system including server, wiring, commissioning. DDDS required.</t>
  </si>
  <si>
    <t>Controlled Areas</t>
  </si>
  <si>
    <t>Access control – door card readers (medication rooms, exits, staff)</t>
  </si>
  <si>
    <t>8 controlled openings</t>
  </si>
  <si>
    <t>DDDS: controlled access at medication rooms, secure exits, staff-only areas.</t>
  </si>
  <si>
    <t>Key Locations</t>
  </si>
  <si>
    <t>CCTV security cameras – entries, corridors, common areas</t>
  </si>
  <si>
    <t>Estimated 18 cameras</t>
  </si>
  <si>
    <t>IP cameras with NVR. Required at entries, corridors, common areas per DDDS.</t>
  </si>
  <si>
    <t>SITE — Phase 1 School Building (Immediate Accessible Site Improvements)</t>
  </si>
  <si>
    <t>SITE</t>
  </si>
  <si>
    <t>Parking Area</t>
  </si>
  <si>
    <t>Accessible parking surface – ADA-compliant spaces and markings</t>
  </si>
  <si>
    <t>12 accessible spaces × 35 SY each</t>
  </si>
  <si>
    <t>ADA van-accessible + standard accessible spaces. 12 minimum for 112-bed IDD residential.</t>
  </si>
  <si>
    <t>Accessible Route</t>
  </si>
  <si>
    <t>Accessible pedestrian path – concrete (entry to building, parking)</t>
  </si>
  <si>
    <t>Entry route LF × 6' width est.</t>
  </si>
  <si>
    <t>ADA accessible route. Includes curb ramps, detectable warnings at crossings.</t>
  </si>
  <si>
    <t>Perimeter</t>
  </si>
  <si>
    <t>Perimeter security fence – chain link with privacy slats</t>
  </si>
  <si>
    <t>School building perimeter est.</t>
  </si>
  <si>
    <t>DDDS: secure perimeter recommended for IDD residential. Height and spec TBD by DDDS pre-app meeting.</t>
  </si>
  <si>
    <t>Campus</t>
  </si>
  <si>
    <t>Landscaping – Phase 1 campus restoration and accessible entry planting</t>
  </si>
  <si>
    <t>1 scope</t>
  </si>
  <si>
    <t>Seed/sod disturbed areas, foundation planting at entry, accessible route planting strips.</t>
  </si>
  <si>
    <t>TAKEOFF SUBTOTAL (before markups) — includes only rows where Included? = 'Yes' or 'Allowance'</t>
  </si>
  <si>
    <t>→  ADD NEW TAKEOFF ROWS ABOVE THE SUBTOTAL. Enter Floor, Zone, and Cost Code. Adj. Unit Cost auto-populates from UNIT PRICE LIBRARY via VLOOKUP on Cost Code.</t>
  </si>
  <si>
    <t>OWNER SELECTION / ATHLETIC EQUIPMENT ALLOWANCES</t>
  </si>
  <si>
    <t>Category</t>
  </si>
  <si>
    <t>Allowance Item</t>
  </si>
  <si>
    <t>Basis of Design</t>
  </si>
  <si>
    <t>Qty</t>
  </si>
  <si>
    <t>Allowance Each</t>
  </si>
  <si>
    <t>Allowance Total</t>
  </si>
  <si>
    <t>Owner Selection
Status</t>
  </si>
  <si>
    <t>Comments / Open Items</t>
  </si>
  <si>
    <t>Gym</t>
  </si>
  <si>
    <t>Main/side basketball backstop systems</t>
  </si>
  <si>
    <t>Jaypro / Porter / Draper</t>
  </si>
  <si>
    <t>Pending</t>
  </si>
  <si>
    <t>Select model/series, extension length, mounting type. 1 main + 3 side courts.</t>
  </si>
  <si>
    <t>Telescoping bleacher system</t>
  </si>
  <si>
    <t>Jaypro / Irwin / Hussey</t>
  </si>
  <si>
    <t>Confirm row count, rail configuration, ADA seating layout, finish.</t>
  </si>
  <si>
    <t>Scoreboard / control system</t>
  </si>
  <si>
    <t>Daktronics / Watchfire / Electro-Mech</t>
  </si>
  <si>
    <t>Confirm display type, clock size, controller, optional shot clock.</t>
  </si>
  <si>
    <t>Wall padding / graphics</t>
  </si>
  <si>
    <t>Jaypro / Safety Padding / Bison</t>
  </si>
  <si>
    <t>Confirm padding extents, color, logos / graphics, stage pad scope.</t>
  </si>
  <si>
    <t>Volleyball post/sleeve system</t>
  </si>
  <si>
    <t>Confirm 7000-series configuration or equivalent.</t>
  </si>
  <si>
    <t>Boxing</t>
  </si>
  <si>
    <t>Boxing ring and accessories</t>
  </si>
  <si>
    <t>Title / Ringside / Everlast</t>
  </si>
  <si>
    <t>Confirm ring size, ropes, corner pads, canvas, accessory package.</t>
  </si>
  <si>
    <t>Bag systems / speed bag stations</t>
  </si>
  <si>
    <t>Various</t>
  </si>
  <si>
    <t>Confirm bag count, support frame type, bag style/weight, speed bag platform.</t>
  </si>
  <si>
    <t>Rubber athletic flooring</t>
  </si>
  <si>
    <t>Mondo / Ecore / Gerflor</t>
  </si>
  <si>
    <t>Confirm thickness (6/8/10mm), color, transition details, wall base color.</t>
  </si>
  <si>
    <t>TOTAL EQUIPMENT ALLOWANCES</t>
  </si>
  <si>
    <t>Items Pending Owner Decision</t>
  </si>
  <si>
    <t>FLOOR-BY-FLOOR COST SUMMARY</t>
  </si>
  <si>
    <t>Base Building
Subtotal</t>
  </si>
  <si>
    <t>Equipment
Allowances</t>
  </si>
  <si>
    <t>Subtotal</t>
  </si>
  <si>
    <t>General
Conditions</t>
  </si>
  <si>
    <t>Contingencies</t>
  </si>
  <si>
    <t>Bid/Permit/Bonds</t>
  </si>
  <si>
    <t>Est. Floor Total</t>
  </si>
  <si>
    <t>2F</t>
  </si>
  <si>
    <t>↑ Total Project ROM feeds BID SUMMARY and SF BENCHMARK sheets.</t>
  </si>
  <si>
    <t>ROM COST ESTIMATE — EXECUTIVE SUMMARY</t>
  </si>
  <si>
    <t>Summary Item</t>
  </si>
  <si>
    <t>Amount</t>
  </si>
  <si>
    <t>Pricing Basis / Notes</t>
  </si>
  <si>
    <t>Architectural / interior renovation ROM with quantity-based takeoff. Excludes allowances.</t>
  </si>
  <si>
    <t>Owner-selection-dependent athletic and specialty equipment. Pending confirmation.</t>
  </si>
  <si>
    <t>Rate: per ASSUMPTIONS!C19</t>
  </si>
  <si>
    <t>Overhead &amp; Profit (OH&amp;P)</t>
  </si>
  <si>
    <t>Rate: per ASSUMPTIONS!C20</t>
  </si>
  <si>
    <t>Design + existing conditions + equipment/owner selection contingencies.</t>
  </si>
  <si>
    <t>Rate: per ASSUMPTIONS!C24</t>
  </si>
  <si>
    <t>Project Cost per SF</t>
  </si>
  <si>
    <t>Reference only. Compare to SF BENCHMARK sheet for sanity check.</t>
  </si>
  <si>
    <t>CONTINGENCY BREAKDOWN (for reference)</t>
  </si>
  <si>
    <t>Design Contingency</t>
  </si>
  <si>
    <t>Existing Conditions Contingency</t>
  </si>
  <si>
    <t>Equipment/Owner Selection Contingency</t>
  </si>
  <si>
    <t>SOFT COSTS &amp; TOTAL PROJECT INVESTMENT (see SOFT COSTS and TOTAL PROJECT BUDGET sheets)</t>
  </si>
  <si>
    <t>Architecture Fee (from SOFT COSTS)</t>
  </si>
  <si>
    <t>Base fee + renovation premium per M4Di fee schedule.</t>
  </si>
  <si>
    <t>Total Engineering Fees</t>
  </si>
  <si>
    <t>Structural, MEP, FP, Civil, Geotech.</t>
  </si>
  <si>
    <t>Other Consultant &amp; Owner Costs</t>
  </si>
  <si>
    <t>Technology, legal, permits, insurance, testing, environmental.</t>
  </si>
  <si>
    <t>TOTAL SOFT COSTS</t>
  </si>
  <si>
    <t>See SOFT COSTS sheet for detail and overrides.</t>
  </si>
  <si>
    <t>Owner Contingency</t>
  </si>
  <si>
    <t>Post-GMP owner contingency and program reserves.</t>
  </si>
  <si>
    <t>TOTAL PROJECT INVESTMENT</t>
  </si>
  <si>
    <t>Full project cost: hard + soft + owner costs.</t>
  </si>
  <si>
    <t>COST PER SF — BENCHMARK DASHBOARD</t>
  </si>
  <si>
    <t>Compares current ROM estimate to M4Di historical database and facility type benchmarks.</t>
  </si>
  <si>
    <t>Metric</t>
  </si>
  <si>
    <t>Historical Comparison</t>
  </si>
  <si>
    <t>Project Area (SF)</t>
  </si>
  <si>
    <t>Project $/SF vs. Hist. Avg</t>
  </si>
  <si>
    <t>ROM Construction Cost</t>
  </si>
  <si>
    <t>Project $/SF vs. Hist. Median</t>
  </si>
  <si>
    <t>Calculated Project Cost/SF</t>
  </si>
  <si>
    <t>Sanity Check</t>
  </si>
  <si>
    <t>Historical Average $/SF</t>
  </si>
  <si>
    <t>Historical Median $/SF</t>
  </si>
  <si>
    <t>Historical Min $/SF</t>
  </si>
  <si>
    <t>Historical Max $/SF</t>
  </si>
  <si>
    <t>Historical Data Count</t>
  </si>
  <si>
    <t>FACILITY TYPE BENCHMARK RANGES ($/SF)</t>
  </si>
  <si>
    <t>Facility Type</t>
  </si>
  <si>
    <t>Low $/SF</t>
  </si>
  <si>
    <t>High $/SF</t>
  </si>
  <si>
    <t>Check vs. Project</t>
  </si>
  <si>
    <t>Community Facility Renovation</t>
  </si>
  <si>
    <t>Church / Faith-Based Renovation</t>
  </si>
  <si>
    <t>Athletic Facility Upgrade</t>
  </si>
  <si>
    <t>Athletic Flooring Replacement</t>
  </si>
  <si>
    <t>Adaptive Reuse — Community Use</t>
  </si>
  <si>
    <t>New Construction — Community Fac.</t>
  </si>
  <si>
    <t>Mixed-Use (residential + community)</t>
  </si>
  <si>
    <t>HOW TO READ THIS DASHBOARD</t>
  </si>
  <si>
    <t>If project $/SF is BELOW all ranges:</t>
  </si>
  <si>
    <t>Scope may be missing items, quantities may be understated, or allowances are not yet included.</t>
  </si>
  <si>
    <t>If project $/SF is ABOVE all ranges:</t>
  </si>
  <si>
    <t>Owner selections, specialty equipment, corrosion remediation, or code upgrades may be driving cost.</t>
  </si>
  <si>
    <t>If project aligns with historical average:</t>
  </si>
  <si>
    <t>ROM is behaving like a plausible early estimate. Continue to P3 for detailed scope confirmation.</t>
  </si>
  <si>
    <t>Historical database:</t>
  </si>
  <si>
    <t>Replace example rows in HISTORICAL DB with M4Di's own completed projects over time. This is the proprietary asset.</t>
  </si>
  <si>
    <t>M4Di HISTORICAL PROJECT COST DATABASE — PROPRIETARY ASSET</t>
  </si>
  <si>
    <t>CRITICAL: Enter every completed M4Di engagement in this database. This is M4Di's proprietary competitive advantage. Do not distribute externally. Source for SF BENCHMARK dashboard and annual cost reports.</t>
  </si>
  <si>
    <t>Project Name / Code</t>
  </si>
  <si>
    <t>Location / Region</t>
  </si>
  <si>
    <t>Year
Completed</t>
  </si>
  <si>
    <t>Building
Area (SF)</t>
  </si>
  <si>
    <t>Final
Const. Cost</t>
  </si>
  <si>
    <t>Cost / SF</t>
  </si>
  <si>
    <t>Scope Description</t>
  </si>
  <si>
    <t>Data Source / Notes</t>
  </si>
  <si>
    <t>YMCA Gymnasium Renovation</t>
  </si>
  <si>
    <t>Pennsylvania</t>
  </si>
  <si>
    <t>Gym upgrades, flooring, bleachers, scoring equipment, wall padding.</t>
  </si>
  <si>
    <t>Example benchmark — replace with M4Di project data</t>
  </si>
  <si>
    <t>High School Gymnasium Upgrade</t>
  </si>
  <si>
    <t>Bleacher replacement, floor refinish, scoreboard, accessible path of travel.</t>
  </si>
  <si>
    <t>Community Rec Center Interior</t>
  </si>
  <si>
    <t>Maryland</t>
  </si>
  <si>
    <t>Interior renovation, athletic flooring, community room upgrades.</t>
  </si>
  <si>
    <t>Church Fellowship Hall Adaptive Reuse</t>
  </si>
  <si>
    <t>Fellowship hall converted to community clinic and gathering space. ADA upgrades.</t>
  </si>
  <si>
    <t>Faith-Based Youth Center Renovation</t>
  </si>
  <si>
    <t>Full interior renovation, new MEP, gymnasium floor, community kitchen.</t>
  </si>
  <si>
    <t>→ ADD NEW COMPLETED PROJECTS ABOVE THIS LINE. Copy Cost/SF formula from column H. Fill all fields at project closeout.</t>
  </si>
  <si>
    <t>DATABASE STATISTICS (auto-calculated — used by SF BENCHMARK)</t>
  </si>
  <si>
    <t>Total Projects in Database</t>
  </si>
  <si>
    <t>Average Cost / SF</t>
  </si>
  <si>
    <t>Median Cost / SF</t>
  </si>
  <si>
    <t>Minimum Cost / SF</t>
  </si>
  <si>
    <t>Maximum Cost / SF</t>
  </si>
  <si>
    <t>OWNER ATHLETIC EQUIPMENT SELECTION MATRIX</t>
  </si>
  <si>
    <t>Use this sheet to document owner selections affecting allowances and final bid comparability. Each "Pending" item represents an open decision that must be resolved before the estimate can be finalized.</t>
  </si>
  <si>
    <t>Allowance
Ref</t>
  </si>
  <si>
    <t>Equipment / System</t>
  </si>
  <si>
    <t>Owner
Confirm?</t>
  </si>
  <si>
    <t>Selected
Mfr.</t>
  </si>
  <si>
    <t>Selected
Model/Series</t>
  </si>
  <si>
    <t>Color/
Finish</t>
  </si>
  <si>
    <t>Allowance
Each</t>
  </si>
  <si>
    <t>Allowance
Total</t>
  </si>
  <si>
    <t>Critical Owner Decision</t>
  </si>
  <si>
    <t>ATH-01</t>
  </si>
  <si>
    <t>11 66 23</t>
  </si>
  <si>
    <t>Confirm padding extents, color, logos/graphics, stage pad scope.</t>
  </si>
  <si>
    <t>ATH-02</t>
  </si>
  <si>
    <t>Scoreboard / controls</t>
  </si>
  <si>
    <t>Confirm display type, clock size, controller, optional shot clock package.</t>
  </si>
  <si>
    <t>ATH-03</t>
  </si>
  <si>
    <t>Telescoping bleachers</t>
  </si>
  <si>
    <t>ATH-04</t>
  </si>
  <si>
    <t>Basketball backstop systems</t>
  </si>
  <si>
    <t>Select exact model/series, extension length, mounting type.</t>
  </si>
  <si>
    <t>ATH-05</t>
  </si>
  <si>
    <t>Volleyball system</t>
  </si>
  <si>
    <t>Select post/sleeve system and exact 7000-series configuration.</t>
  </si>
  <si>
    <t>ATH-06</t>
  </si>
  <si>
    <t>11 66 43</t>
  </si>
  <si>
    <t>BOX-ALW</t>
  </si>
  <si>
    <t>FIN-04</t>
  </si>
  <si>
    <t>09 65 66</t>
  </si>
  <si>
    <t>TOTAL OWNER SELECTION ALLOWANCES</t>
  </si>
  <si>
    <t>Items Still Pending Owner Decision</t>
  </si>
  <si>
    <t>ALLOWANCE LOG — Living Tracker for ALDi Gate Reporting</t>
  </si>
  <si>
    <t>Export this log monthly as part of ALDi gate reporting. Each row represents an open allowance that must be resolved before GMP. Status should be updated as owner decisions are confirmed.</t>
  </si>
  <si>
    <t>Allowance ID</t>
  </si>
  <si>
    <t>Description</t>
  </si>
  <si>
    <t>Allowance
Amount</t>
  </si>
  <si>
    <t>Basis / Reason</t>
  </si>
  <si>
    <t>Owner Decision
Required?</t>
  </si>
  <si>
    <t>Status</t>
  </si>
  <si>
    <t>Notes / Next Action</t>
  </si>
  <si>
    <t>ALW-01</t>
  </si>
  <si>
    <t>Gym Equipment</t>
  </si>
  <si>
    <t>Model TBD — Jaypro J800 family or equal</t>
  </si>
  <si>
    <t>Owner to confirm: model/series, extension length, mounting type. Due before DD.</t>
  </si>
  <si>
    <t>ALW-02</t>
  </si>
  <si>
    <t>Layout and ADA seating TBD</t>
  </si>
  <si>
    <t>Owner to confirm: row count, ADA configuration, finish. Structural coordination required.</t>
  </si>
  <si>
    <t>ALW-03</t>
  </si>
  <si>
    <t>Manufacturer TBD</t>
  </si>
  <si>
    <t>Owner to confirm: display type, clock size, controller. Power/data coordination required.</t>
  </si>
  <si>
    <t>ALW-04</t>
  </si>
  <si>
    <t>Wall padding and graphics</t>
  </si>
  <si>
    <t>Owner graphics and color scope TBD</t>
  </si>
  <si>
    <t>Owner to confirm: extents, color, logos, stage pad scope.</t>
  </si>
  <si>
    <t>ALW-05</t>
  </si>
  <si>
    <t>Boxing Equipment</t>
  </si>
  <si>
    <t>Model TBD — Title/Ringside/Everlast</t>
  </si>
  <si>
    <t>Owner to confirm: ring size (14x14 assumed), ropes, corner pads, canvas.</t>
  </si>
  <si>
    <t>ALW-06</t>
  </si>
  <si>
    <t>09 65 00</t>
  </si>
  <si>
    <t>Athletic Flooring</t>
  </si>
  <si>
    <t>Rubber flooring — boxing gym</t>
  </si>
  <si>
    <t>Thickness and color TBD by owner</t>
  </si>
  <si>
    <t>Owner to confirm: thickness (6/8/10mm), color, wall base. Coordinate transitions.</t>
  </si>
  <si>
    <t>ALW-07</t>
  </si>
  <si>
    <t>22 11 00</t>
  </si>
  <si>
    <t>MEP</t>
  </si>
  <si>
    <t>Plumbing modifications — pump room</t>
  </si>
  <si>
    <t>Scope pending MEP engineer review</t>
  </si>
  <si>
    <t>Pending MEP engineer opinion. Allowance covers minor modifications only.</t>
  </si>
  <si>
    <t>ALW-08</t>
  </si>
  <si>
    <t>Electrical — scoreboard/equipment feeds</t>
  </si>
  <si>
    <t>Pending scoreboard/equipment selection</t>
  </si>
  <si>
    <t>Allowance pending owner equipment selections. Coordinate with ELC.</t>
  </si>
  <si>
    <t>TOTAL OPEN ALLOWANCES</t>
  </si>
  <si>
    <t>ALW-SGN-01</t>
  </si>
  <si>
    <t>Signage</t>
  </si>
  <si>
    <t>Room ID + Numbering System</t>
  </si>
  <si>
    <t>M4Di room schedule generated from SIGNAGE PROGRAM tab. 57 interior sign locations + hardware.</t>
  </si>
  <si>
    <t>See SIGNAGE PROGRAM tab for full room schedule and brand framework.</t>
  </si>
  <si>
    <t>ALW-SGN-02</t>
  </si>
  <si>
    <t>Wayfinding + Directional System</t>
  </si>
  <si>
    <t>Campus orientation map, floor directories, corridor directionals. Exterior entry identification.</t>
  </si>
  <si>
    <t>ALW-SGN-03</t>
  </si>
  <si>
    <t>Exterior + Campus Identity</t>
  </si>
  <si>
    <t>Building name sign, address numerals, accessible parking. NCC sign permit required.</t>
  </si>
  <si>
    <t>ALW-SGN-04</t>
  </si>
  <si>
    <t>Donor / Community Identity (optional)</t>
  </si>
  <si>
    <t>Budget TBD by owner. Recommend IDD-appropriate sensory-calm displays. $0 if not pursued.</t>
  </si>
  <si>
    <t>CLARIFICATIONS / EXCLUSIONS / RISK LOG</t>
  </si>
  <si>
    <t>Include this sheet in all client deliverables. It defines the boundaries of the estimate and protects M4Di from scope disputes. Update at every estimate revision.</t>
  </si>
  <si>
    <t>Item</t>
  </si>
  <si>
    <t>Included / Excluded / Allowance</t>
  </si>
  <si>
    <t>Risk Level</t>
  </si>
  <si>
    <t>Comment / Mitigation</t>
  </si>
  <si>
    <t>General</t>
  </si>
  <si>
    <t>All quantities are conceptual and require field verification before GMP</t>
  </si>
  <si>
    <t>Included</t>
  </si>
  <si>
    <t>High</t>
  </si>
  <si>
    <t>Use as ROM only. Not a GMP or guaranteed maximum price.</t>
  </si>
  <si>
    <t>Estimate based on scope narrative and program only — no drawings</t>
  </si>
  <si>
    <t>Unit quantities are estimator's judgment. Field verify before DD.</t>
  </si>
  <si>
    <t>Equipment</t>
  </si>
  <si>
    <t>Athletic equipment model numbers and manufacturers</t>
  </si>
  <si>
    <t>Owner selections pending. Allowances will be updated as selections are confirmed.</t>
  </si>
  <si>
    <t>Boxing equipment package</t>
  </si>
  <si>
    <t>Basis of design still open. Owner to confirm model and accessory scope.</t>
  </si>
  <si>
    <t>Power and data modifications for scoreboards and specialty equipment</t>
  </si>
  <si>
    <t>Medium</t>
  </si>
  <si>
    <t>Allowance included. Requires MEP engineer coordination and load calculations.</t>
  </si>
  <si>
    <t>HVAC modifications or upgrades</t>
  </si>
  <si>
    <t>Excluded</t>
  </si>
  <si>
    <t>Not in scope unless noted. Carry separate MEP budget if HVAC work is anticipated.</t>
  </si>
  <si>
    <t>Plumbing — new fixtures or drainage</t>
  </si>
  <si>
    <t>Minor modifications covered by allowance. Major new plumbing excluded.</t>
  </si>
  <si>
    <t>Existing Conditions</t>
  </si>
  <si>
    <t>Concealed corrosion or substrate damage beyond scope assumptions</t>
  </si>
  <si>
    <t>Carry contingency or unit rates for concealed conditions. Field verification recommended.</t>
  </si>
  <si>
    <t>Hazardous material abatement (asbestos, lead paint)</t>
  </si>
  <si>
    <t>Requires testing and licensed abatement contractor. Separate budget required.</t>
  </si>
  <si>
    <t>Structural deficiencies identified during construction</t>
  </si>
  <si>
    <t>Not in scope. Structural engineer review recommended before estimate finalization.</t>
  </si>
  <si>
    <t>Schedule</t>
  </si>
  <si>
    <t>Cost escalation beyond current estimate date</t>
  </si>
  <si>
    <t>Adjust ENR escalation factor in ASSUMPTIONS for revised bid dates.</t>
  </si>
  <si>
    <t>Owner-caused delays extending construction schedule</t>
  </si>
  <si>
    <t>Extended general conditions are not included. Owner decision delays add cost.</t>
  </si>
  <si>
    <t>Permits</t>
  </si>
  <si>
    <t>Building permits, zoning approvals, and municipal fees</t>
  </si>
  <si>
    <t>Low</t>
  </si>
  <si>
    <t>Bid/permit/bond allowance included at {rate}%. Actual fees may vary.</t>
  </si>
  <si>
    <t>Soft Costs</t>
  </si>
  <si>
    <t>Architectural and engineering fees</t>
  </si>
  <si>
    <t>Information Only</t>
  </si>
  <si>
    <t>AE fees are a separate budget line. Typical range: 8%–12% of construction cost.</t>
  </si>
  <si>
    <t>Owner project management / owner's rep fees</t>
  </si>
  <si>
    <t>M4Di ALDi retainer fees are a separate agreement, not included in construction budget.</t>
  </si>
  <si>
    <t>Furniture, fixtures, and equipment (FF&amp;E) not specified</t>
  </si>
  <si>
    <t>Only items specifically called out in unit price library are included.</t>
  </si>
  <si>
    <t>Site</t>
  </si>
  <si>
    <t>Site utilities, site work, or exterior improvements</t>
  </si>
  <si>
    <t>Interior scope only unless site work is specifically noted in TAKEOFF.</t>
  </si>
  <si>
    <t>Accessibility</t>
  </si>
  <si>
    <t>ADA path of travel upgrades beyond specified scope</t>
  </si>
  <si>
    <t>ADA items within designated scope are included. Full-building accessibility audit not in scope.</t>
  </si>
  <si>
    <t>→ ADD PROJECT-SPECIFIC CLARIFICATIONS ABOVE. Always include this sheet in client deliverable packages.</t>
  </si>
  <si>
    <t>SOFT COSTS — Professional Fees &amp; Pre-Construction Budget</t>
  </si>
  <si>
    <t>Soft costs are calculated as a percentage of the Total Hard Cost ROM (from BID SUMMARY). Architecture fee uses the M4Di Base Fee Schedule (AIA-aligned). Engineering and specialty fees use benchmark percentages adjustable per project. All rates are user-overridable.</t>
  </si>
  <si>
    <t>A — PROJECT BASIS (from ASSUMPTIONS &amp; BID SUMMARY)</t>
  </si>
  <si>
    <t>Total Hard Cost ROM</t>
  </si>
  <si>
    <t>Pulled from BID SUMMARY. This is the construction cost base for all fee calculations.</t>
  </si>
  <si>
    <t>Project Type (for fee schedule)</t>
  </si>
  <si>
    <t>Auto-pulled from ASSUMPTIONS. Drives fee type classification below.</t>
  </si>
  <si>
    <t>Estimate Phase</t>
  </si>
  <si>
    <t>Gross Area (SF)</t>
  </si>
  <si>
    <t>From ASSUMPTIONS. Used for cost/SF benchmarking.</t>
  </si>
  <si>
    <t>B — ARCHITECTURE FEE (M4Di Base Fee Schedule)</t>
  </si>
  <si>
    <t>Fee lookup uses the M4Di Base Fee Schedule. Select the Project Type Code (A–E) based on complexity. For renovation/adaptive reuse, apply the renovation premium. New Construction = base rate only. Renovation = base + premium.</t>
  </si>
  <si>
    <t>FEE SCHEDULE REFERENCE TABLE — Base % of Construction Cost</t>
  </si>
  <si>
    <t>Construction Budget Range</t>
  </si>
  <si>
    <t>Type A</t>
  </si>
  <si>
    <t>Type B</t>
  </si>
  <si>
    <t>Type C</t>
  </si>
  <si>
    <t>Type D</t>
  </si>
  <si>
    <t>Type E</t>
  </si>
  <si>
    <t>Up to  –  $49,999</t>
  </si>
  <si>
    <t>$50,000  –  $99,999</t>
  </si>
  <si>
    <t>$100,000  –  $149,999</t>
  </si>
  <si>
    <t>$150,000  –  $199,999</t>
  </si>
  <si>
    <t>$200,000  –  $299,999</t>
  </si>
  <si>
    <t>$300,000  –  $499,999</t>
  </si>
  <si>
    <t>$500,000  –  $749,999</t>
  </si>
  <si>
    <t>$750,000  –  $999,999</t>
  </si>
  <si>
    <t>$1,000,000  –  $1,499,999</t>
  </si>
  <si>
    <t>$1,500,000  –  $1,999,999</t>
  </si>
  <si>
    <t>$2,000,000  –  $2,999,999</t>
  </si>
  <si>
    <t>$3,000,000  –  $3,999,999</t>
  </si>
  <si>
    <t>$4,000,000  –  $4,999,999</t>
  </si>
  <si>
    <t>$5,000,000  –  $7,999,999</t>
  </si>
  <si>
    <t>$8,000,000  –  $11,999,999</t>
  </si>
  <si>
    <t>$12,000,000  –  $14,999,999</t>
  </si>
  <si>
    <t>$15,000,000  –  $19,999,999</t>
  </si>
  <si>
    <t>$20,000,000  –  $24,999,999</t>
  </si>
  <si>
    <t>Renovation premium (add to above)</t>
  </si>
  <si>
    <t>PROJECT TYPE CLASSIFICATION — Select the code that matches your facility</t>
  </si>
  <si>
    <t>Warehouse, Public Garage, Residential (standard)</t>
  </si>
  <si>
    <t>Office, Parking Facility, Retail, Visitor Center, Maintenance Garage, Tenant Fit-out</t>
  </si>
  <si>
    <t>School, Training Facility, Day Care, Fitness Center, Mixed-Use, Adult Care, Laundry</t>
  </si>
  <si>
    <t>Library, Restaurant, Theater (no stage), Outpatient Clinic, Detention, Courthouse, Data Center</t>
  </si>
  <si>
    <t>Hospital, Research, Museum, Stadium, Prison, Emergency Ops, Theater/Auditorium with stage</t>
  </si>
  <si>
    <t>M4Di Default — Community Facility Renovation</t>
  </si>
  <si>
    <t>Use Type C (Fitness Center / Mixed-Use) for church/community renovation. Use Type D for clinic or complex adaptive reuse.</t>
  </si>
  <si>
    <t>C — FEE INPUTS &amp; CALCULATIONS (enter yellow cells; formulas auto-populate)</t>
  </si>
  <si>
    <t>Discipline / Fee Item</t>
  </si>
  <si>
    <t>% of Hard Cost
(enter or auto)</t>
  </si>
  <si>
    <t>Calculated Fee
($)</t>
  </si>
  <si>
    <t>User Override
($ if fixed)</t>
  </si>
  <si>
    <t>Fee Used
(calc or override)</t>
  </si>
  <si>
    <t>Included
in Budget?</t>
  </si>
  <si>
    <t>Notes / Assumptions</t>
  </si>
  <si>
    <t>PROJECT TYPE CODE &amp; RENOVATION SELECTION (user inputs)</t>
  </si>
  <si>
    <t>AIA Project Type Code (A / B / C / D / E)</t>
  </si>
  <si>
    <t>Type A=warehouse/parking, B=office/retail, C=school/fitness/mixed-use (M4Di default), D=clinic/library/theater, E=hospital/research. See guide above.</t>
  </si>
  <si>
    <t>Renovation / Adaptive Reuse? (Yes / No)</t>
  </si>
  <si>
    <t>Yes: adds renovation premium to base Arch fee per fee schedule. WHACC = Yes (interior improvement + adaptive reuse elements).</t>
  </si>
  <si>
    <t>ARCHITECTURE &amp; ENGINEERING FEES</t>
  </si>
  <si>
    <t>% of Hard Cost</t>
  </si>
  <si>
    <t>Calculated Fee ($)</t>
  </si>
  <si>
    <t>User Override ($)
leave blank = use calc</t>
  </si>
  <si>
    <t>Fee Used</t>
  </si>
  <si>
    <t>Include?</t>
  </si>
  <si>
    <t>Notes / Source</t>
  </si>
  <si>
    <t>Architecture — Base Fee (fee schedule)</t>
  </si>
  <si>
    <t>Auto-calculated from M4Di Base Fee Schedule. Based on construction cost tier and Type Code.</t>
  </si>
  <si>
    <t xml:space="preserve">  + Renovation Premium (if applicable)</t>
  </si>
  <si>
    <t>Add-on for renovation/adaptive reuse per fee schedule. Set to 0 if new construction.</t>
  </si>
  <si>
    <t>Architecture — TOTAL FEE</t>
  </si>
  <si>
    <t>ENGINEERING DISCIPLINES</t>
  </si>
  <si>
    <t>Structural Engineering</t>
  </si>
  <si>
    <t>Typical: 1.0%–2.0% of construction cost. Higher for complex structural systems, seismic, or adaptive reuse.</t>
  </si>
  <si>
    <t>Mechanical Engineering (HVAC)</t>
  </si>
  <si>
    <t>Typical: 1.2%–2.5%. Higher for healthcare/lab. Use lower end for straightforward community facilities.</t>
  </si>
  <si>
    <t>Electrical Engineering</t>
  </si>
  <si>
    <t>Typical: 1.0%–2.0%. Adjust for high-voltage, generator, or specialty lighting systems.</t>
  </si>
  <si>
    <t>Plumbing Engineering</t>
  </si>
  <si>
    <t>Typical: 0.8%–1.5%. Minimal for interior renovation with no new fixtures. Higher for kitchen/clinic.</t>
  </si>
  <si>
    <t>Fire Protection Engineering</t>
  </si>
  <si>
    <t>Typical: 0.5%–1.0%. Includes sprinkler design and fire alarm engineering if in scope.</t>
  </si>
  <si>
    <t>Civil Engineering</t>
  </si>
  <si>
    <t>Typical: 0.8%–2.0%. Covers grading, stormwater, utilities, ADA site access. Minimal for interior-only.</t>
  </si>
  <si>
    <t>Geotechnical / Soils Report</t>
  </si>
  <si>
    <t>Typical: 0.3%–0.8% or fixed fee $5K–$25K. Required for new foundations or unknown soil conditions.</t>
  </si>
  <si>
    <t>Landscape Architecture</t>
  </si>
  <si>
    <t>Typical: 0.3%–0.8%. Site improvements, accessible path, outdoor amenity. May be $0 for interior scope.</t>
  </si>
  <si>
    <t>Accessibility / ADA Consultant</t>
  </si>
  <si>
    <t>Typical: 0.3%–0.5% or fixed fee. Recommended for public-access facilities; CDFIs and HUD often require.</t>
  </si>
  <si>
    <t>SPECIALTY CONSULTANTS &amp; OWNER COSTS</t>
  </si>
  <si>
    <t>Interior Design / Furniture</t>
  </si>
  <si>
    <t>If separate from Arch. Includes FF&amp;E design and procurement management.</t>
  </si>
  <si>
    <t>Technology / AV / IT Consultant</t>
  </si>
  <si>
    <t>Low-voltage, AV, security systems design. Required for scoreboard, PA, access control.</t>
  </si>
  <si>
    <t>Cost Estimating (M4Di OI)</t>
  </si>
  <si>
    <t>M4Di P1/P2/P3 fees are separate contracts. Shown here for total project budget reference.</t>
  </si>
  <si>
    <t>Owner Project Management</t>
  </si>
  <si>
    <t>M4Di ALDi retainer. Enter actual contracted amount in override column.</t>
  </si>
  <si>
    <t>Legal / Title / Closing</t>
  </si>
  <si>
    <t>Covers property matters, contract review. Variable; use $5K–$15K allowance for small projects.</t>
  </si>
  <si>
    <t>Permitting / Plan Review Fees</t>
  </si>
  <si>
    <t>Variable by jurisdiction. Delaware municipalities: typically 1.0%–2.0% of construction cost.</t>
  </si>
  <si>
    <t>Builder's Risk Insurance</t>
  </si>
  <si>
    <t>Typically 0.5%–1.5% of total project cost. Confirm with owner's insurance agent.</t>
  </si>
  <si>
    <t>Testing / Special Inspections</t>
  </si>
  <si>
    <t>IBC-required inspections (concrete, steel, masonry) and materials testing. AHJ-dependent.</t>
  </si>
  <si>
    <t>Survey / As-Builts / Scanning</t>
  </si>
  <si>
    <t>Fixed fee item — enter actual quote in override. Typical range: $3,000–$15,000.</t>
  </si>
  <si>
    <t>Environmental Assessment (Phase I)</t>
  </si>
  <si>
    <t>Fixed fee — enter in override. Required for most CDFI/HUD-funded projects. ~$2,500–$5,000.</t>
  </si>
  <si>
    <t>Relocation / Move-Out Costs</t>
  </si>
  <si>
    <t>Owner cost. Enter estimate in override if applicable. Not part of construction budget.</t>
  </si>
  <si>
    <t>Financing / Loan Origination</t>
  </si>
  <si>
    <t>Typical: 0.5%–1.5% of loan amount. Applies to construction loans and CDFI financing.</t>
  </si>
  <si>
    <t>Fundraising / Development Costs</t>
  </si>
  <si>
    <t>Owner/nonprofit cost. Enter fixed estimate in override if applicable.</t>
  </si>
  <si>
    <t>SOFT COST SUBTOTALS &amp; TOTAL PROJECT BUDGET</t>
  </si>
  <si>
    <t>Architecture Subtotal</t>
  </si>
  <si>
    <t>Engineering Subtotal (all disciplines)</t>
  </si>
  <si>
    <t>Other Consultants &amp; Owner Costs Subtotal</t>
  </si>
  <si>
    <t>SOFT COST $/SF BENCHMARKS (informational)</t>
  </si>
  <si>
    <t>Typical total soft costs range from 18%–35% of hard costs for community/institutional projects. Simpler interior renovations: 18%–22%. Complex adaptive reuse or new construction with full engineering: 25%–35%. Healthcare/research: 30%–40%. Current project soft cost %: see TOTAL SOFT COSTS row above.</t>
  </si>
  <si>
    <t>▶ Total Soft Costs feeds TOTAL PROJECT BUDGET sheet.</t>
  </si>
  <si>
    <t>TOTAL PROJECT BUDGET — Hard Costs + Soft Costs + Owner Costs</t>
  </si>
  <si>
    <t>This sheet aggregates the full project investment: construction hard costs (from BID SUMMARY), professional fees and soft costs (from SOFT COSTS), and owner contingency. Use this for board presentations, CDFI loan packages, and grant applications.</t>
  </si>
  <si>
    <t>Budget Item</t>
  </si>
  <si>
    <t>Amount ($)</t>
  </si>
  <si>
    <t>% of Total</t>
  </si>
  <si>
    <t>SECTION 1 — HARD COSTS (Construction)</t>
  </si>
  <si>
    <t>Base Building Subtotal (labor + materials)</t>
  </si>
  <si>
    <t>Quantity-based takeoff from TAKEOFF sheet, adjusted for region and escalation.</t>
  </si>
  <si>
    <t>Equipment Allowances (owner selections)</t>
  </si>
  <si>
    <t>Athletic and specialty equipment. Pending owner selections. See EQUIPMENT ALLOWANCES.</t>
  </si>
  <si>
    <t>On-site supervision, temp facilities, insurance. Rate per ASSUMPTIONS.</t>
  </si>
  <si>
    <t>Contractor OH&amp;P. Rate per ASSUMPTIONS.</t>
  </si>
  <si>
    <t>Design + existing conditions + owner selection contingency. Will reduce at each gate.</t>
  </si>
  <si>
    <t>Permitting fees, bid bonds, performance bonds.</t>
  </si>
  <si>
    <t>TOTAL HARD COST (Construction ROM)</t>
  </si>
  <si>
    <t>SECTION 2 — SOFT COSTS (Professional Fees &amp; Owner Costs)</t>
  </si>
  <si>
    <t>Architecture — Total Fee (base + renovation premium)</t>
  </si>
  <si>
    <t>Base fee per M4Di fee schedule + renovation premium. See SOFT COSTS sheet.</t>
  </si>
  <si>
    <t>See SOFT COSTS sheet for rate and override.</t>
  </si>
  <si>
    <t>See SOFT COSTS sheet. Minimal for interior-only scope.</t>
  </si>
  <si>
    <t>Fixed fee item for new foundations or unknown conditions.</t>
  </si>
  <si>
    <t>Other Consultants &amp; Owner Costs</t>
  </si>
  <si>
    <t>Technology, legal, permits, insurance, testing, environmental. See SOFT COSTS.</t>
  </si>
  <si>
    <t>SECTION 3 — OWNER CONTINGENCY &amp; PREDEVELOPMENT</t>
  </si>
  <si>
    <t>Owner Project Contingency (post-GMP)</t>
  </si>
  <si>
    <t>Owner-held contingency for scope changes, unforeseen conditions, and owner decisions after GMP. Recommend 5%–10%.</t>
  </si>
  <si>
    <t>Predevelopment Costs (M4Di P1–P3 fees)</t>
  </si>
  <si>
    <t>M4Di feasibility ops fees already incurred or contracted. Enter fixed dollar amount in override on SOFT COSTS.</t>
  </si>
  <si>
    <t>FF&amp;E — Furniture, Fixtures &amp; Equipment</t>
  </si>
  <si>
    <t>Non-construction FF&amp;E not in the construction contract. Enter lump sum estimate.</t>
  </si>
  <si>
    <t>Technology / AV / Security Systems</t>
  </si>
  <si>
    <t>Owner-procured tech systems outside of construction contract. Enter estimate.</t>
  </si>
  <si>
    <t>Moving / Relocation / Swing Space</t>
  </si>
  <si>
    <t>If applicable. Enter fixed estimate.</t>
  </si>
  <si>
    <t>Program Reserve (funding gap buffer)</t>
  </si>
  <si>
    <t>Discretionary reserve for funding shortfalls. Typically 3%–8% of total project cost for nonprofit owners.</t>
  </si>
  <si>
    <t>TOTAL OWNER CONTINGENCY &amp; OTHER</t>
  </si>
  <si>
    <t>SUMMARY METRICS</t>
  </si>
  <si>
    <t>Total Project Investment</t>
  </si>
  <si>
    <t>Hard Cost ROM</t>
  </si>
  <si>
    <t>Soft Costs (professional fees + other)</t>
  </si>
  <si>
    <t>Soft Costs as % of Hard Costs</t>
  </si>
  <si>
    <t>Benchmark: 18%–25% typical community facility; 25%–35% complex renovation/new construction.</t>
  </si>
  <si>
    <t>Total Project Cost / SF</t>
  </si>
  <si>
    <t>Total investment including all soft costs. Compare to $/SF benchmarks in SF BENCHMARK sheet.</t>
  </si>
  <si>
    <t>Hard Cost / SF</t>
  </si>
  <si>
    <t>Construction cost only. Use for benchmarking against comparable projects.</t>
  </si>
  <si>
    <t>M4Di™ SIGNAGE PROGRAM BRIEF</t>
  </si>
  <si>
    <t>Wayfinding · Room Identification · Life Safety · Brand Framework</t>
  </si>
  <si>
    <t>SECTION A — SIGNAGE PHILOSOPHY &amp; M4Di APPROACH</t>
  </si>
  <si>
    <t>Signage is a life-safety, regulatory compliance, and program quality issue — not a finishing detail. M4Di introduces the signage program at P1 as a named allowance, refines it at P3, and locks it in the ALDi Gate 0 Owner Cost budget. This brief is the P3 deliverable that protects the owner from an unbudgeted post-construction cost.</t>
  </si>
  <si>
    <t>SECTION B — SIGNAGE CATEGORY FRAMEWORK</t>
  </si>
  <si>
    <t>Code Basis</t>
  </si>
  <si>
    <t>Who Owns It</t>
  </si>
  <si>
    <t>Phase 1
Budget Low</t>
  </si>
  <si>
    <t>Phase 1
Budget High</t>
  </si>
  <si>
    <t>CAT-1</t>
  </si>
  <si>
    <t>Life Safety Signage</t>
  </si>
  <si>
    <t>Exit signs (NFPA 101), exit path markings, stairwell ID, occupant load placards, fire door labels</t>
  </si>
  <si>
    <t>NFPA 101 · IBC · IFC</t>
  </si>
  <si>
    <t>Contractor (in hard cost)</t>
  </si>
  <si>
    <t>In ROM</t>
  </si>
  <si>
    <t>CAT-2</t>
  </si>
  <si>
    <t>ADA Regulatory Compliance Signage</t>
  </si>
  <si>
    <t>Tactile room signs (Braille + raised characters), restroom ID, accessible route, elevator tactile indicators</t>
  </si>
  <si>
    <t>ADA · ICC A117.1 · 28 CFR Part 36</t>
  </si>
  <si>
    <t>CAT-3</t>
  </si>
  <si>
    <t>Room Identification &amp; Numbering System</t>
  </si>
  <si>
    <t>Consistent room number schedule keyed to life safety floor plans. Required for DDDS licensing inspection and emergency response.</t>
  </si>
  <si>
    <t>NFPA 101 § 7.10 · DDDS inspection</t>
  </si>
  <si>
    <t>AE / Owner</t>
  </si>
  <si>
    <t>CAT-4</t>
  </si>
  <si>
    <t>Wayfinding &amp; Directional Signage</t>
  </si>
  <si>
    <t>Entrance identification, floor directories, corridor directionals, campus orientation map at entry. Supports resident orientation and staff efficiency.</t>
  </si>
  <si>
    <t>Best practice · DDDS quality standard</t>
  </si>
  <si>
    <t>Owner Furnished</t>
  </si>
  <si>
    <t>CAT-5</t>
  </si>
  <si>
    <t>Campus &amp; Building Exterior Identification</t>
  </si>
  <si>
    <t>Building name sign, address numerals, site entrance marker, accessible parking signage</t>
  </si>
  <si>
    <t>IBC · ADA · County signage ordinance</t>
  </si>
  <si>
    <t>CAT-6</t>
  </si>
  <si>
    <t>Donor Recognition &amp; Community Identity</t>
  </si>
  <si>
    <t>Major donor wall, program sponsor recognition, mission statement display, community artwork integration</t>
  </si>
  <si>
    <t>Owner discretion</t>
  </si>
  <si>
    <t>Optional</t>
  </si>
  <si>
    <t>TOTAL OWNER-FURNISHED SIGNAGE ALLOWANCE (CAT 3+4+5+6)</t>
  </si>
  <si>
    <t>SECTION C — ROOM IDENTIFICATION SCHEDULE (Phase 1 — School Renovation)</t>
  </si>
  <si>
    <t>Room numbers follow M4Di standard: Floor prefix (1 or 2) + sequential 3-digit number. Example: 1-101 = Floor 1, Room 101. Life safety floor plans, DDDS licensing application, and emergency response documentation all reference this schedule. AE incorporates into CD door and room finish schedule.</t>
  </si>
  <si>
    <t>Room No.</t>
  </si>
  <si>
    <t>Room Name / Function</t>
  </si>
  <si>
    <t>IDD Program Use</t>
  </si>
  <si>
    <t>SF (approx)</t>
  </si>
  <si>
    <t>Sign Type
(CAT)</t>
  </si>
  <si>
    <t>ADA Tactile
Required?</t>
  </si>
  <si>
    <t>Sign Text (proposed)</t>
  </si>
  <si>
    <t>1-101</t>
  </si>
  <si>
    <t>Resident Room — Private (with bath)</t>
  </si>
  <si>
    <t>High-acuity / medical fragility</t>
  </si>
  <si>
    <t>CAT-2/3</t>
  </si>
  <si>
    <t>Room 1-101</t>
  </si>
  <si>
    <t>1-102</t>
  </si>
  <si>
    <t>Room 1-102</t>
  </si>
  <si>
    <t>1-103</t>
  </si>
  <si>
    <t>Room 1-103</t>
  </si>
  <si>
    <t>1-104</t>
  </si>
  <si>
    <t>Room 1-104</t>
  </si>
  <si>
    <t>1-105</t>
  </si>
  <si>
    <t>Resident Room — Shared (2-bed)</t>
  </si>
  <si>
    <t>Standard residential</t>
  </si>
  <si>
    <t>Room 1-105</t>
  </si>
  <si>
    <t>1-106</t>
  </si>
  <si>
    <t>Room 1-106</t>
  </si>
  <si>
    <t>1-107</t>
  </si>
  <si>
    <t>Room 1-107</t>
  </si>
  <si>
    <t>1-108</t>
  </si>
  <si>
    <t>Room 1-108</t>
  </si>
  <si>
    <t>1-109</t>
  </si>
  <si>
    <t>Resident Room — Flex Double</t>
  </si>
  <si>
    <t>Convertible single/double</t>
  </si>
  <si>
    <t>Room 1-109</t>
  </si>
  <si>
    <t>1-110</t>
  </si>
  <si>
    <t>Room 1-110</t>
  </si>
  <si>
    <t>1-111</t>
  </si>
  <si>
    <t>Resident Room — Private (shared bath)</t>
  </si>
  <si>
    <t>Room 1-111</t>
  </si>
  <si>
    <t>1-112</t>
  </si>
  <si>
    <t>Room 1-112</t>
  </si>
  <si>
    <t>1-113</t>
  </si>
  <si>
    <t>Room 1-113</t>
  </si>
  <si>
    <t>1-114</t>
  </si>
  <si>
    <t>Room 1-114</t>
  </si>
  <si>
    <t>1-115</t>
  </si>
  <si>
    <t>Room 1-115</t>
  </si>
  <si>
    <t>1-201</t>
  </si>
  <si>
    <t>Shared Bathroom — Resident</t>
  </si>
  <si>
    <t>Hygiene / accessibility</t>
  </si>
  <si>
    <t>Restroom 1-201</t>
  </si>
  <si>
    <t>1-202</t>
  </si>
  <si>
    <t>Restroom 1-202</t>
  </si>
  <si>
    <t>1-203</t>
  </si>
  <si>
    <t>Accessible Restroom — Staff</t>
  </si>
  <si>
    <t>Staff use / ADA</t>
  </si>
  <si>
    <t>Staff Restroom</t>
  </si>
  <si>
    <t>1-301</t>
  </si>
  <si>
    <t>Dining Room</t>
  </si>
  <si>
    <t>Communal meals / programming</t>
  </si>
  <si>
    <t>Dining</t>
  </si>
  <si>
    <t>1-302</t>
  </si>
  <si>
    <t>Kitchen Support</t>
  </si>
  <si>
    <t>Food prep / service</t>
  </si>
  <si>
    <t>1-303</t>
  </si>
  <si>
    <t>Quiet Sensory Room</t>
  </si>
  <si>
    <t>De-escalation / calm zone</t>
  </si>
  <si>
    <t>Sensory Room</t>
  </si>
  <si>
    <t>1-304</t>
  </si>
  <si>
    <t>Therapy / Activity Room A</t>
  </si>
  <si>
    <t>OT / PT / group therapy</t>
  </si>
  <si>
    <t>Therapy A</t>
  </si>
  <si>
    <t>1-305</t>
  </si>
  <si>
    <t>Therapy / Activity Room B</t>
  </si>
  <si>
    <t>Art / recreation / skills</t>
  </si>
  <si>
    <t>Therapy B</t>
  </si>
  <si>
    <t>1-306</t>
  </si>
  <si>
    <t>Staff Monitoring Station</t>
  </si>
  <si>
    <t>24-hr observation</t>
  </si>
  <si>
    <t>Staff Station</t>
  </si>
  <si>
    <t>1-307</t>
  </si>
  <si>
    <t>Staff Office / Charting</t>
  </si>
  <si>
    <t>Clinical documentation</t>
  </si>
  <si>
    <t>Staff Office</t>
  </si>
  <si>
    <t>1-308</t>
  </si>
  <si>
    <t>Controlled substances / DDDS req.</t>
  </si>
  <si>
    <t>1-309</t>
  </si>
  <si>
    <t>Laundry / Housekeeping</t>
  </si>
  <si>
    <t>Resident laundry</t>
  </si>
  <si>
    <t>Laundry</t>
  </si>
  <si>
    <t>1-310</t>
  </si>
  <si>
    <t>Storage — Resident</t>
  </si>
  <si>
    <t>Personal belongings</t>
  </si>
  <si>
    <t>Storage</t>
  </si>
  <si>
    <t>1-311</t>
  </si>
  <si>
    <t>Storage — Program</t>
  </si>
  <si>
    <t>Therapy / activity supplies</t>
  </si>
  <si>
    <t>Program Storage</t>
  </si>
  <si>
    <t>1-401</t>
  </si>
  <si>
    <t>Elevator Lobby / Shaft Shell</t>
  </si>
  <si>
    <t>Phase 1B cab install</t>
  </si>
  <si>
    <t>Elevator</t>
  </si>
  <si>
    <t>1-402</t>
  </si>
  <si>
    <t>Stair A — Main Egress</t>
  </si>
  <si>
    <t>NFPA 101 exit stair</t>
  </si>
  <si>
    <t>CAT-1/2</t>
  </si>
  <si>
    <t>STAIR A · EXIT</t>
  </si>
  <si>
    <t>1-403</t>
  </si>
  <si>
    <t>Stair B — Secondary Egress</t>
  </si>
  <si>
    <t>STAIR B · EXIT</t>
  </si>
  <si>
    <t>1-404</t>
  </si>
  <si>
    <t>Mechanical / Electrical Room</t>
  </si>
  <si>
    <t>Building systems backbone</t>
  </si>
  <si>
    <t>Mechanical</t>
  </si>
  <si>
    <t>1-405</t>
  </si>
  <si>
    <t>Sprinkler Riser Room</t>
  </si>
  <si>
    <t>NFPA 13 system</t>
  </si>
  <si>
    <t>Sprinkler</t>
  </si>
  <si>
    <t>2-101</t>
  </si>
  <si>
    <t>Room 2-101</t>
  </si>
  <si>
    <t>2-102</t>
  </si>
  <si>
    <t>Room 2-102</t>
  </si>
  <si>
    <t>2-103</t>
  </si>
  <si>
    <t>Room 2-103</t>
  </si>
  <si>
    <t>2-104</t>
  </si>
  <si>
    <t>Room 2-104</t>
  </si>
  <si>
    <t>2-105</t>
  </si>
  <si>
    <t>Room 2-105</t>
  </si>
  <si>
    <t>2-106</t>
  </si>
  <si>
    <t>Room 2-106</t>
  </si>
  <si>
    <t>2-107</t>
  </si>
  <si>
    <t>Room 2-107</t>
  </si>
  <si>
    <t>2-108</t>
  </si>
  <si>
    <t>Room 2-108</t>
  </si>
  <si>
    <t>2-109</t>
  </si>
  <si>
    <t>Room 2-109</t>
  </si>
  <si>
    <t>2-110</t>
  </si>
  <si>
    <t>Room 2-110</t>
  </si>
  <si>
    <t>2-111</t>
  </si>
  <si>
    <t>Room 2-111</t>
  </si>
  <si>
    <t>2-112</t>
  </si>
  <si>
    <t>Room 2-112</t>
  </si>
  <si>
    <t>2-113</t>
  </si>
  <si>
    <t>Room 2-113</t>
  </si>
  <si>
    <t>2-201</t>
  </si>
  <si>
    <t>Restroom 2-201</t>
  </si>
  <si>
    <t>2-202</t>
  </si>
  <si>
    <t>Restroom 2-202</t>
  </si>
  <si>
    <t>2-203</t>
  </si>
  <si>
    <t>2-301</t>
  </si>
  <si>
    <t>2-302</t>
  </si>
  <si>
    <t>Therapy / Activity Room C</t>
  </si>
  <si>
    <t>Therapy C</t>
  </si>
  <si>
    <t>2-303</t>
  </si>
  <si>
    <t>Family Visiting Room</t>
  </si>
  <si>
    <t>Family engagement / IEP</t>
  </si>
  <si>
    <t>Visiting Room</t>
  </si>
  <si>
    <t>2-304</t>
  </si>
  <si>
    <t>Staff Office Suite</t>
  </si>
  <si>
    <t>Supervisor / clinical lead</t>
  </si>
  <si>
    <t>Staff Offices</t>
  </si>
  <si>
    <t>2-305</t>
  </si>
  <si>
    <t>2-306</t>
  </si>
  <si>
    <t>2-401</t>
  </si>
  <si>
    <t>Elevator Lobby</t>
  </si>
  <si>
    <t>Phase 1B cab installed</t>
  </si>
  <si>
    <t>2-402</t>
  </si>
  <si>
    <t>2-403</t>
  </si>
  <si>
    <t>2-404</t>
  </si>
  <si>
    <t>Mechanical / Electrical</t>
  </si>
  <si>
    <t>Building systems</t>
  </si>
  <si>
    <t>EXT-01</t>
  </si>
  <si>
    <t>EXT</t>
  </si>
  <si>
    <t>Building Entrance — Primary</t>
  </si>
  <si>
    <t>Main accessible entry</t>
  </si>
  <si>
    <t>CAT-4/5</t>
  </si>
  <si>
    <t>EXT-02</t>
  </si>
  <si>
    <t>Building Entrance — Secondary</t>
  </si>
  <si>
    <t>Staff / service entry</t>
  </si>
  <si>
    <t>Staff Entrance</t>
  </si>
  <si>
    <t>EXT-03</t>
  </si>
  <si>
    <t>Campus Address Numerals</t>
  </si>
  <si>
    <t>Street-facing ID</t>
  </si>
  <si>
    <t>3110</t>
  </si>
  <si>
    <t>EXT-04</t>
  </si>
  <si>
    <t>Accessible Parking — Reserved</t>
  </si>
  <si>
    <t>ADA van accessible spaces</t>
  </si>
  <si>
    <t>Accessible Parking</t>
  </si>
  <si>
    <t>EXT-05</t>
  </si>
  <si>
    <t>Campus Orientation Map</t>
  </si>
  <si>
    <t>Entry lobby wayfinding</t>
  </si>
  <si>
    <t>M-Well Campus · You Are Here</t>
  </si>
  <si>
    <t>EXT-06</t>
  </si>
  <si>
    <t>Floor Directory — Level 1</t>
  </si>
  <si>
    <t>Lobby / elevator lobby</t>
  </si>
  <si>
    <t>Floor 1 Directory</t>
  </si>
  <si>
    <t>EXT-07</t>
  </si>
  <si>
    <t>Floor Directory — Level 2</t>
  </si>
  <si>
    <t>Elevator lobby Level 2</t>
  </si>
  <si>
    <t>Floor 2 Directory</t>
  </si>
  <si>
    <t>TOTAL SIGN LOCATIONS: 67  (interior rooms + exterior campus)</t>
  </si>
  <si>
    <t>SECTION D — SIGNAGE BUDGET SUMMARY &amp; OI TOOL PLACEMENT</t>
  </si>
  <si>
    <t>OI Tool Location</t>
  </si>
  <si>
    <t>Line Reference</t>
  </si>
  <si>
    <t>CAT-1: Life Safety Signage</t>
  </si>
  <si>
    <t>HARD COST — Fire Protection / Electrical</t>
  </si>
  <si>
    <t>In TAKEOFF</t>
  </si>
  <si>
    <t>$18,000</t>
  </si>
  <si>
    <t>$28,000</t>
  </si>
  <si>
    <t>Already in ROM. Do not double-count.</t>
  </si>
  <si>
    <t>CAT-2: ADA Regulatory Signage</t>
  </si>
  <si>
    <t>HARD COST — Interior Buildout</t>
  </si>
  <si>
    <t>$12,000</t>
  </si>
  <si>
    <t>$22,000</t>
  </si>
  <si>
    <t>~$110/door × 70 rooms + shared. Verify in TAKEOFF line FIN-series.</t>
  </si>
  <si>
    <t>CAT-3: Room ID + Numbering System</t>
  </si>
  <si>
    <t>OWNER COST — Signage Allowance</t>
  </si>
  <si>
    <t>ALLOWANCE LOG · ALW-SGN-01</t>
  </si>
  <si>
    <t>$8,000</t>
  </si>
  <si>
    <t>$15,000</t>
  </si>
  <si>
    <t>M4Di room schedule generated from this tab. Fabricator prices from schedule.</t>
  </si>
  <si>
    <t>CAT-4: Wayfinding + Directional</t>
  </si>
  <si>
    <t>ALLOWANCE LOG · ALW-SGN-02</t>
  </si>
  <si>
    <t>$25,000</t>
  </si>
  <si>
    <t>$55,000</t>
  </si>
  <si>
    <t>Highest orphan risk. Must be named line in Gate 0 Owner Cost budget.</t>
  </si>
  <si>
    <t>CAT-5: Exterior / Campus ID</t>
  </si>
  <si>
    <t>ALLOWANCE LOG · ALW-SGN-03</t>
  </si>
  <si>
    <t>NCC sign permit required. 8–12 week fabrication lead time.</t>
  </si>
  <si>
    <t>CAT-6: Donor / Community Identity</t>
  </si>
  <si>
    <t>OWNER COST — Optional Allowance</t>
  </si>
  <si>
    <t>ALLOWANCE LOG · ALW-SGN-04</t>
  </si>
  <si>
    <t>$0</t>
  </si>
  <si>
    <t>$35,000</t>
  </si>
  <si>
    <t>Optional. IDD residential: sensory-calm displays recommended.</t>
  </si>
  <si>
    <t>TOTAL OWNER-FURNISHED SIGNAGE (CAT 3+4+5+6 combined range)</t>
  </si>
  <si>
    <t>$45,000</t>
  </si>
  <si>
    <t>$133,000</t>
  </si>
  <si>
    <t>SECTION E — BRAND FRAMEWORK OPTIONS (for owners without existing brand)</t>
  </si>
  <si>
    <t>M4Di provides three lightweight brand framework options for nonprofits and physician groups that do not have an established visual identity. These are not full brand identities — they are functional signage systems that prevent mismatched signs and ensure visual coherence across the facility. Select one option; the AE and sign fabricator work from it.</t>
  </si>
  <si>
    <t>Option</t>
  </si>
  <si>
    <t>System Name</t>
  </si>
  <si>
    <t>Color System</t>
  </si>
  <si>
    <t>Typeface</t>
  </si>
  <si>
    <t>Material Spec</t>
  </si>
  <si>
    <t>Best For</t>
  </si>
  <si>
    <t>Option A</t>
  </si>
  <si>
    <t>Calm Clarity</t>
  </si>
  <si>
    <t>Soft white substrate · warm grey text · teal accent bar</t>
  </si>
  <si>
    <t>DM Sans (Google Fonts — free)</t>
  </si>
  <si>
    <t>Brushed aluminum extrusion · acrylic face · vinyl applied text</t>
  </si>
  <si>
    <t>IDD residential / behavioral health / community health. Neutral, non-institutional, sensory-calm.</t>
  </si>
  <si>
    <t>RECOMMENDED for M-Well</t>
  </si>
  <si>
    <t>Option B</t>
  </si>
  <si>
    <t>Civic Anchor</t>
  </si>
  <si>
    <t>Navy substrate · white text · warm gold accent bar</t>
  </si>
  <si>
    <t>Source Sans Pro (Google Fonts — free)</t>
  </si>
  <si>
    <t>Painted steel extrusion · dimensional letters on exterior</t>
  </si>
  <si>
    <t>Faith-based facilities / community centers / civic buildings. Authoritative, familiar.</t>
  </si>
  <si>
    <t>Alternative</t>
  </si>
  <si>
    <t>Option C</t>
  </si>
  <si>
    <t>Modern Community</t>
  </si>
  <si>
    <t>Dark charcoal substrate · white text · green accent (M4Di #196b23)</t>
  </si>
  <si>
    <t>Inter (Google Fonts — free)</t>
  </si>
  <si>
    <t>PVC substrate · UV-printed face · flush-mount wall panel</t>
  </si>
  <si>
    <t>Mixed-use / community development / CDFI-funded projects. Contemporary, mission-aligned.</t>
  </si>
  <si>
    <t>SELECTED BRAND OPTION (enter choice):</t>
  </si>
  <si>
    <t>Option A — Calm Clarity</t>
  </si>
  <si>
    <t>Update this cell when client confirms brand direction. This selection governs the sign fabricator RFP.</t>
  </si>
  <si>
    <t>SECTION F — ALLOWANCE LOG ENTRIES (copy to ALLOWANCE LOG tab at Gate 0)</t>
  </si>
  <si>
    <t>These four entries should be copied into the ALLOWANCE LOG tab when the ALDi Budget Tracker is initiated at Gate 0. They become the live tracking records for signage decisions through design and construction.</t>
  </si>
  <si>
    <t>ID</t>
  </si>
  <si>
    <t>Basis</t>
  </si>
  <si>
    <t>TOTAL SIGNAGE ALLOWANCE (enter in TOTAL PROJECT BUDGET → Owner Costs)</t>
  </si>
  <si>
    <t>SECTION G — WHEN TO INTRODUCE SIGNAGE IN THE M4Di WORKFLOW</t>
  </si>
  <si>
    <t>Stage</t>
  </si>
  <si>
    <t>Action Required</t>
  </si>
  <si>
    <t>P1 · FeasOps™</t>
  </si>
  <si>
    <t>Introduce signage as a named allowance in the ROM. Add CAT-3+4+5 to the Owner Cost section of TOTAL PROJECT BUDGET. Size by project type: IDD residential = $8–15/SF of occupied program SF. Flag as a deferred decision risk in the P1 Risk Memo. NOTE: for DDDS licensing facilities, wayfinding quality directly affects licensing reviewer impressions.</t>
  </si>
  <si>
    <t>P2 · FeasOps™</t>
  </si>
  <si>
    <t>Refine the signage allowance using the confirmed room count from the test fit. Generate a preliminary room schedule (this tab Section C). Update the allowance range from parametric to quantity-based. Confirm which brand framework option is appropriate for the owner type.</t>
  </si>
  <si>
    <t>P3 · FeasOps™</t>
  </si>
  <si>
    <t>Deliver the completed SIGNAGE PROGRAM BRIEF (this tab) as a standalone P3 deliverable or add-on ($3,500–$6,000 depending on scale). Provide the room schedule, category framework, budget summary, brand framework recommendation, and ALLOWANCE LOG entries ready to copy to Gate 0.</t>
  </si>
  <si>
    <t>Gate 0 · ALDi™</t>
  </si>
  <si>
    <t>Copy the four ALW-SGN-01 through 04 entries into the ALLOWANCE LOG. Add the signage total as a named line in Section 3 (Owner Contingency &amp; Other) of TOTAL PROJECT BUDGET. Column D locks with signage as a visible, protected line — not buried in FF&amp;E.</t>
  </si>
  <si>
    <t>Gate 1–2</t>
  </si>
  <si>
    <t>AE incorporates room schedule into CD door and room finish schedule. Sign fabricator RFP issued by owner (M4Di provides scope document from this tab). Selection memo required per M4Di procurement standards. Allowance resolves to fixed price when fabricator is selected.</t>
  </si>
  <si>
    <t>Gate 3–4</t>
  </si>
  <si>
    <t>Fabricator selected. Signage contract executed. Allowance closes and actual price enters Column F. Installation typically occurs at construction closeout — coordinate with punch list. Final room signs = prerequisite for DDDS final licensing inspection.</t>
  </si>
  <si>
    <t>M4Di™ Signage Program Brief  ·  © 2026 Merge 4 Design LLC d/b/a M4Di  ·  Confidential — For project use only  ·  All marks draft pending legal confirmation</t>
  </si>
  <si>
    <t>TAB QA — CRITICAL FORMULA CHECKS &amp; WORKBOOK VALIDATION</t>
  </si>
  <si>
    <t>Use this sheet after any revision to confirm critical formulas are working correctly. Open in Excel, press Ctrl+Alt+F9 to force full recalculation, then review each check.</t>
  </si>
  <si>
    <t>Check ID</t>
  </si>
  <si>
    <t>Sheet</t>
  </si>
  <si>
    <t>Cell</t>
  </si>
  <si>
    <t>Expected Behavior</t>
  </si>
  <si>
    <t>Live Value</t>
  </si>
  <si>
    <t>Manual QA Result</t>
  </si>
  <si>
    <t>Reviewer Notes</t>
  </si>
  <si>
    <t>QA-01</t>
  </si>
  <si>
    <t>C12</t>
  </si>
  <si>
    <t>Weighted trade labor factor</t>
  </si>
  <si>
    <t>Returns 1.000x for Delaware and ~1.145x for Philadelphia Metro</t>
  </si>
  <si>
    <t>Not Checked</t>
  </si>
  <si>
    <t>QA-02</t>
  </si>
  <si>
    <t>I3</t>
  </si>
  <si>
    <t>Delaware weighted labor basket</t>
  </si>
  <si>
    <t>Returns a numeric weighted basket (should be ~26.17)</t>
  </si>
  <si>
    <t>QA-03</t>
  </si>
  <si>
    <t>I4</t>
  </si>
  <si>
    <t>Philadelphia region factor</t>
  </si>
  <si>
    <t>Returns factor &gt;1.000x (should be ~1.145)</t>
  </si>
  <si>
    <t>QA-04</t>
  </si>
  <si>
    <t>K3</t>
  </si>
  <si>
    <t>Adjusted unit price row 3</t>
  </si>
  <si>
    <t>Returns numeric adjusted unit price (Base Price × Region Factor × Escalation)</t>
  </si>
  <si>
    <t>QA-05</t>
  </si>
  <si>
    <t>L3</t>
  </si>
  <si>
    <t>Adj. unit cost VLOOKUP row 3</t>
  </si>
  <si>
    <t>Returns matching adjusted unit cost from UNIT PRICE LIBRARY via Cost Code VLOOKUP</t>
  </si>
  <si>
    <t>QA-06</t>
  </si>
  <si>
    <t>M3</t>
  </si>
  <si>
    <t>Takeoff line total row 3</t>
  </si>
  <si>
    <t>Returns quantity × adjusted unit cost (or 0 if Included = No)</t>
  </si>
  <si>
    <t>QA-07</t>
  </si>
  <si>
    <t>C3</t>
  </si>
  <si>
    <t>LL base building total</t>
  </si>
  <si>
    <t>Sums all LL rows from TAKEOFF where Included = Yes or Allowance</t>
  </si>
  <si>
    <t>QA-08</t>
  </si>
  <si>
    <t>I8</t>
  </si>
  <si>
    <t>Total Project ROM</t>
  </si>
  <si>
    <t>Should equal sum of all floor totals in column J</t>
  </si>
  <si>
    <t>QA-09</t>
  </si>
  <si>
    <t>C10</t>
  </si>
  <si>
    <t>Should match FLOOR SUMMARY total project ROM within rounding</t>
  </si>
  <si>
    <t>QA-10</t>
  </si>
  <si>
    <t>C14</t>
  </si>
  <si>
    <t>Project cost per SF</t>
  </si>
  <si>
    <t>Total ROM / Project SF from ASSUMPTIONS. Returns numeric $/SF.</t>
  </si>
  <si>
    <t>QA-11</t>
  </si>
  <si>
    <t>M12</t>
  </si>
  <si>
    <t>Owner selection allowance total</t>
  </si>
  <si>
    <t>Returns sum of all Allowance Each × Qty. Should match EQUIPMENT ALLOWANCES total.</t>
  </si>
  <si>
    <t>QA-12</t>
  </si>
  <si>
    <t>C6</t>
  </si>
  <si>
    <t>Calculated project cost / SF</t>
  </si>
  <si>
    <t>Returns numeric $/SF from BID SUMMARY</t>
  </si>
  <si>
    <t>QA-13</t>
  </si>
  <si>
    <t>F6</t>
  </si>
  <si>
    <t>Sanity check text</t>
  </si>
  <si>
    <t>Returns readable text: Within historical range / Above / Below</t>
  </si>
  <si>
    <t>QA-14</t>
  </si>
  <si>
    <t>H4</t>
  </si>
  <si>
    <t>Historical cost per SF row 4</t>
  </si>
  <si>
    <t>Returns numeric cost/SF for the first historical project</t>
  </si>
  <si>
    <t>QA-15</t>
  </si>
  <si>
    <t>F12</t>
  </si>
  <si>
    <t>Total open allowances</t>
  </si>
  <si>
    <t>Sum of all allowance amounts. Should be &gt; $0 while items are pending.</t>
  </si>
  <si>
    <t>QUICK QA STEPS</t>
  </si>
  <si>
    <t>1. Open workbook in desktop Excel (not browser).</t>
  </si>
  <si>
    <t>2. Press Ctrl+Alt+F9 to force full recalculation of all formulas.</t>
  </si>
  <si>
    <t>3. Review Live Value column — confirm no REF errors, VALUE errors, NAME errors, or blank totals.</t>
  </si>
  <si>
    <t>4. Check BID SUMMARY Total ROM vs. FLOOR SUMMARY Total ROM — should match.</t>
  </si>
  <si>
    <t>5. Confirm ALLOWANCE LOG pending count matches OWNER SELECTIONS pending count.</t>
  </si>
  <si>
    <t>6. Mark each check as Pass / Fail / Review.</t>
  </si>
  <si>
    <t>7. Save a dated revision copy before issuing to any external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</si>
</sst>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dd/yyyy"/>
    <numFmt numFmtId="165" formatCode="0.000\x"/>
    <numFmt numFmtId="166" formatCode="0.0%;\(0.0%\);\-"/>
    <numFmt numFmtId="167" formatCode="\$#,##0;&quot;($&quot;#,##0\);\-"/>
    <numFmt numFmtId="168" formatCode="\$#,##0.00"/>
    <numFmt numFmtId="169" formatCode="0.000"/>
    <numFmt numFmtId="170" formatCode="\$#,##0"/>
    <numFmt numFmtId="171" formatCode="0.0%;\(0.0%\);&quot;N/A&quot;"/>
    <numFmt numFmtId="172" formatCode="#,##0;\(#,##0\);\-"/>
    <numFmt numFmtId="173" formatCode="0.00%;\(0.00%\);\-"/>
    <numFmt numFmtId="174" formatCode="0,##0;\(0,##0\);\-"/>
  </numFmts>
  <fonts count="72" x14ac:knownFonts="1">
    <font>
      <sz val="11"/>
      <color theme="1"/>
      <name val="Calibri"/>
      <family val="2"/>
      <charset val="1"/>
    </font>
    <font>
      <b/>
      <sz val="18"/>
      <color rgb="FF534AB7"/>
      <name val="Arial"/>
      <charset val="1"/>
    </font>
    <font>
      <i/>
      <sz val="12"/>
      <color rgb="FF0F6E56"/>
      <name val="Arial"/>
      <charset val="1"/>
    </font>
    <font>
      <i/>
      <sz val="9"/>
      <color rgb="FF5F5E5A"/>
      <name val="Arial"/>
      <charset val="1"/>
    </font>
    <font>
      <b/>
      <sz val="11"/>
      <color rgb="FFFFFFFF"/>
      <name val="Arial"/>
      <charset val="1"/>
    </font>
    <font>
      <b/>
      <sz val="10"/>
      <color rgb="FF0F6E56"/>
      <name val="Arial"/>
      <charset val="1"/>
    </font>
    <font>
      <b/>
      <sz val="10"/>
      <color rgb="FF534AB7"/>
      <name val="Arial"/>
      <charset val="1"/>
    </font>
    <font>
      <sz val="9"/>
      <color rgb="FF2C2C2A"/>
      <name val="Arial"/>
      <charset val="1"/>
    </font>
    <font>
      <b/>
      <sz val="9"/>
      <color rgb="FF000080"/>
      <name val="Arial"/>
      <charset val="1"/>
    </font>
    <font>
      <b/>
      <sz val="9"/>
      <color rgb="FF2C2C2A"/>
      <name val="Arial"/>
      <charset val="1"/>
    </font>
    <font>
      <b/>
      <sz val="9"/>
      <color rgb="FF000000"/>
      <name val="Arial"/>
      <charset val="1"/>
    </font>
    <font>
      <b/>
      <sz val="9"/>
      <color rgb="FF006400"/>
      <name val="Arial"/>
      <charset val="1"/>
    </font>
    <font>
      <b/>
      <sz val="9"/>
      <color rgb="FFFF0000"/>
      <name val="Arial"/>
      <charset val="1"/>
    </font>
    <font>
      <i/>
      <sz val="8"/>
      <color rgb="FF5F5E5A"/>
      <name val="Arial"/>
      <charset val="1"/>
    </font>
    <font>
      <b/>
      <sz val="9"/>
      <color rgb="FF5F5E5A"/>
      <name val="Arial"/>
      <charset val="1"/>
    </font>
    <font>
      <sz val="10"/>
      <color rgb="FF2C2C2A"/>
      <name val="Arial"/>
      <charset val="1"/>
    </font>
    <font>
      <sz val="10"/>
      <color rgb="FF00008B"/>
      <name val="Arial"/>
      <charset val="1"/>
    </font>
    <font>
      <sz val="10"/>
      <color rgb="FF000080"/>
      <name val="Arial"/>
      <charset val="1"/>
    </font>
    <font>
      <sz val="10"/>
      <color rgb="FF006400"/>
      <name val="Arial"/>
      <charset val="1"/>
    </font>
    <font>
      <b/>
      <sz val="10"/>
      <color rgb="FFFFFFFF"/>
      <name val="Arial"/>
      <charset val="1"/>
    </font>
    <font>
      <sz val="10"/>
      <color rgb="FF000000"/>
      <name val="Arial"/>
      <charset val="1"/>
    </font>
    <font>
      <b/>
      <sz val="11"/>
      <color rgb="FF534AB7"/>
      <name val="Arial"/>
      <charset val="1"/>
    </font>
    <font>
      <b/>
      <sz val="11"/>
      <color rgb="FF006400"/>
      <name val="Arial"/>
      <charset val="1"/>
    </font>
    <font>
      <sz val="9"/>
      <color rgb="FF000080"/>
      <name val="Arial"/>
      <charset val="1"/>
    </font>
    <font>
      <b/>
      <sz val="9"/>
      <name val="Arial"/>
      <charset val="1"/>
    </font>
    <font>
      <b/>
      <sz val="12"/>
      <color rgb="FFFFFFFF"/>
      <name val="Arial"/>
      <charset val="1"/>
    </font>
    <font>
      <i/>
      <sz val="9"/>
      <color rgb="FF555550"/>
      <name val="Arial"/>
      <charset val="1"/>
    </font>
    <font>
      <b/>
      <sz val="9"/>
      <color rgb="FFFFFFFF"/>
      <name val="Arial"/>
      <charset val="1"/>
    </font>
    <font>
      <sz val="10"/>
      <color rgb="FF1B1B24"/>
      <name val="Arial"/>
      <charset val="1"/>
    </font>
    <font>
      <b/>
      <sz val="9"/>
      <color rgb="FF1B1B24"/>
      <name val="Arial"/>
      <charset val="1"/>
    </font>
    <font>
      <b/>
      <sz val="9"/>
      <color rgb="FF3C3489"/>
      <name val="Arial"/>
      <charset val="1"/>
    </font>
    <font>
      <sz val="9"/>
      <color rgb="FF1B1B24"/>
      <name val="Arial"/>
      <charset val="1"/>
    </font>
    <font>
      <b/>
      <sz val="10"/>
      <color rgb="FF00008B"/>
      <name val="Arial"/>
      <charset val="1"/>
    </font>
    <font>
      <b/>
      <sz val="10"/>
      <color rgb="FF1B1B24"/>
      <name val="Arial"/>
      <charset val="1"/>
    </font>
    <font>
      <i/>
      <sz val="8"/>
      <color rgb="FF555550"/>
      <name val="Arial"/>
      <charset val="1"/>
    </font>
    <font>
      <sz val="9"/>
      <color rgb="FF555550"/>
      <name val="Arial"/>
      <charset val="1"/>
    </font>
    <font>
      <b/>
      <sz val="10"/>
      <color rgb="FF854F0B"/>
      <name val="Arial"/>
      <charset val="1"/>
    </font>
    <font>
      <sz val="9"/>
      <color rgb="FF806000"/>
      <name val="Arial"/>
      <charset val="1"/>
    </font>
    <font>
      <b/>
      <sz val="11"/>
      <color rgb="FF854F0B"/>
      <name val="Arial"/>
      <charset val="1"/>
    </font>
    <font>
      <b/>
      <sz val="11"/>
      <color rgb="FF000000"/>
      <name val="Arial"/>
      <charset val="1"/>
    </font>
    <font>
      <sz val="10"/>
      <color rgb="FF854F0B"/>
      <name val="Arial"/>
      <charset val="1"/>
    </font>
    <font>
      <b/>
      <sz val="12"/>
      <color rgb="FF0F6E56"/>
      <name val="Arial"/>
      <charset val="1"/>
    </font>
    <font>
      <b/>
      <sz val="10"/>
      <color rgb="FF000000"/>
      <name val="Arial"/>
      <charset val="1"/>
    </font>
    <font>
      <b/>
      <sz val="12"/>
      <color rgb="FF534AB7"/>
      <name val="Arial"/>
      <charset val="1"/>
    </font>
    <font>
      <i/>
      <sz val="10"/>
      <color rgb="FF5F5E5A"/>
      <name val="Arial"/>
      <charset val="1"/>
    </font>
    <font>
      <b/>
      <sz val="10"/>
      <color rgb="FF2C2C2A"/>
      <name val="Arial"/>
      <charset val="1"/>
    </font>
    <font>
      <b/>
      <sz val="14"/>
      <color rgb="FFFFFFFF"/>
      <name val="Arial"/>
      <charset val="1"/>
    </font>
    <font>
      <b/>
      <sz val="12"/>
      <color rgb="FF006400"/>
      <name val="Arial"/>
      <charset val="1"/>
    </font>
    <font>
      <b/>
      <sz val="9"/>
      <color rgb="FF0F6E56"/>
      <name val="Arial"/>
      <charset val="1"/>
    </font>
    <font>
      <i/>
      <sz val="9"/>
      <color rgb="FF2C2C2A"/>
      <name val="Arial"/>
      <charset val="1"/>
    </font>
    <font>
      <b/>
      <sz val="9"/>
      <color rgb="FF854F0B"/>
      <name val="Arial"/>
      <charset val="1"/>
    </font>
    <font>
      <i/>
      <sz val="9"/>
      <color rgb="FF0F6E56"/>
      <name val="Arial"/>
      <charset val="1"/>
    </font>
    <font>
      <b/>
      <sz val="9"/>
      <color rgb="FF806000"/>
      <name val="Arial"/>
      <charset val="1"/>
    </font>
    <font>
      <i/>
      <sz val="8"/>
      <color rgb="FF2C2C2A"/>
      <name val="Arial"/>
      <charset val="1"/>
    </font>
    <font>
      <sz val="9"/>
      <color rgb="FF5F5E5A"/>
      <name val="Arial"/>
      <charset val="1"/>
    </font>
    <font>
      <b/>
      <sz val="11"/>
      <color rgb="FF0F6E56"/>
      <name val="Arial"/>
      <charset val="1"/>
    </font>
    <font>
      <sz val="10"/>
      <color rgb="FF534AB7"/>
      <name val="Arial"/>
      <charset val="1"/>
    </font>
    <font>
      <b/>
      <sz val="9"/>
      <color rgb="FF993C1D"/>
      <name val="Arial"/>
      <charset val="1"/>
    </font>
    <font>
      <b/>
      <sz val="9"/>
      <color rgb="FF444441"/>
      <name val="Arial"/>
      <charset val="1"/>
    </font>
    <font>
      <b/>
      <sz val="8"/>
      <color rgb="FF444441"/>
      <name val="Arial"/>
      <charset val="1"/>
    </font>
    <font>
      <b/>
      <i/>
      <sz val="9"/>
      <color rgb="FF854F0B"/>
      <name val="Arial"/>
      <charset val="1"/>
    </font>
    <font>
      <b/>
      <sz val="12"/>
      <color rgb="FF000080"/>
      <name val="Arial"/>
      <charset val="1"/>
    </font>
    <font>
      <b/>
      <sz val="13"/>
      <color rgb="FFFFFFFF"/>
      <name val="Arial"/>
      <charset val="1"/>
    </font>
    <font>
      <b/>
      <sz val="10"/>
      <color rgb="FF444441"/>
      <name val="Arial"/>
      <charset val="1"/>
    </font>
    <font>
      <sz val="9"/>
      <color rgb="FF000000"/>
      <name val="Arial"/>
      <charset val="1"/>
    </font>
    <font>
      <b/>
      <sz val="15"/>
      <color rgb="FFFFFFFF"/>
      <name val="Arial"/>
      <charset val="1"/>
    </font>
    <font>
      <b/>
      <sz val="13"/>
      <color rgb="FF000000"/>
      <name val="Arial"/>
      <charset val="1"/>
    </font>
    <font>
      <b/>
      <sz val="10"/>
      <color rgb="FF196B23"/>
      <name val="Arial"/>
      <charset val="1"/>
    </font>
    <font>
      <b/>
      <sz val="9"/>
      <color rgb="FF534AB7"/>
      <name val="Arial"/>
      <charset val="1"/>
    </font>
    <font>
      <sz val="9"/>
      <color rgb="FF00008B"/>
      <name val="Arial"/>
      <charset val="1"/>
    </font>
    <font>
      <b/>
      <sz val="10"/>
      <color rgb="FF3C3489"/>
      <name val="Arial"/>
      <charset val="1"/>
    </font>
    <font>
      <sz val="8"/>
      <color rgb="FFAFA9EC"/>
      <name val="Arial"/>
      <charset val="1"/>
    </font>
  </fonts>
  <fills count="22">
    <fill>
      <patternFill patternType="none"/>
    </fill>
    <fill>
      <patternFill patternType="gray125"/>
    </fill>
    <fill>
      <patternFill patternType="solid">
        <fgColor rgb="FFEEEDFE"/>
        <bgColor rgb="FFF1EFE8"/>
      </patternFill>
    </fill>
    <fill>
      <patternFill patternType="solid">
        <fgColor rgb="FF0F6E56"/>
        <bgColor rgb="FF196B23"/>
      </patternFill>
    </fill>
    <fill>
      <patternFill patternType="solid">
        <fgColor rgb="FF854F0B"/>
        <bgColor rgb="FF806000"/>
      </patternFill>
    </fill>
    <fill>
      <patternFill patternType="solid">
        <fgColor rgb="FFFFF8E1"/>
        <bgColor rgb="FFFFFFF0"/>
      </patternFill>
    </fill>
    <fill>
      <patternFill patternType="solid">
        <fgColor rgb="FFFFFFFF"/>
        <bgColor rgb="FFFFFFF0"/>
      </patternFill>
    </fill>
    <fill>
      <patternFill patternType="solid">
        <fgColor rgb="FFF0FAF6"/>
        <bgColor rgb="FFF8F7F5"/>
      </patternFill>
    </fill>
    <fill>
      <patternFill patternType="solid">
        <fgColor rgb="FFFFF8F8"/>
        <bgColor rgb="FFF8F7F5"/>
      </patternFill>
    </fill>
    <fill>
      <patternFill patternType="solid">
        <fgColor rgb="FFFFFF00"/>
        <bgColor rgb="FFFAEEDA"/>
      </patternFill>
    </fill>
    <fill>
      <patternFill patternType="solid">
        <fgColor rgb="FFF1EFE8"/>
        <bgColor rgb="FFF5F4F0"/>
      </patternFill>
    </fill>
    <fill>
      <patternFill patternType="solid">
        <fgColor rgb="FF534AB7"/>
        <bgColor rgb="FF3C3489"/>
      </patternFill>
    </fill>
    <fill>
      <patternFill patternType="solid">
        <fgColor rgb="FFFFFFF0"/>
        <bgColor rgb="FFFFFFFF"/>
      </patternFill>
    </fill>
    <fill>
      <patternFill patternType="solid">
        <fgColor rgb="FFE1F5EE"/>
        <bgColor rgb="FFEAF3DE"/>
      </patternFill>
    </fill>
    <fill>
      <patternFill patternType="solid">
        <fgColor rgb="FFF8F7F5"/>
        <bgColor rgb="FFF5F4F0"/>
      </patternFill>
    </fill>
    <fill>
      <patternFill patternType="solid">
        <fgColor rgb="FFFAEEDA"/>
        <bgColor rgb="FFFAECE7"/>
      </patternFill>
    </fill>
    <fill>
      <patternFill patternType="solid">
        <fgColor rgb="FF3C3489"/>
        <bgColor rgb="FF534AB7"/>
      </patternFill>
    </fill>
    <fill>
      <patternFill patternType="solid">
        <fgColor rgb="FFF5F4F0"/>
        <bgColor rgb="FFF8F7F5"/>
      </patternFill>
    </fill>
    <fill>
      <patternFill patternType="solid">
        <fgColor rgb="FFEAF3DE"/>
        <bgColor rgb="FFF1EFE8"/>
      </patternFill>
    </fill>
    <fill>
      <patternFill patternType="solid">
        <fgColor rgb="FF993C1D"/>
        <bgColor rgb="FF854F0B"/>
      </patternFill>
    </fill>
    <fill>
      <patternFill patternType="solid">
        <fgColor rgb="FFFAECE7"/>
        <bgColor rgb="FFFFEEEE"/>
      </patternFill>
    </fill>
    <fill>
      <patternFill patternType="solid">
        <fgColor rgb="FFFFEEEE"/>
        <bgColor rgb="FFFAECE7"/>
      </patternFill>
    </fill>
  </fills>
  <borders count="8">
    <border>
      <left/>
      <right/>
      <top/>
      <bottom/>
      <diagonal/>
    </border>
    <border>
      <left style="thin">
        <color rgb="FFD3D1C7"/>
      </left>
      <right style="thin">
        <color rgb="FFD3D1C7"/>
      </right>
      <top style="thin">
        <color rgb="FFD3D1C7"/>
      </top>
      <bottom style="thin">
        <color rgb="FFD3D1C7"/>
      </bottom>
      <diagonal/>
    </border>
    <border>
      <left style="thin">
        <color rgb="FFB4B2A9"/>
      </left>
      <right/>
      <top style="thin">
        <color rgb="FFB4B2A9"/>
      </top>
      <bottom style="thin">
        <color rgb="FFB4B2A9"/>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534AB7"/>
      </left>
      <right style="thin">
        <color rgb="FF534AB7"/>
      </right>
      <top style="thin">
        <color rgb="FF534AB7"/>
      </top>
      <bottom style="thin">
        <color rgb="FF534AB7"/>
      </bottom>
      <diagonal/>
    </border>
    <border>
      <left style="thin">
        <color rgb="FFD3D1C7"/>
      </left>
      <right/>
      <top style="thin">
        <color rgb="FFD3D1C7"/>
      </top>
      <bottom style="thin">
        <color rgb="FFD3D1C7"/>
      </bottom>
      <diagonal/>
    </border>
    <border>
      <left style="thin">
        <color rgb="FFCCCCCC"/>
      </left>
      <right/>
      <top/>
      <bottom/>
      <diagonal/>
    </border>
  </borders>
  <cellStyleXfs count="1">
    <xf numFmtId="0" fontId="0" fillId="0" borderId="0"/>
  </cellStyleXfs>
  <cellXfs count="323">
    <xf numFmtId="0" fontId="0" fillId="0" borderId="0" xfId="0"/>
    <xf numFmtId="0" fontId="5" fillId="0" borderId="0" xfId="0" applyFont="1"/>
    <xf numFmtId="0" fontId="6" fillId="2" borderId="1" xfId="0" applyFont="1" applyFill="1" applyBorder="1"/>
    <xf numFmtId="0" fontId="8" fillId="5" borderId="1" xfId="0" applyFont="1" applyFill="1" applyBorder="1" applyAlignment="1">
      <alignment horizontal="center" vertical="center"/>
    </xf>
    <xf numFmtId="0" fontId="9" fillId="0" borderId="1" xfId="0" applyFont="1" applyBorder="1"/>
    <xf numFmtId="0" fontId="10"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14" fillId="0" borderId="0" xfId="0" applyFont="1"/>
    <xf numFmtId="0" fontId="15" fillId="0" borderId="0" xfId="0" applyFont="1"/>
    <xf numFmtId="0" fontId="16" fillId="12" borderId="1" xfId="0" applyFont="1" applyFill="1" applyBorder="1" applyAlignment="1">
      <alignment horizontal="left" vertical="center"/>
    </xf>
    <xf numFmtId="0" fontId="3" fillId="0" borderId="0" xfId="0" applyFont="1"/>
    <xf numFmtId="164" fontId="17" fillId="5" borderId="1" xfId="0" applyNumberFormat="1" applyFont="1" applyFill="1" applyBorder="1" applyAlignment="1">
      <alignment horizontal="left" vertical="center"/>
    </xf>
    <xf numFmtId="49" fontId="16" fillId="12" borderId="1" xfId="0" applyNumberFormat="1" applyFont="1" applyFill="1" applyBorder="1" applyAlignment="1">
      <alignment horizontal="left" vertical="center"/>
    </xf>
    <xf numFmtId="3" fontId="16" fillId="12" borderId="1" xfId="0" applyNumberFormat="1" applyFont="1" applyFill="1" applyBorder="1" applyAlignment="1">
      <alignment horizontal="left" vertical="center"/>
    </xf>
    <xf numFmtId="49" fontId="17" fillId="5" borderId="1" xfId="0" applyNumberFormat="1" applyFont="1" applyFill="1" applyBorder="1" applyAlignment="1">
      <alignment horizontal="left" vertical="center"/>
    </xf>
    <xf numFmtId="165" fontId="18" fillId="7" borderId="1" xfId="0" applyNumberFormat="1" applyFont="1" applyFill="1" applyBorder="1" applyAlignment="1">
      <alignment horizontal="right" vertical="center"/>
    </xf>
    <xf numFmtId="166" fontId="17" fillId="5" borderId="1" xfId="0" applyNumberFormat="1" applyFont="1" applyFill="1" applyBorder="1" applyAlignment="1">
      <alignment horizontal="left" vertical="center"/>
    </xf>
    <xf numFmtId="166" fontId="20" fillId="6" borderId="1" xfId="0" applyNumberFormat="1" applyFont="1" applyFill="1" applyBorder="1" applyAlignment="1">
      <alignment horizontal="right" vertical="center"/>
    </xf>
    <xf numFmtId="165" fontId="17" fillId="5" borderId="1" xfId="0" applyNumberFormat="1" applyFont="1" applyFill="1" applyBorder="1" applyAlignment="1">
      <alignment horizontal="left" vertical="center"/>
    </xf>
    <xf numFmtId="167" fontId="18" fillId="7" borderId="1" xfId="0" applyNumberFormat="1" applyFont="1" applyFill="1" applyBorder="1" applyAlignment="1">
      <alignment horizontal="right" vertical="center"/>
    </xf>
    <xf numFmtId="0" fontId="21" fillId="0" borderId="0" xfId="0" applyFont="1"/>
    <xf numFmtId="167" fontId="22" fillId="7" borderId="1" xfId="0" applyNumberFormat="1" applyFont="1" applyFill="1" applyBorder="1" applyAlignment="1">
      <alignment horizontal="right" vertical="center"/>
    </xf>
    <xf numFmtId="0" fontId="15" fillId="0" borderId="1" xfId="0" applyFont="1" applyBorder="1"/>
    <xf numFmtId="0" fontId="9" fillId="1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5" fillId="13" borderId="1" xfId="0" applyFont="1" applyFill="1" applyBorder="1"/>
    <xf numFmtId="168" fontId="17" fillId="5" borderId="1" xfId="0" applyNumberFormat="1" applyFont="1" applyFill="1" applyBorder="1"/>
    <xf numFmtId="168" fontId="20" fillId="6" borderId="1" xfId="0" applyNumberFormat="1" applyFont="1" applyFill="1" applyBorder="1" applyAlignment="1">
      <alignment horizontal="right" vertical="center"/>
    </xf>
    <xf numFmtId="165" fontId="20" fillId="6" borderId="1" xfId="0" applyNumberFormat="1" applyFont="1" applyFill="1" applyBorder="1" applyAlignment="1">
      <alignment horizontal="right" vertical="center"/>
    </xf>
    <xf numFmtId="49" fontId="23" fillId="5" borderId="1" xfId="0" applyNumberFormat="1" applyFont="1" applyFill="1" applyBorder="1" applyAlignment="1">
      <alignment horizontal="left" vertical="center"/>
    </xf>
    <xf numFmtId="0" fontId="13" fillId="0" borderId="1" xfId="0" applyFont="1" applyBorder="1"/>
    <xf numFmtId="0" fontId="15" fillId="14" borderId="1" xfId="0" applyFont="1" applyFill="1" applyBorder="1"/>
    <xf numFmtId="168" fontId="17" fillId="5" borderId="1" xfId="0" applyNumberFormat="1" applyFont="1" applyFill="1" applyBorder="1" applyAlignment="1">
      <alignment horizontal="left" vertical="center"/>
    </xf>
    <xf numFmtId="0" fontId="24" fillId="0" borderId="0" xfId="0" applyFont="1"/>
    <xf numFmtId="0" fontId="27" fillId="16" borderId="4" xfId="0" applyFont="1" applyFill="1" applyBorder="1" applyAlignment="1">
      <alignment horizontal="center" vertical="center" wrapText="1"/>
    </xf>
    <xf numFmtId="0" fontId="28" fillId="2" borderId="4" xfId="0" applyFont="1" applyFill="1" applyBorder="1" applyAlignment="1">
      <alignment horizontal="left" vertical="center"/>
    </xf>
    <xf numFmtId="0" fontId="29" fillId="2" borderId="4" xfId="0" applyFont="1" applyFill="1" applyBorder="1" applyAlignment="1">
      <alignment horizontal="center" vertical="center"/>
    </xf>
    <xf numFmtId="0" fontId="30" fillId="2" borderId="4" xfId="0" applyFont="1" applyFill="1" applyBorder="1" applyAlignment="1">
      <alignment horizontal="left" vertical="center"/>
    </xf>
    <xf numFmtId="0" fontId="31" fillId="2" borderId="4" xfId="0" applyFont="1" applyFill="1" applyBorder="1" applyAlignment="1">
      <alignment horizontal="left" vertical="center"/>
    </xf>
    <xf numFmtId="0" fontId="31" fillId="2" borderId="4" xfId="0" applyFont="1" applyFill="1" applyBorder="1" applyAlignment="1">
      <alignment horizontal="center" vertical="center"/>
    </xf>
    <xf numFmtId="168" fontId="32" fillId="12" borderId="4" xfId="0" applyNumberFormat="1" applyFont="1" applyFill="1" applyBorder="1" applyAlignment="1">
      <alignment horizontal="right" vertical="center"/>
    </xf>
    <xf numFmtId="169" fontId="18" fillId="18" borderId="4" xfId="0" applyNumberFormat="1" applyFont="1" applyFill="1" applyBorder="1" applyAlignment="1">
      <alignment horizontal="right" vertical="center"/>
    </xf>
    <xf numFmtId="168" fontId="33" fillId="2" borderId="4" xfId="0" applyNumberFormat="1" applyFont="1" applyFill="1" applyBorder="1" applyAlignment="1">
      <alignment horizontal="right" vertical="center"/>
    </xf>
    <xf numFmtId="0" fontId="31" fillId="6" borderId="4" xfId="0" applyFont="1" applyFill="1" applyBorder="1" applyAlignment="1">
      <alignment horizontal="center" vertical="center"/>
    </xf>
    <xf numFmtId="0" fontId="34" fillId="2" borderId="4" xfId="0" applyFont="1" applyFill="1" applyBorder="1" applyAlignment="1">
      <alignment horizontal="left" vertical="center" wrapText="1"/>
    </xf>
    <xf numFmtId="0" fontId="28" fillId="6" borderId="4" xfId="0" applyFont="1" applyFill="1" applyBorder="1" applyAlignment="1">
      <alignment horizontal="left" vertical="center"/>
    </xf>
    <xf numFmtId="0" fontId="29" fillId="6" borderId="4" xfId="0" applyFont="1" applyFill="1" applyBorder="1" applyAlignment="1">
      <alignment horizontal="center" vertical="center"/>
    </xf>
    <xf numFmtId="0" fontId="30" fillId="6" borderId="4" xfId="0" applyFont="1" applyFill="1" applyBorder="1" applyAlignment="1">
      <alignment horizontal="left" vertical="center"/>
    </xf>
    <xf numFmtId="0" fontId="31" fillId="6" borderId="4" xfId="0" applyFont="1" applyFill="1" applyBorder="1" applyAlignment="1">
      <alignment horizontal="left" vertical="center"/>
    </xf>
    <xf numFmtId="168" fontId="33" fillId="6" borderId="4" xfId="0" applyNumberFormat="1" applyFont="1" applyFill="1" applyBorder="1" applyAlignment="1">
      <alignment horizontal="right" vertical="center"/>
    </xf>
    <xf numFmtId="0" fontId="34" fillId="6" borderId="4" xfId="0" applyFont="1" applyFill="1" applyBorder="1" applyAlignment="1">
      <alignment horizontal="left" vertical="center" wrapText="1"/>
    </xf>
    <xf numFmtId="0" fontId="29" fillId="15" borderId="4" xfId="0" applyFont="1" applyFill="1" applyBorder="1" applyAlignment="1">
      <alignment horizontal="center" vertical="center"/>
    </xf>
    <xf numFmtId="0" fontId="30" fillId="2" borderId="4" xfId="0" applyFont="1" applyFill="1" applyBorder="1" applyAlignment="1">
      <alignment horizontal="center" vertical="center"/>
    </xf>
    <xf numFmtId="0" fontId="35" fillId="2" borderId="4" xfId="0" applyFont="1" applyFill="1" applyBorder="1" applyAlignment="1">
      <alignment horizontal="left" vertical="center" wrapText="1"/>
    </xf>
    <xf numFmtId="4" fontId="32" fillId="12" borderId="4" xfId="0" applyNumberFormat="1" applyFont="1" applyFill="1" applyBorder="1" applyAlignment="1">
      <alignment horizontal="right" vertical="center"/>
    </xf>
    <xf numFmtId="168" fontId="18" fillId="18" borderId="4" xfId="0" applyNumberFormat="1" applyFont="1" applyFill="1" applyBorder="1" applyAlignment="1">
      <alignment horizontal="right" vertical="center"/>
    </xf>
    <xf numFmtId="170" fontId="33" fillId="2" borderId="4" xfId="0" applyNumberFormat="1" applyFont="1" applyFill="1" applyBorder="1" applyAlignment="1">
      <alignment horizontal="right" vertical="center"/>
    </xf>
    <xf numFmtId="0" fontId="29" fillId="18" borderId="4" xfId="0" applyFont="1" applyFill="1" applyBorder="1" applyAlignment="1">
      <alignment horizontal="center" vertical="center"/>
    </xf>
    <xf numFmtId="0" fontId="30" fillId="6" borderId="4" xfId="0" applyFont="1" applyFill="1" applyBorder="1" applyAlignment="1">
      <alignment horizontal="center" vertical="center"/>
    </xf>
    <xf numFmtId="0" fontId="35" fillId="6" borderId="4" xfId="0" applyFont="1" applyFill="1" applyBorder="1" applyAlignment="1">
      <alignment horizontal="left" vertical="center" wrapText="1"/>
    </xf>
    <xf numFmtId="170" fontId="33" fillId="6" borderId="4" xfId="0" applyNumberFormat="1" applyFont="1" applyFill="1" applyBorder="1" applyAlignment="1">
      <alignment horizontal="right" vertical="center"/>
    </xf>
    <xf numFmtId="0" fontId="28" fillId="3" borderId="4" xfId="0" applyFont="1" applyFill="1" applyBorder="1" applyAlignment="1">
      <alignment horizontal="left" vertical="center"/>
    </xf>
    <xf numFmtId="170" fontId="25" fillId="3" borderId="4" xfId="0" applyNumberFormat="1" applyFont="1" applyFill="1" applyBorder="1" applyAlignment="1">
      <alignment horizontal="right" vertical="center"/>
    </xf>
    <xf numFmtId="0" fontId="9" fillId="15" borderId="1" xfId="0" applyFont="1" applyFill="1" applyBorder="1" applyAlignment="1">
      <alignment horizontal="center" vertical="center" wrapText="1"/>
    </xf>
    <xf numFmtId="0" fontId="36" fillId="14" borderId="1" xfId="0" applyFont="1" applyFill="1" applyBorder="1" applyAlignment="1">
      <alignment horizontal="center" vertical="center"/>
    </xf>
    <xf numFmtId="0" fontId="3" fillId="14" borderId="1" xfId="0" applyFont="1" applyFill="1" applyBorder="1"/>
    <xf numFmtId="167" fontId="20" fillId="6" borderId="1" xfId="0" applyNumberFormat="1" applyFont="1" applyFill="1" applyBorder="1" applyAlignment="1">
      <alignment horizontal="right" vertical="center"/>
    </xf>
    <xf numFmtId="49" fontId="37" fillId="9" borderId="1" xfId="0" applyNumberFormat="1" applyFont="1" applyFill="1" applyBorder="1" applyAlignment="1">
      <alignment horizontal="center" vertical="center"/>
    </xf>
    <xf numFmtId="0" fontId="36" fillId="6" borderId="1" xfId="0" applyFont="1" applyFill="1" applyBorder="1" applyAlignment="1">
      <alignment horizontal="center" vertical="center"/>
    </xf>
    <xf numFmtId="0" fontId="15" fillId="6" borderId="1" xfId="0" applyFont="1" applyFill="1" applyBorder="1"/>
    <xf numFmtId="0" fontId="3" fillId="6" borderId="1" xfId="0" applyFont="1" applyFill="1" applyBorder="1"/>
    <xf numFmtId="167" fontId="39" fillId="6" borderId="1" xfId="0" applyNumberFormat="1" applyFont="1" applyFill="1" applyBorder="1" applyAlignment="1">
      <alignment horizontal="right" vertical="center"/>
    </xf>
    <xf numFmtId="3" fontId="20" fillId="6" borderId="1" xfId="0" applyNumberFormat="1" applyFont="1" applyFill="1" applyBorder="1" applyAlignment="1">
      <alignment horizontal="right" vertical="center"/>
    </xf>
    <xf numFmtId="0" fontId="41" fillId="13" borderId="1" xfId="0" applyFont="1" applyFill="1" applyBorder="1" applyAlignment="1">
      <alignment horizontal="center" vertical="center"/>
    </xf>
    <xf numFmtId="167" fontId="42" fillId="6" borderId="1" xfId="0" applyNumberFormat="1" applyFont="1" applyFill="1" applyBorder="1" applyAlignment="1">
      <alignment horizontal="right" vertical="center"/>
    </xf>
    <xf numFmtId="0" fontId="25" fillId="3" borderId="1" xfId="0" applyFont="1" applyFill="1" applyBorder="1" applyAlignment="1">
      <alignment horizontal="center" vertical="center"/>
    </xf>
    <xf numFmtId="167" fontId="39" fillId="13" borderId="1" xfId="0" applyNumberFormat="1" applyFont="1" applyFill="1" applyBorder="1" applyAlignment="1">
      <alignment horizontal="right" vertical="center"/>
    </xf>
    <xf numFmtId="0" fontId="45" fillId="2" borderId="1" xfId="0" applyFont="1" applyFill="1" applyBorder="1" applyAlignment="1">
      <alignment horizontal="center" vertical="center" wrapText="1"/>
    </xf>
    <xf numFmtId="0" fontId="3" fillId="0" borderId="1" xfId="0" applyFont="1" applyBorder="1"/>
    <xf numFmtId="0" fontId="15" fillId="10" borderId="1" xfId="0" applyFont="1" applyFill="1" applyBorder="1"/>
    <xf numFmtId="167" fontId="20" fillId="10" borderId="1" xfId="0" applyNumberFormat="1" applyFont="1" applyFill="1" applyBorder="1" applyAlignment="1">
      <alignment horizontal="right" vertical="center"/>
    </xf>
    <xf numFmtId="0" fontId="46" fillId="11" borderId="5" xfId="0" applyFont="1" applyFill="1" applyBorder="1" applyAlignment="1">
      <alignment horizontal="left" vertical="center"/>
    </xf>
    <xf numFmtId="167" fontId="46" fillId="11" borderId="5" xfId="0" applyNumberFormat="1" applyFont="1" applyFill="1" applyBorder="1" applyAlignment="1">
      <alignment horizontal="right" vertical="center"/>
    </xf>
    <xf numFmtId="0" fontId="43" fillId="2" borderId="1" xfId="0" applyFont="1" applyFill="1" applyBorder="1"/>
    <xf numFmtId="167" fontId="47" fillId="2" borderId="1" xfId="0" applyNumberFormat="1" applyFont="1" applyFill="1" applyBorder="1" applyAlignment="1">
      <alignment horizontal="right" vertical="center"/>
    </xf>
    <xf numFmtId="0" fontId="3" fillId="2" borderId="1" xfId="0" applyFont="1" applyFill="1" applyBorder="1"/>
    <xf numFmtId="0" fontId="45" fillId="13" borderId="1" xfId="0" applyFont="1" applyFill="1" applyBorder="1" applyAlignment="1">
      <alignment horizontal="center" vertical="center" wrapText="1"/>
    </xf>
    <xf numFmtId="3" fontId="18" fillId="7" borderId="1" xfId="0" applyNumberFormat="1" applyFont="1" applyFill="1" applyBorder="1" applyAlignment="1">
      <alignment horizontal="right" vertical="center"/>
    </xf>
    <xf numFmtId="168" fontId="18" fillId="7" borderId="1" xfId="0" applyNumberFormat="1" applyFont="1" applyFill="1" applyBorder="1" applyAlignment="1">
      <alignment horizontal="right" vertical="center"/>
    </xf>
    <xf numFmtId="49" fontId="20" fillId="6" borderId="1" xfId="0" applyNumberFormat="1" applyFont="1" applyFill="1" applyBorder="1" applyAlignment="1">
      <alignment horizontal="right" vertical="center"/>
    </xf>
    <xf numFmtId="0" fontId="9" fillId="2" borderId="1" xfId="0" applyFont="1" applyFill="1" applyBorder="1" applyAlignment="1">
      <alignment horizontal="center" vertical="center" wrapText="1"/>
    </xf>
    <xf numFmtId="0" fontId="7" fillId="14" borderId="1" xfId="0" applyFont="1" applyFill="1" applyBorder="1"/>
    <xf numFmtId="0" fontId="7" fillId="6" borderId="1" xfId="0" applyFont="1" applyFill="1" applyBorder="1"/>
    <xf numFmtId="0" fontId="48" fillId="0" borderId="1" xfId="0" applyFont="1" applyBorder="1"/>
    <xf numFmtId="0" fontId="49" fillId="14" borderId="1" xfId="0" applyFont="1" applyFill="1" applyBorder="1"/>
    <xf numFmtId="167" fontId="17" fillId="5" borderId="1" xfId="0" applyNumberFormat="1" applyFont="1" applyFill="1" applyBorder="1" applyAlignment="1">
      <alignment horizontal="left" vertical="center"/>
    </xf>
    <xf numFmtId="0" fontId="49" fillId="6" borderId="1" xfId="0" applyFont="1" applyFill="1" applyBorder="1"/>
    <xf numFmtId="0" fontId="7" fillId="15" borderId="1" xfId="0" applyFont="1" applyFill="1" applyBorder="1"/>
    <xf numFmtId="49" fontId="52" fillId="9" borderId="1" xfId="0" applyNumberFormat="1" applyFont="1" applyFill="1" applyBorder="1" applyAlignment="1">
      <alignment horizontal="center" vertical="center"/>
    </xf>
    <xf numFmtId="0" fontId="53" fillId="15" borderId="1" xfId="0" applyFont="1" applyFill="1" applyBorder="1"/>
    <xf numFmtId="0" fontId="50" fillId="15" borderId="1" xfId="0" applyFont="1" applyFill="1" applyBorder="1" applyAlignment="1">
      <alignment horizontal="center" vertical="center"/>
    </xf>
    <xf numFmtId="0" fontId="54" fillId="14" borderId="1" xfId="0" applyFont="1" applyFill="1" applyBorder="1" applyAlignment="1">
      <alignment horizontal="center" vertical="center"/>
    </xf>
    <xf numFmtId="0" fontId="56" fillId="15" borderId="4" xfId="0" applyFont="1" applyFill="1" applyBorder="1"/>
    <xf numFmtId="0" fontId="28" fillId="15" borderId="4" xfId="0" applyFont="1" applyFill="1" applyBorder="1"/>
    <xf numFmtId="0" fontId="9" fillId="20" borderId="1" xfId="0" applyFont="1" applyFill="1" applyBorder="1" applyAlignment="1">
      <alignment horizontal="center" vertical="center" wrapText="1"/>
    </xf>
    <xf numFmtId="0" fontId="57" fillId="14" borderId="1" xfId="0" applyFont="1" applyFill="1" applyBorder="1"/>
    <xf numFmtId="49" fontId="17" fillId="5" borderId="1" xfId="0" applyNumberFormat="1" applyFont="1" applyFill="1" applyBorder="1" applyAlignment="1">
      <alignment horizontal="center" vertical="center"/>
    </xf>
    <xf numFmtId="49" fontId="57" fillId="20" borderId="1" xfId="0" applyNumberFormat="1" applyFont="1" applyFill="1" applyBorder="1" applyAlignment="1">
      <alignment horizontal="center" vertical="center"/>
    </xf>
    <xf numFmtId="0" fontId="57" fillId="6" borderId="1" xfId="0" applyFont="1" applyFill="1" applyBorder="1"/>
    <xf numFmtId="49" fontId="50" fillId="15" borderId="1" xfId="0" applyNumberFormat="1" applyFont="1" applyFill="1" applyBorder="1" applyAlignment="1">
      <alignment horizontal="center" vertical="center"/>
    </xf>
    <xf numFmtId="49" fontId="7" fillId="15" borderId="1" xfId="0" applyNumberFormat="1" applyFont="1" applyFill="1" applyBorder="1" applyAlignment="1">
      <alignment horizontal="center" vertical="center"/>
    </xf>
    <xf numFmtId="49" fontId="57" fillId="21" borderId="1" xfId="0" applyNumberFormat="1" applyFont="1" applyFill="1" applyBorder="1" applyAlignment="1">
      <alignment horizontal="center" vertical="center"/>
    </xf>
    <xf numFmtId="49" fontId="7" fillId="13" borderId="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15" fillId="14" borderId="1" xfId="0" applyFont="1" applyFill="1" applyBorder="1" applyAlignment="1">
      <alignment horizontal="left" vertical="center" wrapText="1"/>
    </xf>
    <xf numFmtId="49" fontId="18" fillId="7" borderId="1" xfId="0" applyNumberFormat="1" applyFont="1" applyFill="1" applyBorder="1" applyAlignment="1">
      <alignment horizontal="right" vertical="center"/>
    </xf>
    <xf numFmtId="172" fontId="18" fillId="7" borderId="1" xfId="0" applyNumberFormat="1" applyFont="1" applyFill="1" applyBorder="1" applyAlignment="1">
      <alignment horizontal="right" vertical="center"/>
    </xf>
    <xf numFmtId="0" fontId="59" fillId="2" borderId="1" xfId="0" applyFont="1" applyFill="1" applyBorder="1" applyAlignment="1">
      <alignment horizontal="center" vertical="center"/>
    </xf>
    <xf numFmtId="173" fontId="23" fillId="14" borderId="1" xfId="0" applyNumberFormat="1" applyFont="1" applyFill="1" applyBorder="1" applyAlignment="1">
      <alignment horizontal="center" vertical="center"/>
    </xf>
    <xf numFmtId="173" fontId="23" fillId="6" borderId="1" xfId="0" applyNumberFormat="1" applyFont="1" applyFill="1" applyBorder="1" applyAlignment="1">
      <alignment horizontal="center" vertical="center"/>
    </xf>
    <xf numFmtId="173" fontId="60" fillId="15" borderId="1" xfId="0" applyNumberFormat="1" applyFont="1" applyFill="1" applyBorder="1" applyAlignment="1">
      <alignment horizontal="center" vertical="center"/>
    </xf>
    <xf numFmtId="0" fontId="9" fillId="14" borderId="1" xfId="0" applyFont="1" applyFill="1" applyBorder="1"/>
    <xf numFmtId="0" fontId="9" fillId="6" borderId="1" xfId="0" applyFont="1" applyFill="1" applyBorder="1"/>
    <xf numFmtId="0" fontId="48" fillId="13" borderId="1" xfId="0" applyFont="1" applyFill="1" applyBorder="1"/>
    <xf numFmtId="0" fontId="58" fillId="2" borderId="1" xfId="0" applyFont="1" applyFill="1" applyBorder="1" applyAlignment="1">
      <alignment horizontal="center" vertical="center" wrapText="1"/>
    </xf>
    <xf numFmtId="0" fontId="45" fillId="14" borderId="1" xfId="0" applyFont="1" applyFill="1" applyBorder="1"/>
    <xf numFmtId="49" fontId="61" fillId="5" borderId="1" xfId="0" applyNumberFormat="1" applyFont="1" applyFill="1" applyBorder="1" applyAlignment="1">
      <alignment horizontal="center" vertical="center"/>
    </xf>
    <xf numFmtId="0" fontId="58" fillId="2" borderId="1" xfId="0" applyFont="1" applyFill="1" applyBorder="1" applyAlignment="1">
      <alignment horizontal="center" vertical="center"/>
    </xf>
    <xf numFmtId="0" fontId="59" fillId="2" borderId="1" xfId="0" applyFont="1" applyFill="1" applyBorder="1" applyAlignment="1">
      <alignment horizontal="center" vertical="center" wrapText="1"/>
    </xf>
    <xf numFmtId="173" fontId="18" fillId="7" borderId="1" xfId="0" applyNumberFormat="1" applyFont="1" applyFill="1" applyBorder="1" applyAlignment="1">
      <alignment horizontal="right" vertical="center"/>
    </xf>
    <xf numFmtId="167" fontId="20" fillId="14" borderId="1" xfId="0" applyNumberFormat="1" applyFont="1" applyFill="1" applyBorder="1" applyAlignment="1">
      <alignment horizontal="right" vertical="center"/>
    </xf>
    <xf numFmtId="0" fontId="3" fillId="1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1" fillId="2" borderId="1" xfId="0" applyFont="1" applyFill="1" applyBorder="1"/>
    <xf numFmtId="173" fontId="21" fillId="2" borderId="1" xfId="0" applyNumberFormat="1" applyFont="1" applyFill="1" applyBorder="1" applyAlignment="1">
      <alignment horizontal="right" vertical="center"/>
    </xf>
    <xf numFmtId="0" fontId="0" fillId="2" borderId="1" xfId="0" applyFill="1" applyBorder="1"/>
    <xf numFmtId="167" fontId="21" fillId="2" borderId="1" xfId="0" applyNumberFormat="1" applyFont="1" applyFill="1" applyBorder="1" applyAlignment="1">
      <alignment horizontal="right" vertical="center"/>
    </xf>
    <xf numFmtId="173" fontId="17" fillId="5" borderId="1" xfId="0" applyNumberFormat="1" applyFont="1" applyFill="1" applyBorder="1" applyAlignment="1">
      <alignment horizontal="left" vertical="center"/>
    </xf>
    <xf numFmtId="0" fontId="21" fillId="13" borderId="1" xfId="0" applyFont="1" applyFill="1" applyBorder="1"/>
    <xf numFmtId="0" fontId="0" fillId="13" borderId="1" xfId="0" applyFill="1" applyBorder="1"/>
    <xf numFmtId="167" fontId="21" fillId="13" borderId="1" xfId="0" applyNumberFormat="1" applyFont="1" applyFill="1" applyBorder="1" applyAlignment="1">
      <alignment horizontal="right" vertical="center"/>
    </xf>
    <xf numFmtId="0" fontId="21" fillId="15" borderId="1" xfId="0" applyFont="1" applyFill="1" applyBorder="1"/>
    <xf numFmtId="0" fontId="0" fillId="15" borderId="1" xfId="0" applyFill="1" applyBorder="1"/>
    <xf numFmtId="167" fontId="21" fillId="15" borderId="1" xfId="0" applyNumberFormat="1" applyFont="1" applyFill="1" applyBorder="1" applyAlignment="1">
      <alignment horizontal="right" vertical="center"/>
    </xf>
    <xf numFmtId="0" fontId="62" fillId="11" borderId="1" xfId="0" applyFont="1" applyFill="1" applyBorder="1"/>
    <xf numFmtId="166" fontId="4" fillId="11" borderId="1" xfId="0" applyNumberFormat="1" applyFont="1" applyFill="1" applyBorder="1" applyAlignment="1">
      <alignment horizontal="right" vertical="center"/>
    </xf>
    <xf numFmtId="0" fontId="0" fillId="11" borderId="1" xfId="0" applyFill="1" applyBorder="1"/>
    <xf numFmtId="167" fontId="62" fillId="11" borderId="1" xfId="0" applyNumberFormat="1" applyFont="1" applyFill="1" applyBorder="1" applyAlignment="1">
      <alignment horizontal="right" vertical="center"/>
    </xf>
    <xf numFmtId="0" fontId="51" fillId="0" borderId="0" xfId="0" applyFont="1"/>
    <xf numFmtId="0" fontId="63" fillId="2" borderId="1" xfId="0" applyFont="1" applyFill="1" applyBorder="1" applyAlignment="1">
      <alignment horizontal="center" vertical="center"/>
    </xf>
    <xf numFmtId="166" fontId="7" fillId="6" borderId="1" xfId="0" applyNumberFormat="1" applyFont="1" applyFill="1" applyBorder="1" applyAlignment="1">
      <alignment horizontal="right" vertical="center"/>
    </xf>
    <xf numFmtId="166" fontId="64" fillId="6" borderId="1" xfId="0" applyNumberFormat="1" applyFont="1" applyFill="1" applyBorder="1" applyAlignment="1">
      <alignment horizontal="right" vertical="center"/>
    </xf>
    <xf numFmtId="166" fontId="7" fillId="14" borderId="1" xfId="0" applyNumberFormat="1" applyFont="1" applyFill="1" applyBorder="1" applyAlignment="1">
      <alignment horizontal="right" vertical="center"/>
    </xf>
    <xf numFmtId="166" fontId="64" fillId="14" borderId="1" xfId="0" applyNumberFormat="1" applyFont="1" applyFill="1" applyBorder="1" applyAlignment="1">
      <alignment horizontal="right" vertical="center"/>
    </xf>
    <xf numFmtId="0" fontId="25" fillId="3" borderId="1" xfId="0" applyFont="1" applyFill="1" applyBorder="1"/>
    <xf numFmtId="167" fontId="25" fillId="3" borderId="1" xfId="0" applyNumberFormat="1" applyFont="1" applyFill="1" applyBorder="1" applyAlignment="1">
      <alignment horizontal="right" vertical="center"/>
    </xf>
    <xf numFmtId="166" fontId="4" fillId="3" borderId="1" xfId="0" applyNumberFormat="1" applyFont="1" applyFill="1" applyBorder="1"/>
    <xf numFmtId="166" fontId="19" fillId="3" borderId="1" xfId="0" applyNumberFormat="1" applyFont="1" applyFill="1" applyBorder="1" applyAlignment="1">
      <alignment horizontal="right" vertical="center"/>
    </xf>
    <xf numFmtId="0" fontId="0" fillId="3" borderId="1" xfId="0" applyFill="1" applyBorder="1"/>
    <xf numFmtId="0" fontId="25" fillId="11" borderId="1" xfId="0" applyFont="1" applyFill="1" applyBorder="1"/>
    <xf numFmtId="167" fontId="25" fillId="11" borderId="1" xfId="0" applyNumberFormat="1" applyFont="1" applyFill="1" applyBorder="1" applyAlignment="1">
      <alignment horizontal="right" vertical="center"/>
    </xf>
    <xf numFmtId="166" fontId="19" fillId="11" borderId="1" xfId="0" applyNumberFormat="1" applyFont="1" applyFill="1" applyBorder="1" applyAlignment="1">
      <alignment horizontal="right" vertical="center"/>
    </xf>
    <xf numFmtId="174" fontId="15" fillId="10" borderId="1" xfId="0" applyNumberFormat="1" applyFont="1" applyFill="1" applyBorder="1" applyAlignment="1">
      <alignment horizontal="right" vertical="center"/>
    </xf>
    <xf numFmtId="166" fontId="17" fillId="5" borderId="1" xfId="0" applyNumberFormat="1" applyFont="1" applyFill="1" applyBorder="1" applyAlignment="1">
      <alignment horizontal="right" vertical="center"/>
    </xf>
    <xf numFmtId="166" fontId="64" fillId="0" borderId="1" xfId="0" applyNumberFormat="1" applyFont="1" applyBorder="1" applyAlignment="1">
      <alignment horizontal="right" vertical="center"/>
    </xf>
    <xf numFmtId="174" fontId="15" fillId="6" borderId="1" xfId="0" applyNumberFormat="1" applyFont="1" applyFill="1" applyBorder="1" applyAlignment="1">
      <alignment horizontal="right" vertical="center"/>
    </xf>
    <xf numFmtId="0" fontId="38" fillId="15" borderId="1" xfId="0" applyFont="1" applyFill="1" applyBorder="1"/>
    <xf numFmtId="167" fontId="38" fillId="15" borderId="1" xfId="0" applyNumberFormat="1" applyFont="1" applyFill="1" applyBorder="1" applyAlignment="1">
      <alignment horizontal="right" vertical="center"/>
    </xf>
    <xf numFmtId="166" fontId="0" fillId="15" borderId="1" xfId="0" applyNumberFormat="1" applyFill="1" applyBorder="1"/>
    <xf numFmtId="166" fontId="36" fillId="15" borderId="1" xfId="0" applyNumberFormat="1" applyFont="1" applyFill="1" applyBorder="1" applyAlignment="1">
      <alignment horizontal="right" vertical="center"/>
    </xf>
    <xf numFmtId="0" fontId="65" fillId="11" borderId="1" xfId="0" applyFont="1" applyFill="1" applyBorder="1"/>
    <xf numFmtId="167" fontId="65" fillId="11" borderId="1" xfId="0" applyNumberFormat="1" applyFont="1" applyFill="1" applyBorder="1" applyAlignment="1">
      <alignment horizontal="right" vertical="center"/>
    </xf>
    <xf numFmtId="166" fontId="25" fillId="11" borderId="1" xfId="0" applyNumberFormat="1" applyFont="1" applyFill="1" applyBorder="1"/>
    <xf numFmtId="167" fontId="66" fillId="2" borderId="1" xfId="0" applyNumberFormat="1" applyFont="1" applyFill="1" applyBorder="1" applyAlignment="1">
      <alignment horizontal="right" vertical="center"/>
    </xf>
    <xf numFmtId="167" fontId="18" fillId="6" borderId="1" xfId="0" applyNumberFormat="1" applyFont="1" applyFill="1" applyBorder="1" applyAlignment="1">
      <alignment horizontal="right" vertical="center"/>
    </xf>
    <xf numFmtId="167" fontId="18" fillId="14" borderId="1" xfId="0" applyNumberFormat="1" applyFont="1" applyFill="1" applyBorder="1" applyAlignment="1">
      <alignment horizontal="right" vertical="center"/>
    </xf>
    <xf numFmtId="166" fontId="18" fillId="6" borderId="1" xfId="0" applyNumberFormat="1" applyFont="1" applyFill="1" applyBorder="1" applyAlignment="1">
      <alignment horizontal="right" vertical="center"/>
    </xf>
    <xf numFmtId="168" fontId="18" fillId="14" borderId="1" xfId="0" applyNumberFormat="1" applyFont="1" applyFill="1" applyBorder="1" applyAlignment="1">
      <alignment horizontal="right" vertical="center"/>
    </xf>
    <xf numFmtId="168" fontId="18" fillId="6" borderId="1" xfId="0" applyNumberFormat="1" applyFont="1" applyFill="1" applyBorder="1" applyAlignment="1">
      <alignment horizontal="right" vertical="center"/>
    </xf>
    <xf numFmtId="0" fontId="28" fillId="6" borderId="0" xfId="0" applyFont="1" applyFill="1" applyAlignment="1">
      <alignment horizontal="left" vertical="center"/>
    </xf>
    <xf numFmtId="0" fontId="27" fillId="11" borderId="4" xfId="0" applyFont="1" applyFill="1" applyBorder="1" applyAlignment="1">
      <alignment horizontal="center" vertical="center" wrapText="1"/>
    </xf>
    <xf numFmtId="0" fontId="33" fillId="6" borderId="4" xfId="0" applyFont="1" applyFill="1" applyBorder="1" applyAlignment="1">
      <alignment horizontal="left" vertical="center"/>
    </xf>
    <xf numFmtId="170" fontId="67" fillId="6" borderId="4" xfId="0" applyNumberFormat="1" applyFont="1" applyFill="1" applyBorder="1" applyAlignment="1">
      <alignment horizontal="right" vertical="center"/>
    </xf>
    <xf numFmtId="0" fontId="33" fillId="2" borderId="4" xfId="0" applyFont="1" applyFill="1" applyBorder="1" applyAlignment="1">
      <alignment horizontal="left" vertical="center"/>
    </xf>
    <xf numFmtId="170" fontId="67" fillId="2" borderId="4" xfId="0" applyNumberFormat="1" applyFont="1" applyFill="1" applyBorder="1" applyAlignment="1">
      <alignment horizontal="right" vertical="center"/>
    </xf>
    <xf numFmtId="0" fontId="29" fillId="17" borderId="4" xfId="0" applyFont="1" applyFill="1" applyBorder="1" applyAlignment="1">
      <alignment horizontal="center" vertical="center"/>
    </xf>
    <xf numFmtId="170" fontId="4" fillId="3" borderId="4" xfId="0" applyNumberFormat="1" applyFont="1" applyFill="1" applyBorder="1" applyAlignment="1">
      <alignment horizontal="right" vertical="center"/>
    </xf>
    <xf numFmtId="3" fontId="31" fillId="6" borderId="4" xfId="0" applyNumberFormat="1" applyFont="1" applyFill="1" applyBorder="1" applyAlignment="1">
      <alignment horizontal="right" vertical="center"/>
    </xf>
    <xf numFmtId="0" fontId="68" fillId="6" borderId="4" xfId="0" applyFont="1" applyFill="1" applyBorder="1" applyAlignment="1">
      <alignment horizontal="center" vertical="center"/>
    </xf>
    <xf numFmtId="0" fontId="31" fillId="18" borderId="4" xfId="0" applyFont="1" applyFill="1" applyBorder="1" applyAlignment="1">
      <alignment horizontal="center" vertical="center"/>
    </xf>
    <xf numFmtId="0" fontId="69" fillId="12" borderId="4" xfId="0" applyFont="1" applyFill="1" applyBorder="1" applyAlignment="1">
      <alignment horizontal="left" vertical="center"/>
    </xf>
    <xf numFmtId="3" fontId="31" fillId="2" borderId="4" xfId="0" applyNumberFormat="1" applyFont="1" applyFill="1" applyBorder="1" applyAlignment="1">
      <alignment horizontal="right" vertical="center"/>
    </xf>
    <xf numFmtId="0" fontId="68" fillId="2" borderId="4" xfId="0" applyFont="1" applyFill="1" applyBorder="1" applyAlignment="1">
      <alignment horizontal="center" vertical="center"/>
    </xf>
    <xf numFmtId="49" fontId="31" fillId="6" borderId="4" xfId="0" applyNumberFormat="1" applyFont="1" applyFill="1" applyBorder="1" applyAlignment="1">
      <alignment horizontal="right" vertical="center"/>
    </xf>
    <xf numFmtId="49" fontId="31" fillId="2" borderId="4" xfId="0" applyNumberFormat="1" applyFont="1" applyFill="1" applyBorder="1" applyAlignment="1">
      <alignment horizontal="right" vertical="center"/>
    </xf>
    <xf numFmtId="0" fontId="68" fillId="6" borderId="4" xfId="0" applyFont="1" applyFill="1" applyBorder="1" applyAlignment="1">
      <alignment horizontal="left" vertical="center"/>
    </xf>
    <xf numFmtId="0" fontId="67" fillId="6" borderId="4" xfId="0" applyFont="1" applyFill="1" applyBorder="1" applyAlignment="1">
      <alignment horizontal="right" vertical="center"/>
    </xf>
    <xf numFmtId="0" fontId="68" fillId="2" borderId="4" xfId="0" applyFont="1" applyFill="1" applyBorder="1" applyAlignment="1">
      <alignment horizontal="left" vertical="center"/>
    </xf>
    <xf numFmtId="0" fontId="67" fillId="2" borderId="4" xfId="0" applyFont="1" applyFill="1" applyBorder="1" applyAlignment="1">
      <alignment horizontal="right" vertical="center"/>
    </xf>
    <xf numFmtId="0" fontId="4" fillId="3" borderId="4" xfId="0" applyFont="1" applyFill="1" applyBorder="1" applyAlignment="1">
      <alignment horizontal="right" vertical="center"/>
    </xf>
    <xf numFmtId="0" fontId="70" fillId="18" borderId="4" xfId="0" applyFont="1" applyFill="1" applyBorder="1" applyAlignment="1">
      <alignment horizontal="center" vertical="center"/>
    </xf>
    <xf numFmtId="0" fontId="33" fillId="18" borderId="4" xfId="0" applyFont="1" applyFill="1" applyBorder="1" applyAlignment="1">
      <alignment horizontal="left" vertical="center"/>
    </xf>
    <xf numFmtId="0" fontId="35" fillId="18" borderId="4" xfId="0" applyFont="1" applyFill="1" applyBorder="1" applyAlignment="1">
      <alignment horizontal="left" vertical="center" wrapText="1"/>
    </xf>
    <xf numFmtId="0" fontId="28" fillId="18" borderId="4" xfId="0" applyFont="1" applyFill="1" applyBorder="1" applyAlignment="1">
      <alignment horizontal="left" vertical="center"/>
    </xf>
    <xf numFmtId="0" fontId="70" fillId="2" borderId="4" xfId="0" applyFont="1" applyFill="1" applyBorder="1" applyAlignment="1">
      <alignment horizontal="center" vertical="center"/>
    </xf>
    <xf numFmtId="0" fontId="31" fillId="17" borderId="4" xfId="0" applyFont="1" applyFill="1" applyBorder="1" applyAlignment="1">
      <alignment horizontal="center" vertical="center"/>
    </xf>
    <xf numFmtId="0" fontId="70" fillId="6" borderId="4" xfId="0" applyFont="1" applyFill="1" applyBorder="1" applyAlignment="1">
      <alignment horizontal="center" vertical="center"/>
    </xf>
    <xf numFmtId="0" fontId="32" fillId="12" borderId="4" xfId="0" applyFont="1" applyFill="1" applyBorder="1" applyAlignment="1">
      <alignment horizontal="left" vertical="center"/>
    </xf>
    <xf numFmtId="170" fontId="32" fillId="12" borderId="4" xfId="0" applyNumberFormat="1" applyFont="1" applyFill="1" applyBorder="1" applyAlignment="1">
      <alignment horizontal="right" vertical="center"/>
    </xf>
    <xf numFmtId="0" fontId="27" fillId="11" borderId="4" xfId="0" applyFont="1" applyFill="1" applyBorder="1" applyAlignment="1">
      <alignment horizontal="center" vertical="center"/>
    </xf>
    <xf numFmtId="0" fontId="30" fillId="6" borderId="4" xfId="0" applyFont="1" applyFill="1" applyBorder="1" applyAlignment="1">
      <alignment horizontal="left" vertical="center" wrapText="1"/>
    </xf>
    <xf numFmtId="0" fontId="30" fillId="2" borderId="4" xfId="0" applyFont="1" applyFill="1" applyBorder="1" applyAlignment="1">
      <alignment horizontal="left" vertical="center" wrapText="1"/>
    </xf>
    <xf numFmtId="0" fontId="68" fillId="14" borderId="1" xfId="0" applyFont="1" applyFill="1" applyBorder="1" applyAlignment="1">
      <alignment horizontal="center" vertical="center"/>
    </xf>
    <xf numFmtId="0" fontId="0" fillId="14" borderId="1" xfId="0" applyFill="1" applyBorder="1"/>
    <xf numFmtId="0" fontId="68" fillId="6" borderId="1" xfId="0" applyFont="1" applyFill="1" applyBorder="1" applyAlignment="1">
      <alignment horizontal="center" vertical="center"/>
    </xf>
    <xf numFmtId="0" fontId="0" fillId="6" borderId="1" xfId="0" applyFill="1" applyBorder="1"/>
    <xf numFmtId="0" fontId="18" fillId="7" borderId="1" xfId="0" applyFont="1" applyFill="1" applyBorder="1" applyAlignment="1">
      <alignment horizontal="right" vertical="center"/>
    </xf>
    <xf numFmtId="166" fontId="23" fillId="5" borderId="1" xfId="0" applyNumberFormat="1" applyFont="1" applyFill="1" applyBorder="1" applyAlignment="1">
      <alignment horizontal="center" vertical="center"/>
    </xf>
    <xf numFmtId="166" fontId="24" fillId="6" borderId="1" xfId="0" applyNumberFormat="1" applyFont="1" applyFill="1" applyBorder="1"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3" fontId="17" fillId="5" borderId="1" xfId="0" applyNumberFormat="1" applyFont="1" applyFill="1" applyBorder="1" applyAlignment="1">
      <alignment horizontal="center" vertical="center"/>
    </xf>
    <xf numFmtId="0" fontId="9" fillId="15" borderId="1" xfId="0" applyFont="1" applyFill="1" applyBorder="1" applyAlignment="1">
      <alignment horizontal="right" vertical="center" wrapText="1"/>
    </xf>
    <xf numFmtId="168" fontId="17" fillId="5" borderId="1" xfId="0" applyNumberFormat="1" applyFont="1" applyFill="1" applyBorder="1" applyAlignment="1">
      <alignment horizontal="right" vertical="center"/>
    </xf>
    <xf numFmtId="0" fontId="0" fillId="0" borderId="0" xfId="0" applyAlignment="1">
      <alignment horizontal="right"/>
    </xf>
    <xf numFmtId="171" fontId="20" fillId="6" borderId="1" xfId="0" applyNumberFormat="1" applyFont="1" applyFill="1" applyBorder="1" applyAlignment="1">
      <alignment horizontal="center" vertical="center"/>
    </xf>
    <xf numFmtId="49" fontId="20" fillId="6" borderId="1" xfId="0" applyNumberFormat="1" applyFont="1" applyFill="1" applyBorder="1" applyAlignment="1">
      <alignment horizontal="center" vertical="center"/>
    </xf>
    <xf numFmtId="0" fontId="0" fillId="0" borderId="0" xfId="0" applyAlignment="1">
      <alignment horizontal="center" vertical="center"/>
    </xf>
    <xf numFmtId="0" fontId="3" fillId="13" borderId="0" xfId="0" applyFont="1" applyFill="1"/>
    <xf numFmtId="0" fontId="49" fillId="14" borderId="1" xfId="0" applyFont="1" applyFill="1" applyBorder="1" applyAlignment="1">
      <alignment horizontal="center"/>
    </xf>
    <xf numFmtId="0" fontId="49" fillId="6" borderId="1" xfId="0" applyFont="1" applyFill="1" applyBorder="1" applyAlignment="1">
      <alignment horizontal="center"/>
    </xf>
    <xf numFmtId="0" fontId="9" fillId="2" borderId="1" xfId="0" applyFont="1" applyFill="1" applyBorder="1" applyAlignment="1">
      <alignment horizontal="right" vertical="center" wrapText="1"/>
    </xf>
    <xf numFmtId="167" fontId="17" fillId="5" borderId="1" xfId="0" applyNumberFormat="1" applyFont="1" applyFill="1" applyBorder="1" applyAlignment="1">
      <alignment horizontal="right" vertical="center"/>
    </xf>
    <xf numFmtId="0" fontId="7" fillId="14" borderId="1" xfId="0" applyFont="1" applyFill="1" applyBorder="1" applyAlignment="1">
      <alignment wrapText="1"/>
    </xf>
    <xf numFmtId="0" fontId="7" fillId="6" borderId="1" xfId="0" applyFont="1" applyFill="1" applyBorder="1" applyAlignment="1">
      <alignment wrapText="1"/>
    </xf>
    <xf numFmtId="0" fontId="13" fillId="14" borderId="1" xfId="0" applyFont="1" applyFill="1" applyBorder="1" applyAlignment="1">
      <alignment wrapText="1"/>
    </xf>
    <xf numFmtId="0" fontId="13" fillId="6" borderId="1" xfId="0" applyFont="1" applyFill="1" applyBorder="1" applyAlignment="1">
      <alignment wrapText="1"/>
    </xf>
    <xf numFmtId="0" fontId="7" fillId="15" borderId="1" xfId="0" applyFont="1" applyFill="1" applyBorder="1" applyAlignment="1">
      <alignment wrapText="1"/>
    </xf>
    <xf numFmtId="0" fontId="9" fillId="13" borderId="1" xfId="0" applyFont="1" applyFill="1" applyBorder="1" applyAlignment="1">
      <alignment horizontal="right" vertical="center" wrapText="1"/>
    </xf>
    <xf numFmtId="0" fontId="28" fillId="15" borderId="4" xfId="0" applyFont="1" applyFill="1" applyBorder="1" applyAlignment="1">
      <alignment horizontal="right"/>
    </xf>
    <xf numFmtId="0" fontId="3" fillId="14" borderId="1" xfId="0" applyFont="1" applyFill="1" applyBorder="1" applyAlignment="1">
      <alignment wrapText="1"/>
    </xf>
    <xf numFmtId="0" fontId="3" fillId="6" borderId="1" xfId="0" applyFont="1" applyFill="1" applyBorder="1" applyAlignment="1">
      <alignment wrapText="1"/>
    </xf>
    <xf numFmtId="0" fontId="28" fillId="15" borderId="4" xfId="0" applyFont="1" applyFill="1" applyBorder="1" applyAlignment="1">
      <alignment wrapText="1"/>
    </xf>
    <xf numFmtId="0" fontId="28" fillId="15" borderId="4" xfId="0" applyFont="1" applyFill="1" applyBorder="1" applyAlignment="1">
      <alignment horizontal="center"/>
    </xf>
    <xf numFmtId="0" fontId="33" fillId="6" borderId="4" xfId="0" applyFont="1" applyFill="1" applyBorder="1" applyAlignment="1">
      <alignment horizontal="left" vertical="center" wrapText="1"/>
    </xf>
    <xf numFmtId="0" fontId="33" fillId="2" borderId="4" xfId="0" applyFont="1" applyFill="1" applyBorder="1" applyAlignment="1">
      <alignment horizontal="left" vertical="center" wrapText="1"/>
    </xf>
    <xf numFmtId="0" fontId="31" fillId="6" borderId="4" xfId="0" applyFont="1" applyFill="1" applyBorder="1" applyAlignment="1">
      <alignment horizontal="left" vertical="center" wrapText="1"/>
    </xf>
    <xf numFmtId="0" fontId="31" fillId="18" borderId="4" xfId="0" applyFont="1" applyFill="1" applyBorder="1" applyAlignment="1">
      <alignment horizontal="left" vertical="center" wrapText="1"/>
    </xf>
    <xf numFmtId="0" fontId="31" fillId="2" borderId="4" xfId="0" applyFont="1" applyFill="1" applyBorder="1" applyAlignment="1">
      <alignment horizontal="left" vertical="center" wrapText="1"/>
    </xf>
    <xf numFmtId="0" fontId="29" fillId="18" borderId="4" xfId="0" applyFont="1" applyFill="1" applyBorder="1" applyAlignment="1">
      <alignment horizontal="center" vertical="center" wrapText="1"/>
    </xf>
    <xf numFmtId="0" fontId="69" fillId="12" borderId="4" xfId="0" applyFont="1" applyFill="1" applyBorder="1" applyAlignment="1">
      <alignment horizontal="left" vertical="center" wrapText="1"/>
    </xf>
    <xf numFmtId="0" fontId="7" fillId="14" borderId="1" xfId="0" applyFont="1" applyFill="1" applyBorder="1" applyAlignment="1">
      <alignment horizontal="center"/>
    </xf>
    <xf numFmtId="0" fontId="7" fillId="6" borderId="1" xfId="0" applyFont="1" applyFill="1" applyBorder="1" applyAlignment="1">
      <alignment horizontal="center"/>
    </xf>
    <xf numFmtId="0" fontId="7" fillId="0" borderId="0" xfId="0" applyFont="1"/>
    <xf numFmtId="0" fontId="13" fillId="10" borderId="2" xfId="0" applyFont="1" applyFill="1" applyBorder="1" applyAlignment="1">
      <alignment horizontal="left" vertical="center" wrapText="1"/>
    </xf>
    <xf numFmtId="0" fontId="4" fillId="4"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3" borderId="0" xfId="0" applyFont="1" applyFill="1" applyAlignment="1">
      <alignment horizontal="center" vertical="center"/>
    </xf>
    <xf numFmtId="0" fontId="4" fillId="11" borderId="0" xfId="0" applyFont="1" applyFill="1" applyAlignment="1">
      <alignment horizontal="left" vertical="center"/>
    </xf>
    <xf numFmtId="0" fontId="19" fillId="3" borderId="0" xfId="0" applyFont="1" applyFill="1" applyAlignment="1">
      <alignment horizontal="left" vertical="center"/>
    </xf>
    <xf numFmtId="0" fontId="19" fillId="11" borderId="0" xfId="0" applyFont="1" applyFill="1" applyAlignment="1">
      <alignment horizontal="left" vertical="center"/>
    </xf>
    <xf numFmtId="0" fontId="9" fillId="10" borderId="0" xfId="0" applyFont="1" applyFill="1" applyAlignment="1">
      <alignment horizontal="left" vertical="center"/>
    </xf>
    <xf numFmtId="0" fontId="19" fillId="4" borderId="0" xfId="0" applyFont="1" applyFill="1" applyAlignment="1">
      <alignment horizontal="left" vertical="center"/>
    </xf>
    <xf numFmtId="0" fontId="4" fillId="3" borderId="0" xfId="0" applyFont="1" applyFill="1" applyAlignment="1">
      <alignment horizontal="left" vertical="center"/>
    </xf>
    <xf numFmtId="0" fontId="13" fillId="15" borderId="0" xfId="0" applyFont="1" applyFill="1" applyAlignment="1">
      <alignment horizontal="left" vertical="center" wrapText="1"/>
    </xf>
    <xf numFmtId="0" fontId="27" fillId="11" borderId="3" xfId="0" applyFont="1" applyFill="1" applyBorder="1" applyAlignment="1">
      <alignment horizontal="left" vertical="center"/>
    </xf>
    <xf numFmtId="0" fontId="26" fillId="17" borderId="3" xfId="0" applyFont="1" applyFill="1" applyBorder="1" applyAlignment="1">
      <alignment horizontal="left" vertical="center"/>
    </xf>
    <xf numFmtId="0" fontId="25" fillId="16" borderId="7" xfId="0" applyFont="1" applyFill="1" applyBorder="1" applyAlignment="1">
      <alignment horizontal="left" vertical="center" wrapText="1"/>
    </xf>
    <xf numFmtId="0" fontId="25" fillId="16" borderId="0" xfId="0" applyFont="1" applyFill="1" applyAlignment="1">
      <alignment horizontal="left" vertical="center" wrapText="1"/>
    </xf>
    <xf numFmtId="0" fontId="28" fillId="2" borderId="4" xfId="0" applyFont="1" applyFill="1" applyBorder="1" applyAlignment="1">
      <alignment horizontal="left" vertical="center"/>
    </xf>
    <xf numFmtId="0" fontId="0" fillId="0" borderId="0" xfId="0"/>
    <xf numFmtId="0" fontId="26" fillId="17" borderId="3" xfId="0" applyFont="1" applyFill="1" applyBorder="1" applyAlignment="1">
      <alignment horizontal="left" vertical="center" wrapText="1"/>
    </xf>
    <xf numFmtId="0" fontId="19" fillId="3" borderId="3" xfId="0" applyFont="1" applyFill="1" applyBorder="1" applyAlignment="1">
      <alignment horizontal="left" vertical="center"/>
    </xf>
    <xf numFmtId="0" fontId="25" fillId="16" borderId="3" xfId="0" applyFont="1" applyFill="1" applyBorder="1" applyAlignment="1">
      <alignment horizontal="left" vertical="center"/>
    </xf>
    <xf numFmtId="0" fontId="28" fillId="6" borderId="4" xfId="0" applyFont="1" applyFill="1" applyBorder="1" applyAlignment="1">
      <alignment horizontal="left" vertical="center"/>
    </xf>
    <xf numFmtId="0" fontId="4" fillId="4" borderId="0" xfId="0" applyFont="1" applyFill="1" applyAlignment="1">
      <alignment horizontal="left" vertical="center"/>
    </xf>
    <xf numFmtId="0" fontId="38" fillId="0" borderId="0" xfId="0" applyFont="1"/>
    <xf numFmtId="0" fontId="40" fillId="0" borderId="0" xfId="0" applyFont="1"/>
    <xf numFmtId="49" fontId="43" fillId="7" borderId="1" xfId="0" applyNumberFormat="1" applyFont="1" applyFill="1" applyBorder="1" applyAlignment="1">
      <alignment horizontal="right" vertical="center"/>
    </xf>
    <xf numFmtId="49" fontId="44" fillId="7" borderId="1" xfId="0" applyNumberFormat="1" applyFont="1" applyFill="1" applyBorder="1" applyAlignment="1">
      <alignment horizontal="right" vertical="center"/>
    </xf>
    <xf numFmtId="0" fontId="49" fillId="0" borderId="6" xfId="0" applyFont="1" applyBorder="1"/>
    <xf numFmtId="0" fontId="49" fillId="0" borderId="6" xfId="0" applyFont="1" applyBorder="1" applyAlignment="1">
      <alignment wrapText="1"/>
    </xf>
    <xf numFmtId="0" fontId="50" fillId="15" borderId="0" xfId="0" applyFont="1" applyFill="1" applyAlignment="1">
      <alignment horizontal="left" vertical="center" wrapText="1"/>
    </xf>
    <xf numFmtId="0" fontId="51" fillId="13" borderId="0" xfId="0" applyFont="1" applyFill="1"/>
    <xf numFmtId="0" fontId="49" fillId="15" borderId="0" xfId="0" applyFont="1" applyFill="1" applyAlignment="1">
      <alignment horizontal="left" vertical="center" wrapText="1"/>
    </xf>
    <xf numFmtId="0" fontId="49" fillId="13" borderId="0" xfId="0" applyFont="1" applyFill="1" applyAlignment="1">
      <alignment horizontal="left" vertical="center" wrapText="1"/>
    </xf>
    <xf numFmtId="0" fontId="55" fillId="0" borderId="0" xfId="0" applyFont="1"/>
    <xf numFmtId="0" fontId="4" fillId="19" borderId="0" xfId="0" applyFont="1" applyFill="1" applyAlignment="1">
      <alignment horizontal="left" vertical="center"/>
    </xf>
    <xf numFmtId="0" fontId="49" fillId="20" borderId="0" xfId="0" applyFont="1" applyFill="1" applyAlignment="1">
      <alignment horizontal="left" vertical="center" wrapText="1"/>
    </xf>
    <xf numFmtId="0" fontId="3" fillId="15" borderId="6" xfId="0" applyFont="1" applyFill="1" applyBorder="1" applyAlignment="1">
      <alignment horizontal="left" vertical="center" wrapText="1"/>
    </xf>
    <xf numFmtId="0" fontId="19" fillId="19" borderId="0" xfId="0" applyFont="1" applyFill="1" applyAlignment="1">
      <alignment horizontal="left" vertical="center"/>
    </xf>
    <xf numFmtId="0" fontId="58" fillId="10" borderId="0" xfId="0" applyFont="1" applyFill="1" applyAlignment="1">
      <alignment horizontal="left" vertical="center"/>
    </xf>
    <xf numFmtId="0" fontId="51" fillId="13" borderId="6" xfId="0" applyFont="1" applyFill="1" applyBorder="1"/>
    <xf numFmtId="0" fontId="27" fillId="4" borderId="0" xfId="0" applyFont="1" applyFill="1" applyAlignment="1">
      <alignment horizontal="left" vertical="center"/>
    </xf>
    <xf numFmtId="0" fontId="3" fillId="15" borderId="6" xfId="0" applyFont="1" applyFill="1" applyBorder="1" applyAlignment="1">
      <alignment wrapText="1"/>
    </xf>
    <xf numFmtId="0" fontId="7" fillId="14" borderId="6" xfId="0" applyFont="1" applyFill="1" applyBorder="1"/>
    <xf numFmtId="0" fontId="7" fillId="6" borderId="6" xfId="0" applyFont="1" applyFill="1" applyBorder="1"/>
    <xf numFmtId="0" fontId="7" fillId="6" borderId="6" xfId="0" applyFont="1" applyFill="1" applyBorder="1" applyAlignment="1">
      <alignment horizontal="left" vertical="center"/>
    </xf>
    <xf numFmtId="0" fontId="7" fillId="14" borderId="6" xfId="0" applyFont="1" applyFill="1" applyBorder="1" applyAlignment="1">
      <alignment horizontal="left" vertical="center"/>
    </xf>
    <xf numFmtId="0" fontId="60" fillId="15" borderId="6" xfId="0" applyFont="1" applyFill="1" applyBorder="1" applyAlignment="1">
      <alignment horizontal="left" vertical="center"/>
    </xf>
    <xf numFmtId="0" fontId="3" fillId="14" borderId="6" xfId="0" applyFont="1" applyFill="1" applyBorder="1" applyAlignment="1">
      <alignment horizontal="left" vertical="center" wrapText="1"/>
    </xf>
    <xf numFmtId="0" fontId="3" fillId="15" borderId="0" xfId="0" applyFont="1" applyFill="1" applyAlignment="1">
      <alignment horizontal="left" vertical="center" wrapText="1"/>
    </xf>
    <xf numFmtId="0" fontId="3" fillId="2" borderId="0" xfId="0" applyFont="1" applyFill="1" applyAlignment="1">
      <alignment horizontal="left" vertical="center" wrapText="1"/>
    </xf>
    <xf numFmtId="0" fontId="3" fillId="6" borderId="6" xfId="0" applyFont="1" applyFill="1" applyBorder="1" applyAlignment="1">
      <alignment horizontal="left" vertical="center" wrapText="1"/>
    </xf>
    <xf numFmtId="0" fontId="63" fillId="10" borderId="0" xfId="0" applyFont="1" applyFill="1" applyAlignment="1">
      <alignment horizontal="left" vertical="center"/>
    </xf>
    <xf numFmtId="0" fontId="3" fillId="2" borderId="6" xfId="0" applyFont="1" applyFill="1" applyBorder="1" applyAlignment="1">
      <alignment horizontal="left" vertical="center" wrapText="1"/>
    </xf>
    <xf numFmtId="0" fontId="21" fillId="7" borderId="6" xfId="0" applyFont="1" applyFill="1" applyBorder="1" applyAlignment="1">
      <alignment horizontal="left" vertical="center"/>
    </xf>
    <xf numFmtId="0" fontId="71" fillId="16" borderId="3" xfId="0" applyFont="1" applyFill="1" applyBorder="1" applyAlignment="1">
      <alignment horizontal="center" vertical="center"/>
    </xf>
    <xf numFmtId="0" fontId="35" fillId="2" borderId="3" xfId="0" applyFont="1" applyFill="1" applyBorder="1" applyAlignment="1">
      <alignment horizontal="left" vertical="center" wrapText="1"/>
    </xf>
    <xf numFmtId="0" fontId="35" fillId="6" borderId="3" xfId="0" applyFont="1" applyFill="1" applyBorder="1" applyAlignment="1">
      <alignment horizontal="left" vertical="center" wrapText="1"/>
    </xf>
    <xf numFmtId="0" fontId="19" fillId="16" borderId="3" xfId="0" applyFont="1" applyFill="1" applyBorder="1" applyAlignment="1">
      <alignment horizontal="left" vertical="center"/>
    </xf>
    <xf numFmtId="0" fontId="35" fillId="17" borderId="3" xfId="0" applyFont="1" applyFill="1" applyBorder="1" applyAlignment="1">
      <alignment horizontal="left" vertical="center" wrapText="1"/>
    </xf>
    <xf numFmtId="0" fontId="33" fillId="17" borderId="3" xfId="0" applyFont="1" applyFill="1" applyBorder="1" applyAlignment="1">
      <alignment horizontal="left" vertical="center"/>
    </xf>
    <xf numFmtId="0" fontId="46" fillId="16" borderId="3" xfId="0" applyFont="1" applyFill="1" applyBorder="1" applyAlignment="1">
      <alignment horizontal="center" vertical="center"/>
    </xf>
    <xf numFmtId="0" fontId="19" fillId="11" borderId="3" xfId="0" applyFont="1" applyFill="1" applyBorder="1" applyAlignment="1">
      <alignment horizontal="center" vertical="center"/>
    </xf>
    <xf numFmtId="0" fontId="35" fillId="17" borderId="3" xfId="0" applyFont="1" applyFill="1" applyBorder="1" applyAlignment="1">
      <alignment horizontal="center" vertical="center"/>
    </xf>
    <xf numFmtId="0" fontId="7" fillId="13" borderId="6" xfId="0" applyFont="1" applyFill="1" applyBorder="1"/>
    <xf numFmtId="0" fontId="49"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400"/>
      <rgbColor rgb="FF000080"/>
      <rgbColor rgb="FF806000"/>
      <rgbColor rgb="FF800080"/>
      <rgbColor rgb="FF0F6E56"/>
      <rgbColor rgb="FFCCCCCC"/>
      <rgbColor rgb="FF555550"/>
      <rgbColor rgb="FFAFA9EC"/>
      <rgbColor rgb="FF854F0B"/>
      <rgbColor rgb="FFFFF8E1"/>
      <rgbColor rgb="FFE1F5EE"/>
      <rgbColor rgb="FF660066"/>
      <rgbColor rgb="FFF8F7F5"/>
      <rgbColor rgb="FF0066CC"/>
      <rgbColor rgb="FFD3D1C7"/>
      <rgbColor rgb="FF00008B"/>
      <rgbColor rgb="FFFF00FF"/>
      <rgbColor rgb="FFFFFFF0"/>
      <rgbColor rgb="FF00FFFF"/>
      <rgbColor rgb="FF800080"/>
      <rgbColor rgb="FF800000"/>
      <rgbColor rgb="FF196B23"/>
      <rgbColor rgb="FF0000FF"/>
      <rgbColor rgb="FF00CCFF"/>
      <rgbColor rgb="FFF0FAF6"/>
      <rgbColor rgb="FFEAF3DE"/>
      <rgbColor rgb="FFFAEEDA"/>
      <rgbColor rgb="FFEEEDFE"/>
      <rgbColor rgb="FFFFEEEE"/>
      <rgbColor rgb="FFF1EFE8"/>
      <rgbColor rgb="FFFAECE7"/>
      <rgbColor rgb="FF534AB7"/>
      <rgbColor rgb="FF33CCCC"/>
      <rgbColor rgb="FFFFF8F8"/>
      <rgbColor rgb="FFF5F4F0"/>
      <rgbColor rgb="FFFF9900"/>
      <rgbColor rgb="FFFF6600"/>
      <rgbColor rgb="FF5F5E5A"/>
      <rgbColor rgb="FFB4B2A9"/>
      <rgbColor rgb="FF444441"/>
      <rgbColor rgb="FF339966"/>
      <rgbColor rgb="FF003300"/>
      <rgbColor rgb="FF1B1B24"/>
      <rgbColor rgb="FF993C1D"/>
      <rgbColor rgb="FF993366"/>
      <rgbColor rgb="FF3C348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4</xdr:col>
      <xdr:colOff>238125</xdr:colOff>
      <xdr:row>0</xdr:row>
      <xdr:rowOff>619124</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91880" y="27359"/>
          <a:ext cx="6913770" cy="59176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4</xdr:col>
      <xdr:colOff>532080</xdr:colOff>
      <xdr:row>1</xdr:row>
      <xdr:rowOff>5760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7</xdr:col>
      <xdr:colOff>739800</xdr:colOff>
      <xdr:row>1</xdr:row>
      <xdr:rowOff>5760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3134</xdr:colOff>
      <xdr:row>0</xdr:row>
      <xdr:rowOff>9525</xdr:rowOff>
    </xdr:from>
    <xdr:to>
      <xdr:col>8</xdr:col>
      <xdr:colOff>514350</xdr:colOff>
      <xdr:row>1</xdr:row>
      <xdr:rowOff>19050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36484" y="9525"/>
          <a:ext cx="8045491" cy="638175"/>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12660</xdr:colOff>
      <xdr:row>0</xdr:row>
      <xdr:rowOff>27359</xdr:rowOff>
    </xdr:from>
    <xdr:to>
      <xdr:col>8</xdr:col>
      <xdr:colOff>2952750</xdr:colOff>
      <xdr:row>1</xdr:row>
      <xdr:rowOff>9524</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46010" y="27359"/>
          <a:ext cx="7940715" cy="610815"/>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191879</xdr:colOff>
      <xdr:row>0</xdr:row>
      <xdr:rowOff>27359</xdr:rowOff>
    </xdr:from>
    <xdr:to>
      <xdr:col>6</xdr:col>
      <xdr:colOff>123824</xdr:colOff>
      <xdr:row>1</xdr:row>
      <xdr:rowOff>9524</xdr:rowOff>
    </xdr:to>
    <xdr:pic>
      <xdr:nvPicPr>
        <xdr:cNvPr id="5" name="Image 1"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191879" y="27359"/>
          <a:ext cx="6828045" cy="610815"/>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10905</xdr:colOff>
      <xdr:row>0</xdr:row>
      <xdr:rowOff>0</xdr:rowOff>
    </xdr:from>
    <xdr:to>
      <xdr:col>8</xdr:col>
      <xdr:colOff>371475</xdr:colOff>
      <xdr:row>1</xdr:row>
      <xdr:rowOff>0</xdr:rowOff>
    </xdr:to>
    <xdr:pic>
      <xdr:nvPicPr>
        <xdr:cNvPr id="6" name="Image 1"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xdr:blipFill>
      <xdr:spPr>
        <a:xfrm>
          <a:off x="210930" y="0"/>
          <a:ext cx="6761370" cy="62865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20429</xdr:colOff>
      <xdr:row>0</xdr:row>
      <xdr:rowOff>27360</xdr:rowOff>
    </xdr:from>
    <xdr:to>
      <xdr:col>4</xdr:col>
      <xdr:colOff>3438525</xdr:colOff>
      <xdr:row>1</xdr:row>
      <xdr:rowOff>0</xdr:rowOff>
    </xdr:to>
    <xdr:pic>
      <xdr:nvPicPr>
        <xdr:cNvPr id="7" name="Image 1"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1"/>
        <a:stretch/>
      </xdr:blipFill>
      <xdr:spPr>
        <a:xfrm>
          <a:off x="220454" y="27360"/>
          <a:ext cx="7218571" cy="60129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1378</xdr:colOff>
      <xdr:row>0</xdr:row>
      <xdr:rowOff>8310</xdr:rowOff>
    </xdr:from>
    <xdr:to>
      <xdr:col>5</xdr:col>
      <xdr:colOff>771524</xdr:colOff>
      <xdr:row>1</xdr:row>
      <xdr:rowOff>9525</xdr:rowOff>
    </xdr:to>
    <xdr:pic>
      <xdr:nvPicPr>
        <xdr:cNvPr id="8" name="Image 1"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1"/>
        <a:stretch/>
      </xdr:blipFill>
      <xdr:spPr>
        <a:xfrm>
          <a:off x="201403" y="8310"/>
          <a:ext cx="6513721" cy="629865"/>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228600</xdr:colOff>
      <xdr:row>1</xdr:row>
      <xdr:rowOff>0</xdr:rowOff>
    </xdr:to>
    <xdr:pic>
      <xdr:nvPicPr>
        <xdr:cNvPr id="9" name="Image 1" descr="Picture">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1"/>
        <a:stretch/>
      </xdr:blipFill>
      <xdr:spPr>
        <a:xfrm>
          <a:off x="191880" y="27360"/>
          <a:ext cx="6618495" cy="60129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59985</xdr:colOff>
      <xdr:row>1</xdr:row>
      <xdr:rowOff>5760</xdr:rowOff>
    </xdr:to>
    <xdr:pic>
      <xdr:nvPicPr>
        <xdr:cNvPr id="10" name="Image 1" descr="Picture">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a:stretch/>
      </xdr:blipFill>
      <xdr:spPr>
        <a:xfrm>
          <a:off x="191880" y="27360"/>
          <a:ext cx="6398280" cy="4546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6</xdr:col>
      <xdr:colOff>1219200</xdr:colOff>
      <xdr:row>1</xdr:row>
      <xdr:rowOff>9524</xdr:rowOff>
    </xdr:to>
    <xdr:pic>
      <xdr:nvPicPr>
        <xdr:cNvPr id="11" name="Image 1" descr="Picture">
          <a:extLst>
            <a:ext uri="{FF2B5EF4-FFF2-40B4-BE49-F238E27FC236}">
              <a16:creationId xmlns:a16="http://schemas.microsoft.com/office/drawing/2014/main" id="{00000000-0008-0000-0B00-00000B000000}"/>
            </a:ext>
          </a:extLst>
        </xdr:cNvPr>
        <xdr:cNvPicPr/>
      </xdr:nvPicPr>
      <xdr:blipFill>
        <a:blip xmlns:r="http://schemas.openxmlformats.org/officeDocument/2006/relationships" r:embed="rId1"/>
        <a:stretch/>
      </xdr:blipFill>
      <xdr:spPr>
        <a:xfrm>
          <a:off x="191880" y="27359"/>
          <a:ext cx="6685170" cy="610815"/>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4</xdr:col>
      <xdr:colOff>495300</xdr:colOff>
      <xdr:row>1</xdr:row>
      <xdr:rowOff>0</xdr:rowOff>
    </xdr:to>
    <xdr:pic>
      <xdr:nvPicPr>
        <xdr:cNvPr id="12" name="Image 1" descr="Picture">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1"/>
        <a:stretch/>
      </xdr:blipFill>
      <xdr:spPr>
        <a:xfrm>
          <a:off x="191880" y="27360"/>
          <a:ext cx="6799470" cy="60129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76200</xdr:colOff>
      <xdr:row>1</xdr:row>
      <xdr:rowOff>0</xdr:rowOff>
    </xdr:to>
    <xdr:pic>
      <xdr:nvPicPr>
        <xdr:cNvPr id="13" name="Image 1" descr="Picture">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
        <a:stretch/>
      </xdr:blipFill>
      <xdr:spPr>
        <a:xfrm>
          <a:off x="191880" y="27360"/>
          <a:ext cx="6732795" cy="60129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191880</xdr:colOff>
      <xdr:row>0</xdr:row>
      <xdr:rowOff>27359</xdr:rowOff>
    </xdr:from>
    <xdr:to>
      <xdr:col>5</xdr:col>
      <xdr:colOff>514350</xdr:colOff>
      <xdr:row>1</xdr:row>
      <xdr:rowOff>9524</xdr:rowOff>
    </xdr:to>
    <xdr:pic>
      <xdr:nvPicPr>
        <xdr:cNvPr id="14" name="Image 1" descr="Picture">
          <a:extLst>
            <a:ext uri="{FF2B5EF4-FFF2-40B4-BE49-F238E27FC236}">
              <a16:creationId xmlns:a16="http://schemas.microsoft.com/office/drawing/2014/main" id="{00000000-0008-0000-0E00-00000E000000}"/>
            </a:ext>
          </a:extLst>
        </xdr:cNvPr>
        <xdr:cNvPicPr/>
      </xdr:nvPicPr>
      <xdr:blipFill>
        <a:blip xmlns:r="http://schemas.openxmlformats.org/officeDocument/2006/relationships" r:embed="rId1"/>
        <a:stretch/>
      </xdr:blipFill>
      <xdr:spPr>
        <a:xfrm>
          <a:off x="191880" y="27359"/>
          <a:ext cx="6770895" cy="610815"/>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8"/>
  <sheetViews>
    <sheetView showGridLines="0" zoomScaleNormal="100" workbookViewId="0">
      <selection activeCell="H12" sqref="H12"/>
    </sheetView>
  </sheetViews>
  <sheetFormatPr defaultColWidth="8.7109375" defaultRowHeight="15" x14ac:dyDescent="0.25"/>
  <cols>
    <col min="1" max="1" width="3" customWidth="1"/>
    <col min="2" max="2" width="28" customWidth="1"/>
    <col min="3" max="3" width="52" customWidth="1"/>
    <col min="4" max="4" width="20" customWidth="1"/>
    <col min="5" max="5" width="48.7109375" customWidth="1"/>
  </cols>
  <sheetData>
    <row r="1" spans="2:5" ht="50.1" customHeight="1" x14ac:dyDescent="0.25"/>
    <row r="2" spans="2:5" ht="36" customHeight="1" x14ac:dyDescent="0.25">
      <c r="B2" s="259" t="s">
        <v>0</v>
      </c>
      <c r="C2" s="259"/>
      <c r="D2" s="259"/>
      <c r="E2" s="259"/>
    </row>
    <row r="3" spans="2:5" ht="21.75" customHeight="1" x14ac:dyDescent="0.25">
      <c r="B3" s="260" t="s">
        <v>1</v>
      </c>
      <c r="C3" s="260"/>
      <c r="D3" s="260"/>
      <c r="E3" s="260"/>
    </row>
    <row r="4" spans="2:5" ht="15.75" customHeight="1" x14ac:dyDescent="0.25">
      <c r="B4" s="261" t="s">
        <v>2</v>
      </c>
      <c r="C4" s="261"/>
      <c r="D4" s="261"/>
      <c r="E4" s="261"/>
    </row>
    <row r="6" spans="2:5" ht="21.75" customHeight="1" x14ac:dyDescent="0.25">
      <c r="B6" s="262" t="s">
        <v>3</v>
      </c>
      <c r="C6" s="262"/>
      <c r="D6" s="262"/>
      <c r="E6" s="262"/>
    </row>
    <row r="7" spans="2:5" ht="15.75" customHeight="1" x14ac:dyDescent="0.25">
      <c r="B7" s="1" t="s">
        <v>4</v>
      </c>
      <c r="C7" s="2" t="s">
        <v>5</v>
      </c>
      <c r="D7" s="256" t="s">
        <v>6</v>
      </c>
      <c r="E7" s="256"/>
    </row>
    <row r="8" spans="2:5" ht="15.75" customHeight="1" x14ac:dyDescent="0.25">
      <c r="B8" s="1" t="s">
        <v>7</v>
      </c>
      <c r="C8" s="2" t="s">
        <v>8</v>
      </c>
      <c r="D8" s="256" t="s">
        <v>9</v>
      </c>
      <c r="E8" s="256"/>
    </row>
    <row r="9" spans="2:5" ht="15.75" customHeight="1" x14ac:dyDescent="0.25">
      <c r="B9" s="1" t="s">
        <v>10</v>
      </c>
      <c r="C9" s="2" t="s">
        <v>11</v>
      </c>
      <c r="D9" s="256" t="s">
        <v>12</v>
      </c>
      <c r="E9" s="256"/>
    </row>
    <row r="10" spans="2:5" ht="15.75" customHeight="1" x14ac:dyDescent="0.25">
      <c r="B10" s="1" t="s">
        <v>13</v>
      </c>
      <c r="C10" s="2" t="s">
        <v>14</v>
      </c>
      <c r="D10" s="256" t="s">
        <v>15</v>
      </c>
      <c r="E10" s="256"/>
    </row>
    <row r="11" spans="2:5" ht="15.75" customHeight="1" x14ac:dyDescent="0.25">
      <c r="B11" s="1" t="s">
        <v>16</v>
      </c>
      <c r="C11" s="2" t="s">
        <v>17</v>
      </c>
      <c r="D11" s="256" t="s">
        <v>18</v>
      </c>
      <c r="E11" s="256"/>
    </row>
    <row r="12" spans="2:5" ht="15.75" customHeight="1" x14ac:dyDescent="0.25">
      <c r="B12" s="1" t="s">
        <v>19</v>
      </c>
      <c r="C12" s="2" t="s">
        <v>20</v>
      </c>
      <c r="D12" s="256" t="s">
        <v>21</v>
      </c>
      <c r="E12" s="256"/>
    </row>
    <row r="13" spans="2:5" ht="15.75" customHeight="1" x14ac:dyDescent="0.25">
      <c r="B13" s="1" t="s">
        <v>22</v>
      </c>
      <c r="C13" s="2" t="s">
        <v>23</v>
      </c>
      <c r="D13" s="256" t="s">
        <v>24</v>
      </c>
      <c r="E13" s="256"/>
    </row>
    <row r="14" spans="2:5" ht="15.75" customHeight="1" x14ac:dyDescent="0.25">
      <c r="B14" s="1" t="s">
        <v>25</v>
      </c>
      <c r="C14" s="2" t="s">
        <v>26</v>
      </c>
      <c r="D14" s="256" t="s">
        <v>27</v>
      </c>
      <c r="E14" s="256"/>
    </row>
    <row r="15" spans="2:5" ht="15.75" customHeight="1" x14ac:dyDescent="0.25">
      <c r="B15" s="1" t="s">
        <v>28</v>
      </c>
      <c r="C15" s="2" t="s">
        <v>29</v>
      </c>
      <c r="D15" s="256" t="s">
        <v>30</v>
      </c>
      <c r="E15" s="256"/>
    </row>
    <row r="16" spans="2:5" ht="15.75" customHeight="1" x14ac:dyDescent="0.25">
      <c r="B16" s="1" t="s">
        <v>31</v>
      </c>
      <c r="C16" s="2" t="s">
        <v>32</v>
      </c>
      <c r="D16" s="256" t="s">
        <v>33</v>
      </c>
      <c r="E16" s="256"/>
    </row>
    <row r="17" spans="2:5" ht="15.75" customHeight="1" x14ac:dyDescent="0.25">
      <c r="B17" s="1" t="s">
        <v>34</v>
      </c>
      <c r="C17" s="2" t="s">
        <v>35</v>
      </c>
      <c r="D17" s="256" t="s">
        <v>36</v>
      </c>
      <c r="E17" s="256"/>
    </row>
    <row r="18" spans="2:5" ht="15.75" customHeight="1" x14ac:dyDescent="0.25">
      <c r="B18" s="1" t="s">
        <v>37</v>
      </c>
      <c r="C18" s="2" t="s">
        <v>38</v>
      </c>
      <c r="D18" s="256" t="s">
        <v>39</v>
      </c>
      <c r="E18" s="256"/>
    </row>
    <row r="21" spans="2:5" ht="21.75" customHeight="1" x14ac:dyDescent="0.25">
      <c r="B21" s="258" t="s">
        <v>40</v>
      </c>
      <c r="C21" s="258"/>
      <c r="D21" s="258"/>
      <c r="E21" s="258"/>
    </row>
    <row r="22" spans="2:5" ht="15" customHeight="1" x14ac:dyDescent="0.25">
      <c r="B22" s="3" t="s">
        <v>41</v>
      </c>
      <c r="C22" s="4" t="s">
        <v>42</v>
      </c>
      <c r="D22" s="256" t="s">
        <v>43</v>
      </c>
      <c r="E22" s="256"/>
    </row>
    <row r="23" spans="2:5" ht="15" customHeight="1" x14ac:dyDescent="0.25">
      <c r="B23" s="5" t="s">
        <v>41</v>
      </c>
      <c r="C23" s="4" t="s">
        <v>44</v>
      </c>
      <c r="D23" s="256" t="s">
        <v>45</v>
      </c>
      <c r="E23" s="256"/>
    </row>
    <row r="24" spans="2:5" ht="15" customHeight="1" x14ac:dyDescent="0.25">
      <c r="B24" s="6" t="s">
        <v>41</v>
      </c>
      <c r="C24" s="4" t="s">
        <v>46</v>
      </c>
      <c r="D24" s="256" t="s">
        <v>47</v>
      </c>
      <c r="E24" s="256"/>
    </row>
    <row r="25" spans="2:5" ht="15" customHeight="1" x14ac:dyDescent="0.25">
      <c r="B25" s="7" t="s">
        <v>41</v>
      </c>
      <c r="C25" s="4" t="s">
        <v>48</v>
      </c>
      <c r="D25" s="256" t="s">
        <v>49</v>
      </c>
      <c r="E25" s="256"/>
    </row>
    <row r="26" spans="2:5" ht="15" customHeight="1" x14ac:dyDescent="0.25">
      <c r="B26" s="8" t="s">
        <v>41</v>
      </c>
      <c r="C26" s="4" t="s">
        <v>50</v>
      </c>
      <c r="D26" s="256" t="s">
        <v>51</v>
      </c>
      <c r="E26" s="256"/>
    </row>
    <row r="28" spans="2:5" ht="39.75" customHeight="1" x14ac:dyDescent="0.25">
      <c r="B28" s="257" t="s">
        <v>52</v>
      </c>
      <c r="C28" s="257"/>
      <c r="D28" s="257"/>
      <c r="E28" s="257"/>
    </row>
  </sheetData>
  <mergeCells count="23">
    <mergeCell ref="B2:E2"/>
    <mergeCell ref="B3:E3"/>
    <mergeCell ref="B4:E4"/>
    <mergeCell ref="B6:E6"/>
    <mergeCell ref="D7:E7"/>
    <mergeCell ref="D8:E8"/>
    <mergeCell ref="D9:E9"/>
    <mergeCell ref="D10:E10"/>
    <mergeCell ref="D11:E11"/>
    <mergeCell ref="D12:E12"/>
    <mergeCell ref="D13:E13"/>
    <mergeCell ref="D14:E14"/>
    <mergeCell ref="D15:E15"/>
    <mergeCell ref="D16:E16"/>
    <mergeCell ref="D17:E17"/>
    <mergeCell ref="D25:E25"/>
    <mergeCell ref="D26:E26"/>
    <mergeCell ref="B28:E28"/>
    <mergeCell ref="D18:E18"/>
    <mergeCell ref="B21:E21"/>
    <mergeCell ref="D22:E22"/>
    <mergeCell ref="D23:E23"/>
    <mergeCell ref="D24:E24"/>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9"/>
  <sheetViews>
    <sheetView showGridLines="0" tabSelected="1" zoomScaleNormal="100" workbookViewId="0">
      <selection activeCell="C11" sqref="C11"/>
    </sheetView>
  </sheetViews>
  <sheetFormatPr defaultColWidth="8.7109375" defaultRowHeight="15" x14ac:dyDescent="0.25"/>
  <cols>
    <col min="1" max="1" width="3" customWidth="1"/>
    <col min="2" max="2" width="42.7109375" customWidth="1"/>
    <col min="3" max="3" width="38.7109375" customWidth="1"/>
    <col min="4" max="4" width="3" customWidth="1"/>
    <col min="5" max="5" width="77.7109375" customWidth="1"/>
  </cols>
  <sheetData>
    <row r="1" spans="2:5" ht="38.1" customHeight="1" x14ac:dyDescent="0.25">
      <c r="B1" s="263" t="s">
        <v>53</v>
      </c>
      <c r="C1" s="263"/>
      <c r="D1" s="263"/>
      <c r="E1" s="263"/>
    </row>
    <row r="2" spans="2:5" ht="15" customHeight="1" x14ac:dyDescent="0.25">
      <c r="B2" s="9" t="s">
        <v>54</v>
      </c>
      <c r="C2" s="9" t="s">
        <v>55</v>
      </c>
      <c r="E2" s="9" t="s">
        <v>56</v>
      </c>
    </row>
    <row r="3" spans="2:5" ht="18" customHeight="1" x14ac:dyDescent="0.25">
      <c r="B3" s="10" t="s">
        <v>57</v>
      </c>
      <c r="C3" s="11" t="s">
        <v>58</v>
      </c>
      <c r="E3" s="12" t="s">
        <v>59</v>
      </c>
    </row>
    <row r="4" spans="2:5" ht="18" customHeight="1" x14ac:dyDescent="0.25">
      <c r="B4" s="10" t="s">
        <v>60</v>
      </c>
      <c r="C4" s="13"/>
      <c r="E4" s="12" t="s">
        <v>61</v>
      </c>
    </row>
    <row r="5" spans="2:5" ht="18" customHeight="1" x14ac:dyDescent="0.25">
      <c r="B5" s="10" t="s">
        <v>62</v>
      </c>
      <c r="C5" s="14" t="s">
        <v>63</v>
      </c>
      <c r="E5" s="12" t="s">
        <v>64</v>
      </c>
    </row>
    <row r="6" spans="2:5" ht="18" customHeight="1" x14ac:dyDescent="0.25">
      <c r="B6" s="10" t="s">
        <v>65</v>
      </c>
      <c r="C6" s="14" t="s">
        <v>66</v>
      </c>
      <c r="E6" s="12" t="s">
        <v>67</v>
      </c>
    </row>
    <row r="7" spans="2:5" ht="18" customHeight="1" x14ac:dyDescent="0.25">
      <c r="B7" s="10" t="s">
        <v>68</v>
      </c>
      <c r="C7" s="14" t="s">
        <v>69</v>
      </c>
      <c r="E7" s="12" t="s">
        <v>70</v>
      </c>
    </row>
    <row r="8" spans="2:5" ht="18" customHeight="1" x14ac:dyDescent="0.25">
      <c r="B8" s="10" t="s">
        <v>71</v>
      </c>
      <c r="C8" s="14" t="s">
        <v>72</v>
      </c>
      <c r="E8" s="12" t="s">
        <v>73</v>
      </c>
    </row>
    <row r="9" spans="2:5" ht="18" customHeight="1" x14ac:dyDescent="0.25">
      <c r="B9" s="10" t="s">
        <v>74</v>
      </c>
      <c r="C9" s="15">
        <v>27452</v>
      </c>
      <c r="E9" s="12" t="s">
        <v>75</v>
      </c>
    </row>
    <row r="10" spans="2:5" ht="18" customHeight="1" x14ac:dyDescent="0.25">
      <c r="B10" s="10" t="s">
        <v>76</v>
      </c>
      <c r="C10" s="16" t="s">
        <v>77</v>
      </c>
      <c r="E10" s="12" t="s">
        <v>78</v>
      </c>
    </row>
    <row r="11" spans="2:5" ht="18" customHeight="1" x14ac:dyDescent="0.25">
      <c r="B11" s="10" t="s">
        <v>79</v>
      </c>
      <c r="C11" s="14" t="s">
        <v>80</v>
      </c>
      <c r="E11" s="12" t="s">
        <v>81</v>
      </c>
    </row>
    <row r="12" spans="2:5" ht="18" customHeight="1" x14ac:dyDescent="0.25">
      <c r="B12" s="10" t="s">
        <v>82</v>
      </c>
      <c r="C12" s="17">
        <f>IFERROR(INDEX('REGIONAL FACTORS'!H$4:H$20,MATCH(C11,'REGIONAL FACTORS'!A$4:A$20,0)),1)</f>
        <v>1</v>
      </c>
      <c r="E12" s="12" t="s">
        <v>83</v>
      </c>
    </row>
    <row r="13" spans="2:5" ht="19.5" customHeight="1" x14ac:dyDescent="0.25">
      <c r="B13" s="264" t="s">
        <v>84</v>
      </c>
      <c r="C13" s="264"/>
      <c r="D13" s="264"/>
      <c r="E13" s="264"/>
    </row>
    <row r="14" spans="2:5" ht="18" customHeight="1" x14ac:dyDescent="0.25">
      <c r="B14" s="10" t="s">
        <v>85</v>
      </c>
      <c r="C14" s="18">
        <v>2.7E-2</v>
      </c>
      <c r="E14" s="12" t="s">
        <v>86</v>
      </c>
    </row>
    <row r="15" spans="2:5" ht="18" customHeight="1" x14ac:dyDescent="0.25">
      <c r="B15" s="10" t="s">
        <v>87</v>
      </c>
      <c r="C15" s="18">
        <v>4.2999999999999997E-2</v>
      </c>
      <c r="E15" s="12" t="s">
        <v>88</v>
      </c>
    </row>
    <row r="16" spans="2:5" ht="18" customHeight="1" x14ac:dyDescent="0.25">
      <c r="B16" s="10" t="s">
        <v>89</v>
      </c>
      <c r="C16" s="19">
        <f>AVERAGE(C14,C15)</f>
        <v>3.4999999999999996E-2</v>
      </c>
      <c r="E16" s="12" t="s">
        <v>90</v>
      </c>
    </row>
    <row r="17" spans="2:5" ht="18" customHeight="1" x14ac:dyDescent="0.25">
      <c r="B17" s="10" t="s">
        <v>91</v>
      </c>
      <c r="C17" s="20">
        <v>1</v>
      </c>
      <c r="E17" s="12" t="s">
        <v>92</v>
      </c>
    </row>
    <row r="18" spans="2:5" ht="19.5" customHeight="1" x14ac:dyDescent="0.25">
      <c r="B18" s="265" t="s">
        <v>93</v>
      </c>
      <c r="C18" s="265"/>
      <c r="D18" s="265"/>
      <c r="E18" s="265"/>
    </row>
    <row r="19" spans="2:5" ht="18" customHeight="1" x14ac:dyDescent="0.25">
      <c r="B19" s="10" t="s">
        <v>94</v>
      </c>
      <c r="C19" s="18">
        <v>0.08</v>
      </c>
      <c r="E19" s="12" t="s">
        <v>95</v>
      </c>
    </row>
    <row r="20" spans="2:5" ht="18" customHeight="1" x14ac:dyDescent="0.25">
      <c r="B20" s="10" t="s">
        <v>96</v>
      </c>
      <c r="C20" s="18">
        <v>0.1</v>
      </c>
      <c r="E20" s="12" t="s">
        <v>97</v>
      </c>
    </row>
    <row r="21" spans="2:5" ht="18" customHeight="1" x14ac:dyDescent="0.25">
      <c r="B21" s="10" t="s">
        <v>98</v>
      </c>
      <c r="C21" s="18">
        <v>0.12</v>
      </c>
      <c r="E21" s="12" t="s">
        <v>99</v>
      </c>
    </row>
    <row r="22" spans="2:5" ht="18" customHeight="1" x14ac:dyDescent="0.25">
      <c r="B22" s="10" t="s">
        <v>100</v>
      </c>
      <c r="C22" s="18">
        <v>0.1</v>
      </c>
      <c r="E22" s="12" t="s">
        <v>101</v>
      </c>
    </row>
    <row r="23" spans="2:5" ht="18" customHeight="1" x14ac:dyDescent="0.25">
      <c r="B23" s="10" t="s">
        <v>102</v>
      </c>
      <c r="C23" s="18">
        <v>0.08</v>
      </c>
      <c r="E23" s="12" t="s">
        <v>103</v>
      </c>
    </row>
    <row r="24" spans="2:5" ht="18" customHeight="1" x14ac:dyDescent="0.25">
      <c r="B24" s="10" t="s">
        <v>104</v>
      </c>
      <c r="C24" s="18">
        <v>0.02</v>
      </c>
      <c r="E24" s="12" t="s">
        <v>105</v>
      </c>
    </row>
    <row r="25" spans="2:5" ht="18" customHeight="1" x14ac:dyDescent="0.25">
      <c r="B25" s="10" t="s">
        <v>106</v>
      </c>
      <c r="C25" s="18">
        <v>0</v>
      </c>
      <c r="E25" s="12" t="s">
        <v>107</v>
      </c>
    </row>
    <row r="26" spans="2:5" ht="18" customHeight="1" x14ac:dyDescent="0.25">
      <c r="B26" s="10" t="s">
        <v>108</v>
      </c>
      <c r="C26" s="19">
        <f>C21+C22+C23</f>
        <v>0.3</v>
      </c>
      <c r="E26" s="12" t="s">
        <v>109</v>
      </c>
    </row>
    <row r="28" spans="2:5" ht="19.5" customHeight="1" x14ac:dyDescent="0.25">
      <c r="B28" s="266" t="s">
        <v>110</v>
      </c>
      <c r="C28" s="266"/>
      <c r="D28" s="266"/>
      <c r="E28" s="266"/>
    </row>
    <row r="29" spans="2:5" ht="16.5" customHeight="1" x14ac:dyDescent="0.25">
      <c r="B29" s="10" t="s">
        <v>111</v>
      </c>
      <c r="C29" s="21">
        <f>'BID SUMMARY'!C3</f>
        <v>0</v>
      </c>
    </row>
    <row r="30" spans="2:5" ht="16.5" customHeight="1" x14ac:dyDescent="0.25">
      <c r="B30" s="10" t="s">
        <v>112</v>
      </c>
      <c r="C30" s="21" t="str">
        <f>'BID SUMMARY'!C4</f>
        <v>Amount</v>
      </c>
    </row>
    <row r="31" spans="2:5" ht="16.5" customHeight="1" x14ac:dyDescent="0.25">
      <c r="B31" s="10" t="s">
        <v>113</v>
      </c>
      <c r="C31" s="21">
        <f>'BID SUMMARY'!C5</f>
        <v>5411956.7295000004</v>
      </c>
    </row>
    <row r="32" spans="2:5" ht="16.5" customHeight="1" x14ac:dyDescent="0.25">
      <c r="B32" s="10" t="s">
        <v>114</v>
      </c>
      <c r="C32" s="21">
        <f>'BID SUMMARY'!C6</f>
        <v>473719.5</v>
      </c>
    </row>
    <row r="33" spans="2:5" ht="16.5" customHeight="1" x14ac:dyDescent="0.25">
      <c r="B33" s="10" t="s">
        <v>115</v>
      </c>
      <c r="C33" s="21">
        <f>'BID SUMMARY'!C7</f>
        <v>5885676.2295000004</v>
      </c>
    </row>
    <row r="34" spans="2:5" ht="16.5" customHeight="1" x14ac:dyDescent="0.25">
      <c r="B34" s="10" t="s">
        <v>116</v>
      </c>
      <c r="C34" s="21">
        <f>'BID SUMMARY'!C8</f>
        <v>470854.09836000006</v>
      </c>
    </row>
    <row r="35" spans="2:5" ht="16.5" customHeight="1" x14ac:dyDescent="0.25">
      <c r="B35" s="10" t="s">
        <v>117</v>
      </c>
      <c r="C35" s="21">
        <f>'BID SUMMARY'!C9</f>
        <v>635653.03278600005</v>
      </c>
    </row>
    <row r="36" spans="2:5" ht="16.5" customHeight="1" x14ac:dyDescent="0.25">
      <c r="B36" s="22" t="s">
        <v>118</v>
      </c>
      <c r="C36" s="23">
        <f>'BID SUMMARY'!C10</f>
        <v>2097655.0081937998</v>
      </c>
    </row>
    <row r="37" spans="2:5" ht="19.5" customHeight="1" x14ac:dyDescent="0.25">
      <c r="B37" s="267" t="s">
        <v>119</v>
      </c>
      <c r="C37" s="267"/>
      <c r="D37" s="267"/>
      <c r="E37" s="267"/>
    </row>
    <row r="38" spans="2:5" ht="18" customHeight="1" x14ac:dyDescent="0.25">
      <c r="B38" s="24" t="s">
        <v>120</v>
      </c>
      <c r="C38" s="16" t="s">
        <v>121</v>
      </c>
      <c r="E38" s="12" t="s">
        <v>122</v>
      </c>
    </row>
    <row r="39" spans="2:5" ht="18" customHeight="1" x14ac:dyDescent="0.25">
      <c r="B39" s="24" t="s">
        <v>123</v>
      </c>
      <c r="C39" s="16" t="s">
        <v>124</v>
      </c>
      <c r="E39" s="12" t="s">
        <v>125</v>
      </c>
    </row>
  </sheetData>
  <mergeCells count="5">
    <mergeCell ref="B1:E1"/>
    <mergeCell ref="B13:E13"/>
    <mergeCell ref="B18:E18"/>
    <mergeCell ref="B28:E28"/>
    <mergeCell ref="B37:E37"/>
  </mergeCells>
  <dataValidations count="2">
    <dataValidation type="list" showErrorMessage="1" errorTitle="Invalid Entry" error="Select from list" sqref="C8 C11" xr:uid="{00000000-0002-0000-0100-000000000000}">
      <formula1>"Delaware,New Castle/Wilmington,Philadelphia Metro,New Jersey,Baltimore Area,Washington DC Metro,Custom"</formula1>
      <formula2>0</formula2>
    </dataValidation>
    <dataValidation type="list" sqref="C6" xr:uid="{00000000-0002-0000-0100-000001000000}">
      <formula1>"Interior Improvement,Adaptive Reuse,New Construction,Mixed-Use,Renovation + Addition"</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1"/>
  <sheetViews>
    <sheetView showGridLines="0" zoomScaleNormal="100" workbookViewId="0">
      <selection activeCell="I9" sqref="I9"/>
    </sheetView>
  </sheetViews>
  <sheetFormatPr defaultColWidth="8.7109375" defaultRowHeight="15" x14ac:dyDescent="0.25"/>
  <cols>
    <col min="1" max="1" width="3" customWidth="1"/>
    <col min="2" max="2" width="22" customWidth="1"/>
    <col min="3" max="4" width="11" customWidth="1"/>
    <col min="5" max="5" width="12" customWidth="1"/>
    <col min="6" max="6" width="11" customWidth="1"/>
    <col min="7" max="7" width="13" customWidth="1"/>
    <col min="8" max="8" width="14" customWidth="1"/>
    <col min="9" max="9" width="13" customWidth="1"/>
    <col min="10" max="10" width="14" customWidth="1"/>
    <col min="11" max="11" width="15.7109375" customWidth="1"/>
    <col min="12" max="12" width="10" style="221" customWidth="1"/>
    <col min="13" max="13" width="65.7109375" customWidth="1"/>
  </cols>
  <sheetData>
    <row r="1" spans="2:13" ht="38.1" customHeight="1" x14ac:dyDescent="0.25">
      <c r="B1" s="268" t="s">
        <v>126</v>
      </c>
      <c r="C1" s="268"/>
      <c r="D1" s="268"/>
      <c r="E1" s="268"/>
      <c r="F1" s="268"/>
      <c r="G1" s="268"/>
      <c r="H1" s="268"/>
      <c r="I1" s="268"/>
      <c r="J1" s="268"/>
      <c r="K1" s="268"/>
      <c r="L1" s="268"/>
    </row>
    <row r="2" spans="2:13" ht="48.95" customHeight="1" x14ac:dyDescent="0.25">
      <c r="B2" s="25" t="s">
        <v>127</v>
      </c>
      <c r="C2" s="25" t="s">
        <v>128</v>
      </c>
      <c r="D2" s="25" t="s">
        <v>129</v>
      </c>
      <c r="E2" s="25" t="s">
        <v>130</v>
      </c>
      <c r="F2" s="25" t="s">
        <v>131</v>
      </c>
      <c r="G2" s="25" t="s">
        <v>132</v>
      </c>
      <c r="H2" s="25" t="s">
        <v>133</v>
      </c>
      <c r="I2" s="25" t="s">
        <v>134</v>
      </c>
      <c r="J2" s="25" t="s">
        <v>135</v>
      </c>
      <c r="K2" s="26" t="s">
        <v>136</v>
      </c>
      <c r="L2" s="26" t="s">
        <v>137</v>
      </c>
    </row>
    <row r="3" spans="2:13" ht="18" customHeight="1" x14ac:dyDescent="0.25">
      <c r="B3" s="27" t="s">
        <v>77</v>
      </c>
      <c r="C3" s="28">
        <v>29.3</v>
      </c>
      <c r="D3" s="28">
        <v>22.57</v>
      </c>
      <c r="E3" s="28">
        <v>30.93</v>
      </c>
      <c r="F3" s="28">
        <v>23.48</v>
      </c>
      <c r="G3" s="28">
        <v>25.47</v>
      </c>
      <c r="H3" s="28">
        <v>25.32</v>
      </c>
      <c r="I3" s="29">
        <f t="shared" ref="I3:I9" si="0">C3*$L$3+D3*$L$4+E3*$L$5+F3*$L$6+G3*$L$7+H3*$L$8</f>
        <v>26.172000000000001</v>
      </c>
      <c r="J3" s="30">
        <f>1</f>
        <v>1</v>
      </c>
      <c r="K3" s="31" t="s">
        <v>138</v>
      </c>
      <c r="L3" s="219">
        <v>0.3</v>
      </c>
      <c r="M3" s="32" t="s">
        <v>139</v>
      </c>
    </row>
    <row r="4" spans="2:13" ht="18" customHeight="1" x14ac:dyDescent="0.25">
      <c r="B4" s="33" t="s">
        <v>80</v>
      </c>
      <c r="C4" s="28">
        <v>29.5</v>
      </c>
      <c r="D4" s="28">
        <v>22.5</v>
      </c>
      <c r="E4" s="28">
        <v>30.5</v>
      </c>
      <c r="F4" s="28">
        <v>22.9</v>
      </c>
      <c r="G4" s="28">
        <v>25.3</v>
      </c>
      <c r="H4" s="28">
        <v>25.2</v>
      </c>
      <c r="I4" s="29">
        <f t="shared" si="0"/>
        <v>26.029999999999998</v>
      </c>
      <c r="J4" s="30">
        <f t="shared" ref="J4:J9" si="1">I4/I$3</f>
        <v>0.99457435427174068</v>
      </c>
      <c r="K4" s="31" t="s">
        <v>140</v>
      </c>
      <c r="L4" s="219">
        <v>0.2</v>
      </c>
      <c r="M4" s="32" t="s">
        <v>141</v>
      </c>
    </row>
    <row r="5" spans="2:13" ht="18" customHeight="1" x14ac:dyDescent="0.25">
      <c r="B5" s="33" t="s">
        <v>142</v>
      </c>
      <c r="C5" s="28">
        <v>31.47</v>
      </c>
      <c r="D5" s="28">
        <v>27.82</v>
      </c>
      <c r="E5" s="28">
        <v>37.24</v>
      </c>
      <c r="F5" s="28">
        <v>26.36</v>
      </c>
      <c r="G5" s="28">
        <v>30.83</v>
      </c>
      <c r="H5" s="28">
        <v>28.7</v>
      </c>
      <c r="I5" s="29">
        <f t="shared" si="0"/>
        <v>29.953999999999997</v>
      </c>
      <c r="J5" s="30">
        <f t="shared" si="1"/>
        <v>1.1445055784808191</v>
      </c>
      <c r="K5" s="31" t="s">
        <v>143</v>
      </c>
      <c r="L5" s="219">
        <v>0.1</v>
      </c>
      <c r="M5" s="32" t="s">
        <v>144</v>
      </c>
    </row>
    <row r="6" spans="2:13" ht="18" customHeight="1" x14ac:dyDescent="0.25">
      <c r="B6" s="33" t="s">
        <v>145</v>
      </c>
      <c r="C6" s="28">
        <v>35.159999999999997</v>
      </c>
      <c r="D6" s="28">
        <v>34.270000000000003</v>
      </c>
      <c r="E6" s="28">
        <v>38.51</v>
      </c>
      <c r="F6" s="28">
        <v>31.16</v>
      </c>
      <c r="G6" s="28">
        <v>34.78</v>
      </c>
      <c r="H6" s="28">
        <v>29.5</v>
      </c>
      <c r="I6" s="29">
        <f t="shared" si="0"/>
        <v>33.913000000000004</v>
      </c>
      <c r="J6" s="30">
        <f t="shared" si="1"/>
        <v>1.2957741097355955</v>
      </c>
      <c r="K6" s="31" t="s">
        <v>146</v>
      </c>
      <c r="L6" s="219">
        <v>0.2</v>
      </c>
      <c r="M6" s="32" t="s">
        <v>147</v>
      </c>
    </row>
    <row r="7" spans="2:13" ht="18" customHeight="1" x14ac:dyDescent="0.25">
      <c r="B7" s="33" t="s">
        <v>148</v>
      </c>
      <c r="C7" s="28">
        <v>28.74</v>
      </c>
      <c r="D7" s="28">
        <v>22.99</v>
      </c>
      <c r="E7" s="28">
        <v>33.83</v>
      </c>
      <c r="F7" s="28">
        <v>27.86</v>
      </c>
      <c r="G7" s="28">
        <v>26.34</v>
      </c>
      <c r="H7" s="28">
        <v>24.13</v>
      </c>
      <c r="I7" s="29">
        <f t="shared" si="0"/>
        <v>27.221999999999998</v>
      </c>
      <c r="J7" s="30">
        <f t="shared" si="1"/>
        <v>1.0401192113709306</v>
      </c>
      <c r="K7" s="31" t="s">
        <v>149</v>
      </c>
      <c r="L7" s="219">
        <v>0.1</v>
      </c>
      <c r="M7" s="32" t="s">
        <v>150</v>
      </c>
    </row>
    <row r="8" spans="2:13" ht="18" customHeight="1" x14ac:dyDescent="0.25">
      <c r="B8" s="33" t="s">
        <v>151</v>
      </c>
      <c r="C8" s="28">
        <v>34.5</v>
      </c>
      <c r="D8" s="28">
        <v>27.1</v>
      </c>
      <c r="E8" s="28">
        <v>40.200000000000003</v>
      </c>
      <c r="F8" s="28">
        <v>29.5</v>
      </c>
      <c r="G8" s="28">
        <v>31.2</v>
      </c>
      <c r="H8" s="28">
        <v>30.4</v>
      </c>
      <c r="I8" s="29">
        <f t="shared" si="0"/>
        <v>31.849999999999998</v>
      </c>
      <c r="J8" s="30">
        <f t="shared" si="1"/>
        <v>1.2169494115848998</v>
      </c>
      <c r="K8" s="31" t="s">
        <v>152</v>
      </c>
      <c r="L8" s="219">
        <v>0.1</v>
      </c>
      <c r="M8" s="32" t="s">
        <v>153</v>
      </c>
    </row>
    <row r="9" spans="2:13" ht="18" customHeight="1" x14ac:dyDescent="0.25">
      <c r="B9" s="33" t="s">
        <v>154</v>
      </c>
      <c r="C9" s="34">
        <v>0</v>
      </c>
      <c r="D9" s="34">
        <v>0</v>
      </c>
      <c r="E9" s="34">
        <v>0</v>
      </c>
      <c r="F9" s="34">
        <v>0</v>
      </c>
      <c r="G9" s="34">
        <v>0</v>
      </c>
      <c r="H9" s="34">
        <v>0</v>
      </c>
      <c r="I9" s="29">
        <f t="shared" si="0"/>
        <v>0</v>
      </c>
      <c r="J9" s="30">
        <f t="shared" si="1"/>
        <v>0</v>
      </c>
      <c r="K9" s="35" t="s">
        <v>155</v>
      </c>
      <c r="L9" s="220">
        <f>SUM(L3:L8)</f>
        <v>1</v>
      </c>
      <c r="M9" s="32" t="s">
        <v>156</v>
      </c>
    </row>
    <row r="11" spans="2:13" ht="36" customHeight="1" x14ac:dyDescent="0.25">
      <c r="B11" s="269" t="s">
        <v>157</v>
      </c>
      <c r="C11" s="269"/>
      <c r="D11" s="269"/>
      <c r="E11" s="269"/>
      <c r="F11" s="269"/>
      <c r="G11" s="269"/>
      <c r="H11" s="269"/>
      <c r="I11" s="269"/>
      <c r="J11" s="269"/>
    </row>
  </sheetData>
  <mergeCells count="2">
    <mergeCell ref="B1:L1"/>
    <mergeCell ref="B11:J1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19"/>
  <sheetViews>
    <sheetView showGridLines="0" zoomScaleNormal="100" workbookViewId="0">
      <pane ySplit="4" topLeftCell="A52" activePane="bottomLeft" state="frozen"/>
      <selection pane="bottomLeft" activeCell="A5" sqref="A5:XFD5"/>
    </sheetView>
  </sheetViews>
  <sheetFormatPr defaultColWidth="8.7109375" defaultRowHeight="15" x14ac:dyDescent="0.25"/>
  <cols>
    <col min="1" max="1" width="2" customWidth="1"/>
    <col min="2" max="2" width="6.7109375" customWidth="1"/>
    <col min="3" max="3" width="10.7109375" customWidth="1"/>
    <col min="4" max="4" width="10.7109375" style="221" customWidth="1"/>
    <col min="5" max="5" width="11.7109375" style="221" customWidth="1"/>
    <col min="6" max="6" width="11.7109375" customWidth="1"/>
    <col min="7" max="7" width="51.7109375" customWidth="1"/>
    <col min="8" max="8" width="9.7109375" customWidth="1"/>
    <col min="9" max="9" width="13.7109375" customWidth="1"/>
    <col min="10" max="10" width="9" customWidth="1"/>
    <col min="11" max="11" width="12" customWidth="1"/>
    <col min="12" max="12" width="13.7109375" customWidth="1"/>
    <col min="13" max="13" width="14.5703125" customWidth="1"/>
    <col min="14" max="14" width="53.7109375" customWidth="1"/>
  </cols>
  <sheetData>
    <row r="1" spans="2:16" ht="50.1" customHeight="1" x14ac:dyDescent="0.25">
      <c r="B1" s="275"/>
      <c r="C1" s="275"/>
      <c r="D1" s="275"/>
      <c r="E1" s="275"/>
      <c r="F1" s="275"/>
      <c r="G1" s="275"/>
      <c r="H1" s="275"/>
      <c r="I1" s="275"/>
      <c r="J1" s="275"/>
      <c r="K1" s="275"/>
      <c r="L1" s="275"/>
      <c r="M1" s="275"/>
    </row>
    <row r="2" spans="2:16" s="222" customFormat="1" ht="38.1" customHeight="1" x14ac:dyDescent="0.25">
      <c r="B2" s="272" t="s">
        <v>158</v>
      </c>
      <c r="C2" s="273"/>
      <c r="D2" s="273"/>
      <c r="E2" s="273"/>
      <c r="F2" s="273"/>
      <c r="G2" s="273"/>
      <c r="H2" s="273"/>
      <c r="I2" s="273"/>
      <c r="J2" s="273"/>
      <c r="K2" s="273"/>
      <c r="L2" s="273"/>
      <c r="M2" s="273"/>
      <c r="N2" s="273"/>
    </row>
    <row r="3" spans="2:16" ht="38.1" customHeight="1" x14ac:dyDescent="0.25">
      <c r="B3" s="276" t="s">
        <v>159</v>
      </c>
      <c r="C3" s="276"/>
      <c r="D3" s="276"/>
      <c r="E3" s="276"/>
      <c r="F3" s="276"/>
      <c r="G3" s="276"/>
      <c r="H3" s="276"/>
      <c r="I3" s="276"/>
      <c r="J3" s="276"/>
      <c r="K3" s="276"/>
      <c r="L3" s="276"/>
      <c r="M3" s="276"/>
    </row>
    <row r="4" spans="2:16" ht="39.950000000000003" customHeight="1" x14ac:dyDescent="0.25">
      <c r="B4" s="36" t="s">
        <v>160</v>
      </c>
      <c r="C4" s="36" t="s">
        <v>161</v>
      </c>
      <c r="D4" s="36" t="s">
        <v>162</v>
      </c>
      <c r="E4" s="36" t="s">
        <v>163</v>
      </c>
      <c r="F4" s="36" t="s">
        <v>164</v>
      </c>
      <c r="G4" s="36" t="s">
        <v>165</v>
      </c>
      <c r="H4" s="36" t="s">
        <v>166</v>
      </c>
      <c r="I4" s="36" t="s">
        <v>167</v>
      </c>
      <c r="J4" s="36" t="s">
        <v>168</v>
      </c>
      <c r="K4" s="36" t="s">
        <v>169</v>
      </c>
      <c r="L4" s="36" t="s">
        <v>170</v>
      </c>
      <c r="M4" s="36" t="s">
        <v>171</v>
      </c>
      <c r="N4" s="36" t="s">
        <v>172</v>
      </c>
    </row>
    <row r="5" spans="2:16" ht="19.5" customHeight="1" x14ac:dyDescent="0.25">
      <c r="B5" s="270" t="s">
        <v>173</v>
      </c>
      <c r="C5" s="270"/>
      <c r="D5" s="270"/>
      <c r="E5" s="270"/>
      <c r="F5" s="270"/>
      <c r="G5" s="270"/>
      <c r="H5" s="270"/>
      <c r="I5" s="270"/>
      <c r="J5" s="270"/>
      <c r="K5" s="270"/>
      <c r="L5" s="270"/>
      <c r="M5" s="270"/>
    </row>
    <row r="6" spans="2:16" ht="31.5" customHeight="1" x14ac:dyDescent="0.25">
      <c r="B6" s="37"/>
      <c r="C6" s="38" t="s">
        <v>174</v>
      </c>
      <c r="D6" s="54" t="s">
        <v>175</v>
      </c>
      <c r="E6" s="41" t="s">
        <v>176</v>
      </c>
      <c r="F6" s="40"/>
      <c r="G6" s="37" t="s">
        <v>177</v>
      </c>
      <c r="H6" s="41" t="s">
        <v>178</v>
      </c>
      <c r="I6" s="42">
        <v>4.5</v>
      </c>
      <c r="J6" s="43">
        <f>ASSUMPTIONS!C12</f>
        <v>1</v>
      </c>
      <c r="K6" s="43">
        <f>1+ASSUMPTIONS!C16</f>
        <v>1.0349999999999999</v>
      </c>
      <c r="L6" s="44">
        <f t="shared" ref="L6:L11" si="0">I6*J6*K6</f>
        <v>4.6574999999999998</v>
      </c>
      <c r="M6" s="45" t="s">
        <v>179</v>
      </c>
      <c r="N6" s="46" t="s">
        <v>180</v>
      </c>
    </row>
    <row r="7" spans="2:16" ht="31.5" customHeight="1" x14ac:dyDescent="0.25">
      <c r="B7" s="47"/>
      <c r="C7" s="48" t="s">
        <v>174</v>
      </c>
      <c r="D7" s="60" t="s">
        <v>181</v>
      </c>
      <c r="E7" s="45" t="s">
        <v>176</v>
      </c>
      <c r="F7" s="50"/>
      <c r="G7" s="47" t="s">
        <v>182</v>
      </c>
      <c r="H7" s="45" t="s">
        <v>178</v>
      </c>
      <c r="I7" s="42">
        <v>3.25</v>
      </c>
      <c r="J7" s="43">
        <f>ASSUMPTIONS!C12</f>
        <v>1</v>
      </c>
      <c r="K7" s="43">
        <f>1+ASSUMPTIONS!C16</f>
        <v>1.0349999999999999</v>
      </c>
      <c r="L7" s="51">
        <f t="shared" si="0"/>
        <v>3.3637499999999996</v>
      </c>
      <c r="M7" s="45" t="s">
        <v>179</v>
      </c>
      <c r="N7" s="52" t="s">
        <v>183</v>
      </c>
      <c r="P7" s="223"/>
    </row>
    <row r="8" spans="2:16" ht="31.5" customHeight="1" x14ac:dyDescent="0.25">
      <c r="B8" s="37"/>
      <c r="C8" s="38" t="s">
        <v>174</v>
      </c>
      <c r="D8" s="54" t="s">
        <v>184</v>
      </c>
      <c r="E8" s="41" t="s">
        <v>185</v>
      </c>
      <c r="F8" s="40"/>
      <c r="G8" s="37" t="s">
        <v>186</v>
      </c>
      <c r="H8" s="41" t="s">
        <v>187</v>
      </c>
      <c r="I8" s="42">
        <v>285</v>
      </c>
      <c r="J8" s="43">
        <f>ASSUMPTIONS!C12</f>
        <v>1</v>
      </c>
      <c r="K8" s="43">
        <f>1+ASSUMPTIONS!C16</f>
        <v>1.0349999999999999</v>
      </c>
      <c r="L8" s="44">
        <f t="shared" si="0"/>
        <v>294.97499999999997</v>
      </c>
      <c r="M8" s="45" t="s">
        <v>179</v>
      </c>
      <c r="N8" s="46" t="s">
        <v>188</v>
      </c>
    </row>
    <row r="9" spans="2:16" ht="31.5" customHeight="1" x14ac:dyDescent="0.25">
      <c r="B9" s="47"/>
      <c r="C9" s="48" t="s">
        <v>174</v>
      </c>
      <c r="D9" s="60" t="s">
        <v>189</v>
      </c>
      <c r="E9" s="45" t="s">
        <v>176</v>
      </c>
      <c r="F9" s="50"/>
      <c r="G9" s="47" t="s">
        <v>190</v>
      </c>
      <c r="H9" s="45" t="s">
        <v>178</v>
      </c>
      <c r="I9" s="42">
        <v>2.75</v>
      </c>
      <c r="J9" s="43">
        <f>ASSUMPTIONS!C12</f>
        <v>1</v>
      </c>
      <c r="K9" s="43">
        <f>1+ASSUMPTIONS!C16</f>
        <v>1.0349999999999999</v>
      </c>
      <c r="L9" s="51">
        <f t="shared" si="0"/>
        <v>2.8462499999999999</v>
      </c>
      <c r="M9" s="45" t="s">
        <v>179</v>
      </c>
      <c r="N9" s="52" t="s">
        <v>191</v>
      </c>
    </row>
    <row r="10" spans="2:16" ht="31.5" customHeight="1" x14ac:dyDescent="0.25">
      <c r="B10" s="37"/>
      <c r="C10" s="38" t="s">
        <v>174</v>
      </c>
      <c r="D10" s="54" t="s">
        <v>192</v>
      </c>
      <c r="E10" s="41" t="s">
        <v>193</v>
      </c>
      <c r="F10" s="40"/>
      <c r="G10" s="37" t="s">
        <v>194</v>
      </c>
      <c r="H10" s="41" t="s">
        <v>178</v>
      </c>
      <c r="I10" s="42">
        <v>18</v>
      </c>
      <c r="J10" s="43">
        <f>ASSUMPTIONS!C12</f>
        <v>1</v>
      </c>
      <c r="K10" s="43">
        <f>1+ASSUMPTIONS!C16</f>
        <v>1.0349999999999999</v>
      </c>
      <c r="L10" s="44">
        <f t="shared" si="0"/>
        <v>18.63</v>
      </c>
      <c r="M10" s="45" t="s">
        <v>179</v>
      </c>
      <c r="N10" s="46" t="s">
        <v>195</v>
      </c>
    </row>
    <row r="11" spans="2:16" ht="31.5" customHeight="1" x14ac:dyDescent="0.25">
      <c r="B11" s="47"/>
      <c r="C11" s="48" t="s">
        <v>174</v>
      </c>
      <c r="D11" s="60" t="s">
        <v>196</v>
      </c>
      <c r="E11" s="45" t="s">
        <v>197</v>
      </c>
      <c r="F11" s="50"/>
      <c r="G11" s="47" t="s">
        <v>198</v>
      </c>
      <c r="H11" s="45" t="s">
        <v>178</v>
      </c>
      <c r="I11" s="42">
        <v>6.5</v>
      </c>
      <c r="J11" s="43">
        <f>ASSUMPTIONS!C12</f>
        <v>1</v>
      </c>
      <c r="K11" s="43">
        <f>1+ASSUMPTIONS!C16</f>
        <v>1.0349999999999999</v>
      </c>
      <c r="L11" s="51">
        <f t="shared" si="0"/>
        <v>6.7274999999999991</v>
      </c>
      <c r="M11" s="45" t="s">
        <v>179</v>
      </c>
      <c r="N11" s="52" t="s">
        <v>199</v>
      </c>
    </row>
    <row r="12" spans="2:16" ht="19.5" customHeight="1" x14ac:dyDescent="0.25">
      <c r="B12" s="270" t="s">
        <v>200</v>
      </c>
      <c r="C12" s="270"/>
      <c r="D12" s="270"/>
      <c r="E12" s="270"/>
      <c r="F12" s="270"/>
      <c r="G12" s="270"/>
      <c r="H12" s="270"/>
      <c r="I12" s="270"/>
      <c r="J12" s="270"/>
      <c r="K12" s="270"/>
      <c r="L12" s="270"/>
      <c r="M12" s="270"/>
    </row>
    <row r="13" spans="2:16" ht="31.5" customHeight="1" x14ac:dyDescent="0.25">
      <c r="B13" s="47"/>
      <c r="C13" s="48" t="s">
        <v>201</v>
      </c>
      <c r="D13" s="60" t="s">
        <v>202</v>
      </c>
      <c r="E13" s="45" t="s">
        <v>203</v>
      </c>
      <c r="F13" s="50"/>
      <c r="G13" s="47" t="s">
        <v>204</v>
      </c>
      <c r="H13" s="45" t="s">
        <v>178</v>
      </c>
      <c r="I13" s="42">
        <v>22</v>
      </c>
      <c r="J13" s="43">
        <f>ASSUMPTIONS!C12</f>
        <v>1</v>
      </c>
      <c r="K13" s="43">
        <f>1+ASSUMPTIONS!C16</f>
        <v>1.0349999999999999</v>
      </c>
      <c r="L13" s="51">
        <f>I13*J13*K13</f>
        <v>22.77</v>
      </c>
      <c r="M13" s="45" t="s">
        <v>179</v>
      </c>
      <c r="N13" s="52" t="s">
        <v>205</v>
      </c>
    </row>
    <row r="14" spans="2:16" ht="31.5" customHeight="1" x14ac:dyDescent="0.25">
      <c r="B14" s="37"/>
      <c r="C14" s="38" t="s">
        <v>201</v>
      </c>
      <c r="D14" s="54" t="s">
        <v>206</v>
      </c>
      <c r="E14" s="41" t="s">
        <v>203</v>
      </c>
      <c r="F14" s="40"/>
      <c r="G14" s="37" t="s">
        <v>207</v>
      </c>
      <c r="H14" s="41" t="s">
        <v>208</v>
      </c>
      <c r="I14" s="42">
        <v>450</v>
      </c>
      <c r="J14" s="43">
        <f>ASSUMPTIONS!C12</f>
        <v>1</v>
      </c>
      <c r="K14" s="43">
        <f>1+ASSUMPTIONS!C16</f>
        <v>1.0349999999999999</v>
      </c>
      <c r="L14" s="44">
        <f>I14*J14*K14</f>
        <v>465.74999999999994</v>
      </c>
      <c r="M14" s="45" t="s">
        <v>179</v>
      </c>
      <c r="N14" s="46" t="s">
        <v>209</v>
      </c>
    </row>
    <row r="15" spans="2:16" ht="31.5" customHeight="1" x14ac:dyDescent="0.25">
      <c r="B15" s="47"/>
      <c r="C15" s="48" t="s">
        <v>201</v>
      </c>
      <c r="D15" s="60" t="s">
        <v>210</v>
      </c>
      <c r="E15" s="45" t="s">
        <v>203</v>
      </c>
      <c r="F15" s="50"/>
      <c r="G15" s="47" t="s">
        <v>211</v>
      </c>
      <c r="H15" s="45" t="s">
        <v>212</v>
      </c>
      <c r="I15" s="42">
        <v>18500</v>
      </c>
      <c r="J15" s="43">
        <f>ASSUMPTIONS!C12</f>
        <v>1</v>
      </c>
      <c r="K15" s="43">
        <f>1+ASSUMPTIONS!C16</f>
        <v>1.0349999999999999</v>
      </c>
      <c r="L15" s="51">
        <f>I15*J15*K15</f>
        <v>19147.5</v>
      </c>
      <c r="M15" s="45" t="s">
        <v>179</v>
      </c>
      <c r="N15" s="52" t="s">
        <v>213</v>
      </c>
    </row>
    <row r="16" spans="2:16" ht="19.5" customHeight="1" x14ac:dyDescent="0.25">
      <c r="B16" s="270" t="s">
        <v>214</v>
      </c>
      <c r="C16" s="270"/>
      <c r="D16" s="270"/>
      <c r="E16" s="270"/>
      <c r="F16" s="270"/>
      <c r="G16" s="270"/>
      <c r="H16" s="270"/>
      <c r="I16" s="270"/>
      <c r="J16" s="270"/>
      <c r="K16" s="270"/>
      <c r="L16" s="270"/>
      <c r="M16" s="270"/>
    </row>
    <row r="17" spans="2:14" ht="31.5" customHeight="1" x14ac:dyDescent="0.25">
      <c r="B17" s="47"/>
      <c r="C17" s="48" t="s">
        <v>215</v>
      </c>
      <c r="D17" s="60" t="s">
        <v>216</v>
      </c>
      <c r="E17" s="45" t="s">
        <v>217</v>
      </c>
      <c r="F17" s="50"/>
      <c r="G17" s="47" t="s">
        <v>218</v>
      </c>
      <c r="H17" s="45" t="s">
        <v>178</v>
      </c>
      <c r="I17" s="42">
        <v>32</v>
      </c>
      <c r="J17" s="43">
        <f>ASSUMPTIONS!C12</f>
        <v>1</v>
      </c>
      <c r="K17" s="43">
        <f>1+ASSUMPTIONS!C16</f>
        <v>1.0349999999999999</v>
      </c>
      <c r="L17" s="51">
        <f>I17*J17*K17</f>
        <v>33.119999999999997</v>
      </c>
      <c r="M17" s="45" t="s">
        <v>179</v>
      </c>
      <c r="N17" s="52" t="s">
        <v>219</v>
      </c>
    </row>
    <row r="18" spans="2:14" ht="31.5" customHeight="1" x14ac:dyDescent="0.25">
      <c r="B18" s="37"/>
      <c r="C18" s="38" t="s">
        <v>215</v>
      </c>
      <c r="D18" s="54" t="s">
        <v>220</v>
      </c>
      <c r="E18" s="41" t="s">
        <v>217</v>
      </c>
      <c r="F18" s="40"/>
      <c r="G18" s="37" t="s">
        <v>221</v>
      </c>
      <c r="H18" s="41" t="s">
        <v>178</v>
      </c>
      <c r="I18" s="42">
        <v>14.5</v>
      </c>
      <c r="J18" s="43">
        <f>ASSUMPTIONS!C12</f>
        <v>1</v>
      </c>
      <c r="K18" s="43">
        <f>1+ASSUMPTIONS!C16</f>
        <v>1.0349999999999999</v>
      </c>
      <c r="L18" s="44">
        <f>I18*J18*K18</f>
        <v>15.007499999999999</v>
      </c>
      <c r="M18" s="45" t="s">
        <v>179</v>
      </c>
      <c r="N18" s="46" t="s">
        <v>222</v>
      </c>
    </row>
    <row r="19" spans="2:14" ht="19.5" customHeight="1" x14ac:dyDescent="0.25">
      <c r="B19" s="270" t="s">
        <v>223</v>
      </c>
      <c r="C19" s="270"/>
      <c r="D19" s="270"/>
      <c r="E19" s="270"/>
      <c r="F19" s="270"/>
      <c r="G19" s="270"/>
      <c r="H19" s="270"/>
      <c r="I19" s="270"/>
      <c r="J19" s="270"/>
      <c r="K19" s="270"/>
      <c r="L19" s="270"/>
      <c r="M19" s="270"/>
    </row>
    <row r="20" spans="2:14" ht="31.5" customHeight="1" x14ac:dyDescent="0.25">
      <c r="B20" s="37"/>
      <c r="C20" s="38" t="s">
        <v>224</v>
      </c>
      <c r="D20" s="54" t="s">
        <v>225</v>
      </c>
      <c r="E20" s="41" t="s">
        <v>226</v>
      </c>
      <c r="F20" s="40"/>
      <c r="G20" s="37" t="s">
        <v>227</v>
      </c>
      <c r="H20" s="41" t="s">
        <v>228</v>
      </c>
      <c r="I20" s="42">
        <v>185</v>
      </c>
      <c r="J20" s="43">
        <f>ASSUMPTIONS!C12</f>
        <v>1</v>
      </c>
      <c r="K20" s="43">
        <f>1+ASSUMPTIONS!C16</f>
        <v>1.0349999999999999</v>
      </c>
      <c r="L20" s="44">
        <f>I20*J20*K20</f>
        <v>191.47499999999999</v>
      </c>
      <c r="M20" s="45" t="s">
        <v>179</v>
      </c>
      <c r="N20" s="46" t="s">
        <v>229</v>
      </c>
    </row>
    <row r="21" spans="2:14" ht="31.5" customHeight="1" x14ac:dyDescent="0.25">
      <c r="B21" s="47"/>
      <c r="C21" s="48" t="s">
        <v>224</v>
      </c>
      <c r="D21" s="60" t="s">
        <v>230</v>
      </c>
      <c r="E21" s="45" t="s">
        <v>226</v>
      </c>
      <c r="F21" s="50"/>
      <c r="G21" s="47" t="s">
        <v>231</v>
      </c>
      <c r="H21" s="45" t="s">
        <v>228</v>
      </c>
      <c r="I21" s="42">
        <v>365</v>
      </c>
      <c r="J21" s="43">
        <f>ASSUMPTIONS!C12</f>
        <v>1</v>
      </c>
      <c r="K21" s="43">
        <f>1+ASSUMPTIONS!C16</f>
        <v>1.0349999999999999</v>
      </c>
      <c r="L21" s="51">
        <f>I21*J21*K21</f>
        <v>377.77499999999998</v>
      </c>
      <c r="M21" s="45" t="s">
        <v>179</v>
      </c>
      <c r="N21" s="52" t="s">
        <v>232</v>
      </c>
    </row>
    <row r="22" spans="2:14" ht="31.5" customHeight="1" x14ac:dyDescent="0.25">
      <c r="B22" s="37"/>
      <c r="C22" s="38" t="s">
        <v>224</v>
      </c>
      <c r="D22" s="54" t="s">
        <v>233</v>
      </c>
      <c r="E22" s="41" t="s">
        <v>234</v>
      </c>
      <c r="F22" s="40"/>
      <c r="G22" s="37" t="s">
        <v>235</v>
      </c>
      <c r="H22" s="41" t="s">
        <v>178</v>
      </c>
      <c r="I22" s="42">
        <v>8.5</v>
      </c>
      <c r="J22" s="43">
        <f>ASSUMPTIONS!C12</f>
        <v>1</v>
      </c>
      <c r="K22" s="43">
        <f>1+ASSUMPTIONS!C16</f>
        <v>1.0349999999999999</v>
      </c>
      <c r="L22" s="44">
        <f>I22*J22*K22</f>
        <v>8.7974999999999994</v>
      </c>
      <c r="M22" s="45" t="s">
        <v>179</v>
      </c>
      <c r="N22" s="46" t="s">
        <v>236</v>
      </c>
    </row>
    <row r="23" spans="2:14" ht="31.5" customHeight="1" x14ac:dyDescent="0.25">
      <c r="B23" s="47"/>
      <c r="C23" s="48" t="s">
        <v>224</v>
      </c>
      <c r="D23" s="60" t="s">
        <v>237</v>
      </c>
      <c r="E23" s="45" t="s">
        <v>238</v>
      </c>
      <c r="F23" s="50"/>
      <c r="G23" s="47" t="s">
        <v>239</v>
      </c>
      <c r="H23" s="45" t="s">
        <v>212</v>
      </c>
      <c r="I23" s="42">
        <v>28000</v>
      </c>
      <c r="J23" s="43">
        <f>ASSUMPTIONS!C12</f>
        <v>1</v>
      </c>
      <c r="K23" s="43">
        <f>1+ASSUMPTIONS!C16</f>
        <v>1.0349999999999999</v>
      </c>
      <c r="L23" s="51">
        <f>I23*J23*K23</f>
        <v>28979.999999999996</v>
      </c>
      <c r="M23" s="45" t="s">
        <v>179</v>
      </c>
      <c r="N23" s="52" t="s">
        <v>240</v>
      </c>
    </row>
    <row r="24" spans="2:14" ht="19.5" customHeight="1" x14ac:dyDescent="0.25">
      <c r="B24" s="270" t="s">
        <v>241</v>
      </c>
      <c r="C24" s="270"/>
      <c r="D24" s="270"/>
      <c r="E24" s="270"/>
      <c r="F24" s="270"/>
      <c r="G24" s="270"/>
      <c r="H24" s="270"/>
      <c r="I24" s="270"/>
      <c r="J24" s="270"/>
      <c r="K24" s="270"/>
      <c r="L24" s="270"/>
      <c r="M24" s="270"/>
    </row>
    <row r="25" spans="2:14" ht="31.5" customHeight="1" x14ac:dyDescent="0.25">
      <c r="B25" s="47"/>
      <c r="C25" s="48" t="s">
        <v>242</v>
      </c>
      <c r="D25" s="60" t="s">
        <v>243</v>
      </c>
      <c r="E25" s="45" t="s">
        <v>244</v>
      </c>
      <c r="F25" s="50"/>
      <c r="G25" s="47" t="s">
        <v>245</v>
      </c>
      <c r="H25" s="45" t="s">
        <v>178</v>
      </c>
      <c r="I25" s="42">
        <v>22</v>
      </c>
      <c r="J25" s="43">
        <f>ASSUMPTIONS!C12</f>
        <v>1</v>
      </c>
      <c r="K25" s="43">
        <f>1+ASSUMPTIONS!C16</f>
        <v>1.0349999999999999</v>
      </c>
      <c r="L25" s="51">
        <f>I25*J25*K25</f>
        <v>22.77</v>
      </c>
      <c r="M25" s="45" t="s">
        <v>179</v>
      </c>
      <c r="N25" s="52" t="s">
        <v>246</v>
      </c>
    </row>
    <row r="26" spans="2:14" ht="31.5" customHeight="1" x14ac:dyDescent="0.25">
      <c r="B26" s="37"/>
      <c r="C26" s="38" t="s">
        <v>242</v>
      </c>
      <c r="D26" s="54" t="s">
        <v>247</v>
      </c>
      <c r="E26" s="41" t="s">
        <v>248</v>
      </c>
      <c r="F26" s="40"/>
      <c r="G26" s="37" t="s">
        <v>249</v>
      </c>
      <c r="H26" s="41" t="s">
        <v>228</v>
      </c>
      <c r="I26" s="42">
        <v>425</v>
      </c>
      <c r="J26" s="43">
        <f>ASSUMPTIONS!C12</f>
        <v>1</v>
      </c>
      <c r="K26" s="43">
        <f>1+ASSUMPTIONS!C16</f>
        <v>1.0349999999999999</v>
      </c>
      <c r="L26" s="44">
        <f>I26*J26*K26</f>
        <v>439.87499999999994</v>
      </c>
      <c r="M26" s="53" t="s">
        <v>124</v>
      </c>
      <c r="N26" s="46" t="s">
        <v>250</v>
      </c>
    </row>
    <row r="27" spans="2:14" ht="31.5" customHeight="1" x14ac:dyDescent="0.25">
      <c r="B27" s="47"/>
      <c r="C27" s="48" t="s">
        <v>242</v>
      </c>
      <c r="D27" s="60" t="s">
        <v>251</v>
      </c>
      <c r="E27" s="45" t="s">
        <v>248</v>
      </c>
      <c r="F27" s="50"/>
      <c r="G27" s="47" t="s">
        <v>252</v>
      </c>
      <c r="H27" s="45" t="s">
        <v>228</v>
      </c>
      <c r="I27" s="42">
        <v>95</v>
      </c>
      <c r="J27" s="43">
        <f>ASSUMPTIONS!C12</f>
        <v>1</v>
      </c>
      <c r="K27" s="43">
        <f>1+ASSUMPTIONS!C16</f>
        <v>1.0349999999999999</v>
      </c>
      <c r="L27" s="51">
        <f>I27*J27*K27</f>
        <v>98.324999999999989</v>
      </c>
      <c r="M27" s="53" t="s">
        <v>124</v>
      </c>
      <c r="N27" s="52" t="s">
        <v>253</v>
      </c>
    </row>
    <row r="28" spans="2:14" ht="19.5" customHeight="1" x14ac:dyDescent="0.25">
      <c r="B28" s="270" t="s">
        <v>254</v>
      </c>
      <c r="C28" s="270"/>
      <c r="D28" s="270"/>
      <c r="E28" s="270"/>
      <c r="F28" s="270"/>
      <c r="G28" s="270"/>
      <c r="H28" s="270"/>
      <c r="I28" s="270"/>
      <c r="J28" s="270"/>
      <c r="K28" s="270"/>
      <c r="L28" s="270"/>
      <c r="M28" s="270"/>
    </row>
    <row r="29" spans="2:14" ht="31.5" customHeight="1" x14ac:dyDescent="0.25">
      <c r="B29" s="47"/>
      <c r="C29" s="48" t="s">
        <v>255</v>
      </c>
      <c r="D29" s="60" t="s">
        <v>256</v>
      </c>
      <c r="E29" s="45" t="s">
        <v>257</v>
      </c>
      <c r="F29" s="50"/>
      <c r="G29" s="47" t="s">
        <v>258</v>
      </c>
      <c r="H29" s="45" t="s">
        <v>178</v>
      </c>
      <c r="I29" s="42">
        <v>2.85</v>
      </c>
      <c r="J29" s="43">
        <f>ASSUMPTIONS!C12</f>
        <v>1</v>
      </c>
      <c r="K29" s="43">
        <f>1+ASSUMPTIONS!C16</f>
        <v>1.0349999999999999</v>
      </c>
      <c r="L29" s="51">
        <f>I29*J29*K29</f>
        <v>2.9497499999999999</v>
      </c>
      <c r="M29" s="45" t="s">
        <v>179</v>
      </c>
      <c r="N29" s="52" t="s">
        <v>259</v>
      </c>
    </row>
    <row r="30" spans="2:14" ht="31.5" customHeight="1" x14ac:dyDescent="0.25">
      <c r="B30" s="37"/>
      <c r="C30" s="38" t="s">
        <v>255</v>
      </c>
      <c r="D30" s="54" t="s">
        <v>260</v>
      </c>
      <c r="E30" s="41" t="s">
        <v>261</v>
      </c>
      <c r="F30" s="40"/>
      <c r="G30" s="37" t="s">
        <v>262</v>
      </c>
      <c r="H30" s="41" t="s">
        <v>178</v>
      </c>
      <c r="I30" s="42">
        <v>3.4</v>
      </c>
      <c r="J30" s="43">
        <f>ASSUMPTIONS!C12</f>
        <v>1</v>
      </c>
      <c r="K30" s="43">
        <f>1+ASSUMPTIONS!C16</f>
        <v>1.0349999999999999</v>
      </c>
      <c r="L30" s="44">
        <f>I30*J30*K30</f>
        <v>3.5189999999999997</v>
      </c>
      <c r="M30" s="45" t="s">
        <v>179</v>
      </c>
      <c r="N30" s="46" t="s">
        <v>263</v>
      </c>
    </row>
    <row r="31" spans="2:14" ht="31.5" customHeight="1" x14ac:dyDescent="0.25">
      <c r="B31" s="47"/>
      <c r="C31" s="48" t="s">
        <v>255</v>
      </c>
      <c r="D31" s="60" t="s">
        <v>264</v>
      </c>
      <c r="E31" s="45" t="s">
        <v>265</v>
      </c>
      <c r="F31" s="50"/>
      <c r="G31" s="47" t="s">
        <v>266</v>
      </c>
      <c r="H31" s="45" t="s">
        <v>178</v>
      </c>
      <c r="I31" s="42">
        <v>14.5</v>
      </c>
      <c r="J31" s="43">
        <f>ASSUMPTIONS!C12</f>
        <v>1</v>
      </c>
      <c r="K31" s="43">
        <f>1+ASSUMPTIONS!C16</f>
        <v>1.0349999999999999</v>
      </c>
      <c r="L31" s="51">
        <f>I31*J31*K31</f>
        <v>15.007499999999999</v>
      </c>
      <c r="M31" s="45" t="s">
        <v>179</v>
      </c>
      <c r="N31" s="52" t="s">
        <v>267</v>
      </c>
    </row>
    <row r="32" spans="2:14" ht="31.5" customHeight="1" x14ac:dyDescent="0.25">
      <c r="B32" s="274"/>
      <c r="C32" s="274"/>
      <c r="D32" s="274"/>
      <c r="E32" s="274"/>
      <c r="F32" s="274"/>
      <c r="G32" s="274"/>
      <c r="H32" s="274"/>
      <c r="I32" s="274"/>
      <c r="J32" s="274"/>
      <c r="K32" s="274"/>
      <c r="L32" s="274"/>
      <c r="M32" s="274"/>
      <c r="N32" s="46" t="s">
        <v>268</v>
      </c>
    </row>
    <row r="33" spans="2:14" ht="31.5" customHeight="1" x14ac:dyDescent="0.25">
      <c r="B33" s="47"/>
      <c r="C33" s="48" t="s">
        <v>255</v>
      </c>
      <c r="D33" s="60" t="s">
        <v>269</v>
      </c>
      <c r="E33" s="45" t="s">
        <v>270</v>
      </c>
      <c r="F33" s="50"/>
      <c r="G33" s="47" t="s">
        <v>271</v>
      </c>
      <c r="H33" s="45" t="s">
        <v>228</v>
      </c>
      <c r="I33" s="42">
        <v>8.5</v>
      </c>
      <c r="J33" s="43">
        <f>ASSUMPTIONS!C12</f>
        <v>1</v>
      </c>
      <c r="K33" s="43">
        <f>1+ASSUMPTIONS!C16</f>
        <v>1.0349999999999999</v>
      </c>
      <c r="L33" s="51">
        <f>I33*J33*K33</f>
        <v>8.7974999999999994</v>
      </c>
      <c r="M33" s="45" t="s">
        <v>179</v>
      </c>
      <c r="N33" s="52" t="s">
        <v>272</v>
      </c>
    </row>
    <row r="34" spans="2:14" ht="19.5" customHeight="1" x14ac:dyDescent="0.25">
      <c r="B34" s="270" t="s">
        <v>273</v>
      </c>
      <c r="C34" s="270"/>
      <c r="D34" s="270"/>
      <c r="E34" s="270"/>
      <c r="F34" s="270"/>
      <c r="G34" s="270"/>
      <c r="H34" s="270"/>
      <c r="I34" s="270"/>
      <c r="J34" s="270"/>
      <c r="K34" s="270"/>
      <c r="L34" s="270"/>
      <c r="M34" s="270"/>
    </row>
    <row r="35" spans="2:14" ht="31.5" customHeight="1" x14ac:dyDescent="0.25">
      <c r="B35" s="47"/>
      <c r="C35" s="48" t="s">
        <v>274</v>
      </c>
      <c r="D35" s="60" t="s">
        <v>275</v>
      </c>
      <c r="E35" s="45" t="s">
        <v>276</v>
      </c>
      <c r="F35" s="50"/>
      <c r="G35" s="47" t="s">
        <v>277</v>
      </c>
      <c r="H35" s="45" t="s">
        <v>187</v>
      </c>
      <c r="I35" s="42">
        <v>3950</v>
      </c>
      <c r="J35" s="43">
        <f>ASSUMPTIONS!C12</f>
        <v>1</v>
      </c>
      <c r="K35" s="43">
        <f>1+ASSUMPTIONS!C16</f>
        <v>1.0349999999999999</v>
      </c>
      <c r="L35" s="51">
        <f>I35*J35*K35</f>
        <v>4088.2499999999995</v>
      </c>
      <c r="M35" s="45" t="s">
        <v>179</v>
      </c>
      <c r="N35" s="52" t="s">
        <v>278</v>
      </c>
    </row>
    <row r="36" spans="2:14" ht="31.5" customHeight="1" x14ac:dyDescent="0.25">
      <c r="B36" s="37"/>
      <c r="C36" s="38" t="s">
        <v>274</v>
      </c>
      <c r="D36" s="54" t="s">
        <v>279</v>
      </c>
      <c r="E36" s="41" t="s">
        <v>276</v>
      </c>
      <c r="F36" s="40"/>
      <c r="G36" s="37" t="s">
        <v>280</v>
      </c>
      <c r="H36" s="41" t="s">
        <v>187</v>
      </c>
      <c r="I36" s="42">
        <v>5200</v>
      </c>
      <c r="J36" s="43">
        <f>ASSUMPTIONS!C12</f>
        <v>1</v>
      </c>
      <c r="K36" s="43">
        <f>1+ASSUMPTIONS!C16</f>
        <v>1.0349999999999999</v>
      </c>
      <c r="L36" s="44">
        <f>I36*J36*K36</f>
        <v>5382</v>
      </c>
      <c r="M36" s="53" t="s">
        <v>124</v>
      </c>
      <c r="N36" s="46" t="s">
        <v>281</v>
      </c>
    </row>
    <row r="37" spans="2:14" ht="31.5" customHeight="1" x14ac:dyDescent="0.25">
      <c r="B37" s="47"/>
      <c r="C37" s="48" t="s">
        <v>274</v>
      </c>
      <c r="D37" s="60" t="s">
        <v>282</v>
      </c>
      <c r="E37" s="45" t="s">
        <v>276</v>
      </c>
      <c r="F37" s="50"/>
      <c r="G37" s="47" t="s">
        <v>283</v>
      </c>
      <c r="H37" s="45" t="s">
        <v>187</v>
      </c>
      <c r="I37" s="42">
        <v>4800</v>
      </c>
      <c r="J37" s="43">
        <f>ASSUMPTIONS!C12</f>
        <v>1</v>
      </c>
      <c r="K37" s="43">
        <f>1+ASSUMPTIONS!C16</f>
        <v>1.0349999999999999</v>
      </c>
      <c r="L37" s="51">
        <f>I37*J37*K37</f>
        <v>4968</v>
      </c>
      <c r="M37" s="53" t="s">
        <v>124</v>
      </c>
      <c r="N37" s="52" t="s">
        <v>284</v>
      </c>
    </row>
    <row r="38" spans="2:14" ht="31.5" customHeight="1" x14ac:dyDescent="0.25">
      <c r="B38" s="37"/>
      <c r="C38" s="38" t="s">
        <v>274</v>
      </c>
      <c r="D38" s="54" t="s">
        <v>285</v>
      </c>
      <c r="E38" s="41" t="s">
        <v>286</v>
      </c>
      <c r="F38" s="40"/>
      <c r="G38" s="37" t="s">
        <v>287</v>
      </c>
      <c r="H38" s="41" t="s">
        <v>187</v>
      </c>
      <c r="I38" s="42">
        <v>18500</v>
      </c>
      <c r="J38" s="43">
        <f>ASSUMPTIONS!C12</f>
        <v>1</v>
      </c>
      <c r="K38" s="43">
        <f>1+ASSUMPTIONS!C16</f>
        <v>1.0349999999999999</v>
      </c>
      <c r="L38" s="44">
        <f>I38*J38*K38</f>
        <v>19147.5</v>
      </c>
      <c r="M38" s="53" t="s">
        <v>124</v>
      </c>
      <c r="N38" s="46" t="s">
        <v>288</v>
      </c>
    </row>
    <row r="39" spans="2:14" ht="31.5" customHeight="1" x14ac:dyDescent="0.25">
      <c r="B39" s="47"/>
      <c r="C39" s="48" t="s">
        <v>274</v>
      </c>
      <c r="D39" s="60" t="s">
        <v>289</v>
      </c>
      <c r="E39" s="45" t="s">
        <v>290</v>
      </c>
      <c r="F39" s="50"/>
      <c r="G39" s="47" t="s">
        <v>291</v>
      </c>
      <c r="H39" s="45" t="s">
        <v>178</v>
      </c>
      <c r="I39" s="42">
        <v>72</v>
      </c>
      <c r="J39" s="43">
        <f>ASSUMPTIONS!C12</f>
        <v>1</v>
      </c>
      <c r="K39" s="43">
        <f>1+ASSUMPTIONS!C16</f>
        <v>1.0349999999999999</v>
      </c>
      <c r="L39" s="51">
        <f>I39*J39*K39</f>
        <v>74.52</v>
      </c>
      <c r="M39" s="53" t="s">
        <v>124</v>
      </c>
      <c r="N39" s="52" t="s">
        <v>292</v>
      </c>
    </row>
    <row r="40" spans="2:14" ht="19.5" customHeight="1" x14ac:dyDescent="0.25">
      <c r="B40" s="270" t="s">
        <v>293</v>
      </c>
      <c r="C40" s="270"/>
      <c r="D40" s="270"/>
      <c r="E40" s="270"/>
      <c r="F40" s="270"/>
      <c r="G40" s="270"/>
      <c r="H40" s="270"/>
      <c r="I40" s="270"/>
      <c r="J40" s="270"/>
      <c r="K40" s="270"/>
      <c r="L40" s="270"/>
      <c r="M40" s="270"/>
    </row>
    <row r="41" spans="2:14" ht="31.5" customHeight="1" x14ac:dyDescent="0.25">
      <c r="B41" s="47"/>
      <c r="C41" s="48" t="s">
        <v>294</v>
      </c>
      <c r="D41" s="60" t="s">
        <v>295</v>
      </c>
      <c r="E41" s="45" t="s">
        <v>296</v>
      </c>
      <c r="F41" s="50"/>
      <c r="G41" s="47" t="s">
        <v>297</v>
      </c>
      <c r="H41" s="45" t="s">
        <v>178</v>
      </c>
      <c r="I41" s="42">
        <v>17.5</v>
      </c>
      <c r="J41" s="43">
        <f>ASSUMPTIONS!C12</f>
        <v>1</v>
      </c>
      <c r="K41" s="43">
        <f>1+ASSUMPTIONS!C16</f>
        <v>1.0349999999999999</v>
      </c>
      <c r="L41" s="51">
        <f t="shared" ref="L41:L55" si="1">I41*J41*K41</f>
        <v>18.112499999999997</v>
      </c>
      <c r="M41" s="45" t="s">
        <v>179</v>
      </c>
      <c r="N41" s="52" t="s">
        <v>298</v>
      </c>
    </row>
    <row r="42" spans="2:14" ht="31.5" customHeight="1" x14ac:dyDescent="0.25">
      <c r="B42" s="37"/>
      <c r="C42" s="38" t="s">
        <v>294</v>
      </c>
      <c r="D42" s="54" t="s">
        <v>299</v>
      </c>
      <c r="E42" s="41" t="s">
        <v>296</v>
      </c>
      <c r="F42" s="40"/>
      <c r="G42" s="37" t="s">
        <v>300</v>
      </c>
      <c r="H42" s="41" t="s">
        <v>178</v>
      </c>
      <c r="I42" s="42">
        <v>19.5</v>
      </c>
      <c r="J42" s="43">
        <f>ASSUMPTIONS!C12</f>
        <v>1</v>
      </c>
      <c r="K42" s="43">
        <f>1+ASSUMPTIONS!C16</f>
        <v>1.0349999999999999</v>
      </c>
      <c r="L42" s="44">
        <f t="shared" si="1"/>
        <v>20.182499999999997</v>
      </c>
      <c r="M42" s="45" t="s">
        <v>179</v>
      </c>
      <c r="N42" s="46" t="s">
        <v>301</v>
      </c>
    </row>
    <row r="43" spans="2:14" ht="31.5" customHeight="1" x14ac:dyDescent="0.25">
      <c r="B43" s="47"/>
      <c r="C43" s="48" t="s">
        <v>294</v>
      </c>
      <c r="D43" s="60" t="s">
        <v>302</v>
      </c>
      <c r="E43" s="45" t="s">
        <v>303</v>
      </c>
      <c r="F43" s="50"/>
      <c r="G43" s="47" t="s">
        <v>304</v>
      </c>
      <c r="H43" s="45" t="s">
        <v>178</v>
      </c>
      <c r="I43" s="42">
        <v>9.25</v>
      </c>
      <c r="J43" s="43">
        <f>ASSUMPTIONS!C12</f>
        <v>1</v>
      </c>
      <c r="K43" s="43">
        <f>1+ASSUMPTIONS!C16</f>
        <v>1.0349999999999999</v>
      </c>
      <c r="L43" s="51">
        <f t="shared" si="1"/>
        <v>9.5737499999999986</v>
      </c>
      <c r="M43" s="45" t="s">
        <v>179</v>
      </c>
      <c r="N43" s="52" t="s">
        <v>305</v>
      </c>
    </row>
    <row r="44" spans="2:14" ht="31.5" customHeight="1" x14ac:dyDescent="0.25">
      <c r="B44" s="37"/>
      <c r="C44" s="38" t="s">
        <v>294</v>
      </c>
      <c r="D44" s="54" t="s">
        <v>306</v>
      </c>
      <c r="E44" s="41" t="s">
        <v>307</v>
      </c>
      <c r="F44" s="40"/>
      <c r="G44" s="37" t="s">
        <v>308</v>
      </c>
      <c r="H44" s="41" t="s">
        <v>178</v>
      </c>
      <c r="I44" s="42">
        <v>11.5</v>
      </c>
      <c r="J44" s="43">
        <f>ASSUMPTIONS!C12</f>
        <v>1</v>
      </c>
      <c r="K44" s="43">
        <f>1+ASSUMPTIONS!C16</f>
        <v>1.0349999999999999</v>
      </c>
      <c r="L44" s="44">
        <f t="shared" si="1"/>
        <v>11.9025</v>
      </c>
      <c r="M44" s="45" t="s">
        <v>179</v>
      </c>
      <c r="N44" s="46" t="s">
        <v>309</v>
      </c>
    </row>
    <row r="45" spans="2:14" ht="31.5" customHeight="1" x14ac:dyDescent="0.25">
      <c r="B45" s="47"/>
      <c r="C45" s="48" t="s">
        <v>294</v>
      </c>
      <c r="D45" s="60" t="s">
        <v>310</v>
      </c>
      <c r="E45" s="45" t="s">
        <v>296</v>
      </c>
      <c r="F45" s="50"/>
      <c r="G45" s="47" t="s">
        <v>311</v>
      </c>
      <c r="H45" s="45" t="s">
        <v>178</v>
      </c>
      <c r="I45" s="42">
        <v>12.75</v>
      </c>
      <c r="J45" s="43">
        <f>ASSUMPTIONS!C12</f>
        <v>1</v>
      </c>
      <c r="K45" s="43">
        <f>1+ASSUMPTIONS!C16</f>
        <v>1.0349999999999999</v>
      </c>
      <c r="L45" s="51">
        <f t="shared" si="1"/>
        <v>13.196249999999999</v>
      </c>
      <c r="M45" s="45" t="s">
        <v>179</v>
      </c>
      <c r="N45" s="52" t="s">
        <v>312</v>
      </c>
    </row>
    <row r="46" spans="2:14" ht="31.5" customHeight="1" x14ac:dyDescent="0.25">
      <c r="B46" s="37"/>
      <c r="C46" s="38" t="s">
        <v>294</v>
      </c>
      <c r="D46" s="54" t="s">
        <v>313</v>
      </c>
      <c r="E46" s="41" t="s">
        <v>314</v>
      </c>
      <c r="F46" s="40"/>
      <c r="G46" s="37" t="s">
        <v>315</v>
      </c>
      <c r="H46" s="41" t="s">
        <v>178</v>
      </c>
      <c r="I46" s="42">
        <v>3.95</v>
      </c>
      <c r="J46" s="43">
        <f>ASSUMPTIONS!C12</f>
        <v>1</v>
      </c>
      <c r="K46" s="43">
        <f>1+ASSUMPTIONS!C16</f>
        <v>1.0349999999999999</v>
      </c>
      <c r="L46" s="44">
        <f t="shared" si="1"/>
        <v>4.0882499999999995</v>
      </c>
      <c r="M46" s="45" t="s">
        <v>179</v>
      </c>
      <c r="N46" s="46" t="s">
        <v>316</v>
      </c>
    </row>
    <row r="47" spans="2:14" ht="31.5" customHeight="1" x14ac:dyDescent="0.25">
      <c r="B47" s="47"/>
      <c r="C47" s="48" t="s">
        <v>294</v>
      </c>
      <c r="D47" s="60" t="s">
        <v>317</v>
      </c>
      <c r="E47" s="45" t="s">
        <v>314</v>
      </c>
      <c r="F47" s="50"/>
      <c r="G47" s="47" t="s">
        <v>318</v>
      </c>
      <c r="H47" s="45" t="s">
        <v>178</v>
      </c>
      <c r="I47" s="42">
        <v>4.5</v>
      </c>
      <c r="J47" s="43">
        <f>ASSUMPTIONS!C12</f>
        <v>1</v>
      </c>
      <c r="K47" s="43">
        <f>1+ASSUMPTIONS!C16</f>
        <v>1.0349999999999999</v>
      </c>
      <c r="L47" s="51">
        <f t="shared" si="1"/>
        <v>4.6574999999999998</v>
      </c>
      <c r="M47" s="45" t="s">
        <v>179</v>
      </c>
      <c r="N47" s="52" t="s">
        <v>319</v>
      </c>
    </row>
    <row r="48" spans="2:14" ht="31.5" customHeight="1" x14ac:dyDescent="0.25">
      <c r="B48" s="37"/>
      <c r="C48" s="38" t="s">
        <v>294</v>
      </c>
      <c r="D48" s="54" t="s">
        <v>320</v>
      </c>
      <c r="E48" s="41" t="s">
        <v>321</v>
      </c>
      <c r="F48" s="40"/>
      <c r="G48" s="37" t="s">
        <v>322</v>
      </c>
      <c r="H48" s="41" t="s">
        <v>178</v>
      </c>
      <c r="I48" s="42">
        <v>10.5</v>
      </c>
      <c r="J48" s="43">
        <f>ASSUMPTIONS!C12</f>
        <v>1</v>
      </c>
      <c r="K48" s="43">
        <f>1+ASSUMPTIONS!C16</f>
        <v>1.0349999999999999</v>
      </c>
      <c r="L48" s="44">
        <f t="shared" si="1"/>
        <v>10.8675</v>
      </c>
      <c r="M48" s="45" t="s">
        <v>179</v>
      </c>
      <c r="N48" s="46" t="s">
        <v>323</v>
      </c>
    </row>
    <row r="49" spans="2:14" ht="31.5" customHeight="1" x14ac:dyDescent="0.25">
      <c r="B49" s="47"/>
      <c r="C49" s="48" t="s">
        <v>294</v>
      </c>
      <c r="D49" s="60" t="s">
        <v>324</v>
      </c>
      <c r="E49" s="45" t="s">
        <v>325</v>
      </c>
      <c r="F49" s="50"/>
      <c r="G49" s="47" t="s">
        <v>326</v>
      </c>
      <c r="H49" s="45" t="s">
        <v>178</v>
      </c>
      <c r="I49" s="42">
        <v>11.5</v>
      </c>
      <c r="J49" s="43">
        <f>ASSUMPTIONS!C12</f>
        <v>1</v>
      </c>
      <c r="K49" s="43">
        <f>1+ASSUMPTIONS!C16</f>
        <v>1.0349999999999999</v>
      </c>
      <c r="L49" s="51">
        <f t="shared" si="1"/>
        <v>11.9025</v>
      </c>
      <c r="M49" s="45" t="s">
        <v>179</v>
      </c>
      <c r="N49" s="52" t="s">
        <v>327</v>
      </c>
    </row>
    <row r="50" spans="2:14" ht="31.5" customHeight="1" x14ac:dyDescent="0.25">
      <c r="B50" s="37"/>
      <c r="C50" s="38" t="s">
        <v>294</v>
      </c>
      <c r="D50" s="54" t="s">
        <v>328</v>
      </c>
      <c r="E50" s="41" t="s">
        <v>329</v>
      </c>
      <c r="F50" s="40"/>
      <c r="G50" s="37" t="s">
        <v>330</v>
      </c>
      <c r="H50" s="41" t="s">
        <v>178</v>
      </c>
      <c r="I50" s="42">
        <v>18.5</v>
      </c>
      <c r="J50" s="43">
        <f>ASSUMPTIONS!C12</f>
        <v>1</v>
      </c>
      <c r="K50" s="43">
        <f>1+ASSUMPTIONS!C16</f>
        <v>1.0349999999999999</v>
      </c>
      <c r="L50" s="44">
        <f t="shared" si="1"/>
        <v>19.147499999999997</v>
      </c>
      <c r="M50" s="45" t="s">
        <v>179</v>
      </c>
      <c r="N50" s="46" t="s">
        <v>331</v>
      </c>
    </row>
    <row r="51" spans="2:14" ht="31.5" customHeight="1" x14ac:dyDescent="0.25">
      <c r="B51" s="47"/>
      <c r="C51" s="48" t="s">
        <v>294</v>
      </c>
      <c r="D51" s="60" t="s">
        <v>332</v>
      </c>
      <c r="E51" s="45" t="s">
        <v>329</v>
      </c>
      <c r="F51" s="50"/>
      <c r="G51" s="47" t="s">
        <v>333</v>
      </c>
      <c r="H51" s="45" t="s">
        <v>178</v>
      </c>
      <c r="I51" s="42">
        <v>16.5</v>
      </c>
      <c r="J51" s="43">
        <f>ASSUMPTIONS!C12</f>
        <v>1</v>
      </c>
      <c r="K51" s="43">
        <f>1+ASSUMPTIONS!C16</f>
        <v>1.0349999999999999</v>
      </c>
      <c r="L51" s="51">
        <f t="shared" si="1"/>
        <v>17.077499999999997</v>
      </c>
      <c r="M51" s="45" t="s">
        <v>179</v>
      </c>
      <c r="N51" s="52" t="s">
        <v>334</v>
      </c>
    </row>
    <row r="52" spans="2:14" ht="31.5" customHeight="1" x14ac:dyDescent="0.25">
      <c r="B52" s="37"/>
      <c r="C52" s="38" t="s">
        <v>294</v>
      </c>
      <c r="D52" s="54" t="s">
        <v>335</v>
      </c>
      <c r="E52" s="41" t="s">
        <v>336</v>
      </c>
      <c r="F52" s="40"/>
      <c r="G52" s="37" t="s">
        <v>337</v>
      </c>
      <c r="H52" s="41" t="s">
        <v>178</v>
      </c>
      <c r="I52" s="42">
        <v>13.75</v>
      </c>
      <c r="J52" s="43">
        <f>ASSUMPTIONS!C12</f>
        <v>1</v>
      </c>
      <c r="K52" s="43">
        <f>1+ASSUMPTIONS!C16</f>
        <v>1.0349999999999999</v>
      </c>
      <c r="L52" s="44">
        <f t="shared" si="1"/>
        <v>14.231249999999999</v>
      </c>
      <c r="M52" s="53" t="s">
        <v>124</v>
      </c>
      <c r="N52" s="46" t="s">
        <v>338</v>
      </c>
    </row>
    <row r="53" spans="2:14" ht="31.5" customHeight="1" x14ac:dyDescent="0.25">
      <c r="B53" s="47"/>
      <c r="C53" s="48" t="s">
        <v>294</v>
      </c>
      <c r="D53" s="60" t="s">
        <v>339</v>
      </c>
      <c r="E53" s="45" t="s">
        <v>340</v>
      </c>
      <c r="F53" s="50"/>
      <c r="G53" s="47" t="s">
        <v>341</v>
      </c>
      <c r="H53" s="45" t="s">
        <v>178</v>
      </c>
      <c r="I53" s="42">
        <v>7.5</v>
      </c>
      <c r="J53" s="43">
        <f>ASSUMPTIONS!C12</f>
        <v>1</v>
      </c>
      <c r="K53" s="43">
        <f>1+ASSUMPTIONS!C16</f>
        <v>1.0349999999999999</v>
      </c>
      <c r="L53" s="51">
        <f t="shared" si="1"/>
        <v>7.7624999999999993</v>
      </c>
      <c r="M53" s="53" t="s">
        <v>124</v>
      </c>
      <c r="N53" s="52" t="s">
        <v>342</v>
      </c>
    </row>
    <row r="54" spans="2:14" ht="31.5" customHeight="1" x14ac:dyDescent="0.25">
      <c r="B54" s="37"/>
      <c r="C54" s="38" t="s">
        <v>294</v>
      </c>
      <c r="D54" s="54" t="s">
        <v>343</v>
      </c>
      <c r="E54" s="41" t="s">
        <v>344</v>
      </c>
      <c r="F54" s="40"/>
      <c r="G54" s="37" t="s">
        <v>345</v>
      </c>
      <c r="H54" s="41" t="s">
        <v>228</v>
      </c>
      <c r="I54" s="42">
        <v>42</v>
      </c>
      <c r="J54" s="43">
        <f>ASSUMPTIONS!C12</f>
        <v>1</v>
      </c>
      <c r="K54" s="43">
        <f>1+ASSUMPTIONS!C16</f>
        <v>1.0349999999999999</v>
      </c>
      <c r="L54" s="44">
        <f t="shared" si="1"/>
        <v>43.47</v>
      </c>
      <c r="M54" s="45" t="s">
        <v>179</v>
      </c>
      <c r="N54" s="46" t="s">
        <v>346</v>
      </c>
    </row>
    <row r="55" spans="2:14" ht="31.5" customHeight="1" x14ac:dyDescent="0.25">
      <c r="B55" s="47"/>
      <c r="C55" s="48" t="s">
        <v>294</v>
      </c>
      <c r="D55" s="60" t="s">
        <v>347</v>
      </c>
      <c r="E55" s="45" t="s">
        <v>344</v>
      </c>
      <c r="F55" s="50"/>
      <c r="G55" s="47" t="s">
        <v>348</v>
      </c>
      <c r="H55" s="45" t="s">
        <v>228</v>
      </c>
      <c r="I55" s="42">
        <v>28.5</v>
      </c>
      <c r="J55" s="43">
        <f>ASSUMPTIONS!C12</f>
        <v>1</v>
      </c>
      <c r="K55" s="43">
        <f>1+ASSUMPTIONS!C16</f>
        <v>1.0349999999999999</v>
      </c>
      <c r="L55" s="51">
        <f t="shared" si="1"/>
        <v>29.497499999999999</v>
      </c>
      <c r="M55" s="45" t="s">
        <v>179</v>
      </c>
      <c r="N55" s="52" t="s">
        <v>349</v>
      </c>
    </row>
    <row r="56" spans="2:14" ht="19.5" customHeight="1" x14ac:dyDescent="0.25">
      <c r="B56" s="270" t="s">
        <v>350</v>
      </c>
      <c r="C56" s="270"/>
      <c r="D56" s="270"/>
      <c r="E56" s="270"/>
      <c r="F56" s="270"/>
      <c r="G56" s="270"/>
      <c r="H56" s="270"/>
      <c r="I56" s="270"/>
      <c r="J56" s="270"/>
      <c r="K56" s="270"/>
      <c r="L56" s="270"/>
      <c r="M56" s="270"/>
    </row>
    <row r="57" spans="2:14" ht="31.5" customHeight="1" x14ac:dyDescent="0.25">
      <c r="B57" s="47"/>
      <c r="C57" s="48" t="s">
        <v>31</v>
      </c>
      <c r="D57" s="60" t="s">
        <v>351</v>
      </c>
      <c r="E57" s="45" t="s">
        <v>352</v>
      </c>
      <c r="F57" s="50"/>
      <c r="G57" s="47" t="s">
        <v>353</v>
      </c>
      <c r="H57" s="45" t="s">
        <v>187</v>
      </c>
      <c r="I57" s="42">
        <v>1250</v>
      </c>
      <c r="J57" s="43">
        <f>ASSUMPTIONS!C12</f>
        <v>1</v>
      </c>
      <c r="K57" s="43">
        <f>1+ASSUMPTIONS!C16</f>
        <v>1.0349999999999999</v>
      </c>
      <c r="L57" s="51">
        <f t="shared" ref="L57:L65" si="2">I57*J57*K57</f>
        <v>1293.75</v>
      </c>
      <c r="M57" s="45" t="s">
        <v>179</v>
      </c>
      <c r="N57" s="52" t="s">
        <v>354</v>
      </c>
    </row>
    <row r="58" spans="2:14" ht="31.5" customHeight="1" x14ac:dyDescent="0.25">
      <c r="B58" s="37"/>
      <c r="C58" s="38" t="s">
        <v>31</v>
      </c>
      <c r="D58" s="54" t="s">
        <v>355</v>
      </c>
      <c r="E58" s="41" t="s">
        <v>356</v>
      </c>
      <c r="F58" s="40"/>
      <c r="G58" s="37" t="s">
        <v>357</v>
      </c>
      <c r="H58" s="41" t="s">
        <v>187</v>
      </c>
      <c r="I58" s="42">
        <v>2200</v>
      </c>
      <c r="J58" s="43">
        <f>ASSUMPTIONS!C12</f>
        <v>1</v>
      </c>
      <c r="K58" s="43">
        <f>1+ASSUMPTIONS!C16</f>
        <v>1.0349999999999999</v>
      </c>
      <c r="L58" s="44">
        <f t="shared" si="2"/>
        <v>2277</v>
      </c>
      <c r="M58" s="53" t="s">
        <v>124</v>
      </c>
      <c r="N58" s="46" t="s">
        <v>358</v>
      </c>
    </row>
    <row r="59" spans="2:14" ht="31.5" customHeight="1" x14ac:dyDescent="0.25">
      <c r="B59" s="47"/>
      <c r="C59" s="48" t="s">
        <v>31</v>
      </c>
      <c r="D59" s="60" t="s">
        <v>359</v>
      </c>
      <c r="E59" s="45" t="s">
        <v>360</v>
      </c>
      <c r="F59" s="50"/>
      <c r="G59" s="47" t="s">
        <v>361</v>
      </c>
      <c r="H59" s="45" t="s">
        <v>187</v>
      </c>
      <c r="I59" s="42">
        <v>485</v>
      </c>
      <c r="J59" s="43">
        <f>ASSUMPTIONS!C12</f>
        <v>1</v>
      </c>
      <c r="K59" s="43">
        <f>1+ASSUMPTIONS!C16</f>
        <v>1.0349999999999999</v>
      </c>
      <c r="L59" s="51">
        <f t="shared" si="2"/>
        <v>501.97499999999997</v>
      </c>
      <c r="M59" s="45" t="s">
        <v>179</v>
      </c>
      <c r="N59" s="52" t="s">
        <v>362</v>
      </c>
    </row>
    <row r="60" spans="2:14" ht="31.5" customHeight="1" x14ac:dyDescent="0.25">
      <c r="B60" s="37"/>
      <c r="C60" s="38" t="s">
        <v>31</v>
      </c>
      <c r="D60" s="54" t="s">
        <v>363</v>
      </c>
      <c r="E60" s="41" t="s">
        <v>364</v>
      </c>
      <c r="F60" s="40"/>
      <c r="G60" s="37" t="s">
        <v>365</v>
      </c>
      <c r="H60" s="41" t="s">
        <v>187</v>
      </c>
      <c r="I60" s="42">
        <v>195</v>
      </c>
      <c r="J60" s="43">
        <f>ASSUMPTIONS!C12</f>
        <v>1</v>
      </c>
      <c r="K60" s="43">
        <f>1+ASSUMPTIONS!C16</f>
        <v>1.0349999999999999</v>
      </c>
      <c r="L60" s="44">
        <f t="shared" si="2"/>
        <v>201.82499999999999</v>
      </c>
      <c r="M60" s="45" t="s">
        <v>179</v>
      </c>
      <c r="N60" s="46" t="s">
        <v>366</v>
      </c>
    </row>
    <row r="61" spans="2:14" ht="31.5" customHeight="1" x14ac:dyDescent="0.25">
      <c r="B61" s="47"/>
      <c r="C61" s="48" t="s">
        <v>31</v>
      </c>
      <c r="D61" s="60" t="s">
        <v>367</v>
      </c>
      <c r="E61" s="45" t="s">
        <v>368</v>
      </c>
      <c r="F61" s="50"/>
      <c r="G61" s="47" t="s">
        <v>369</v>
      </c>
      <c r="H61" s="45" t="s">
        <v>187</v>
      </c>
      <c r="I61" s="42">
        <v>325</v>
      </c>
      <c r="J61" s="43">
        <f>ASSUMPTIONS!C12</f>
        <v>1</v>
      </c>
      <c r="K61" s="43">
        <f>1+ASSUMPTIONS!C16</f>
        <v>1.0349999999999999</v>
      </c>
      <c r="L61" s="51">
        <f t="shared" si="2"/>
        <v>336.375</v>
      </c>
      <c r="M61" s="53" t="s">
        <v>124</v>
      </c>
      <c r="N61" s="52" t="s">
        <v>370</v>
      </c>
    </row>
    <row r="62" spans="2:14" ht="31.5" customHeight="1" x14ac:dyDescent="0.25">
      <c r="B62" s="37"/>
      <c r="C62" s="38" t="s">
        <v>31</v>
      </c>
      <c r="D62" s="54" t="s">
        <v>371</v>
      </c>
      <c r="E62" s="41" t="s">
        <v>372</v>
      </c>
      <c r="F62" s="40"/>
      <c r="G62" s="37" t="s">
        <v>373</v>
      </c>
      <c r="H62" s="41" t="s">
        <v>187</v>
      </c>
      <c r="I62" s="42">
        <v>850</v>
      </c>
      <c r="J62" s="43">
        <f>ASSUMPTIONS!C12</f>
        <v>1</v>
      </c>
      <c r="K62" s="43">
        <f>1+ASSUMPTIONS!C16</f>
        <v>1.0349999999999999</v>
      </c>
      <c r="L62" s="44">
        <f t="shared" si="2"/>
        <v>879.74999999999989</v>
      </c>
      <c r="M62" s="53" t="s">
        <v>124</v>
      </c>
      <c r="N62" s="46" t="s">
        <v>374</v>
      </c>
    </row>
    <row r="63" spans="2:14" ht="31.5" customHeight="1" x14ac:dyDescent="0.25">
      <c r="B63" s="47"/>
      <c r="C63" s="48" t="s">
        <v>31</v>
      </c>
      <c r="D63" s="60" t="s">
        <v>375</v>
      </c>
      <c r="E63" s="45" t="s">
        <v>372</v>
      </c>
      <c r="F63" s="50"/>
      <c r="G63" s="47" t="s">
        <v>376</v>
      </c>
      <c r="H63" s="45" t="s">
        <v>187</v>
      </c>
      <c r="I63" s="42">
        <v>1200</v>
      </c>
      <c r="J63" s="43">
        <f>ASSUMPTIONS!C12</f>
        <v>1</v>
      </c>
      <c r="K63" s="43">
        <f>1+ASSUMPTIONS!C16</f>
        <v>1.0349999999999999</v>
      </c>
      <c r="L63" s="51">
        <f t="shared" si="2"/>
        <v>1242</v>
      </c>
      <c r="M63" s="53" t="s">
        <v>124</v>
      </c>
      <c r="N63" s="52" t="s">
        <v>377</v>
      </c>
    </row>
    <row r="64" spans="2:14" ht="31.5" customHeight="1" x14ac:dyDescent="0.25">
      <c r="B64" s="37"/>
      <c r="C64" s="38" t="s">
        <v>31</v>
      </c>
      <c r="D64" s="54" t="s">
        <v>378</v>
      </c>
      <c r="E64" s="41" t="s">
        <v>379</v>
      </c>
      <c r="F64" s="40"/>
      <c r="G64" s="37" t="s">
        <v>380</v>
      </c>
      <c r="H64" s="41" t="s">
        <v>187</v>
      </c>
      <c r="I64" s="42">
        <v>385</v>
      </c>
      <c r="J64" s="43">
        <f>ASSUMPTIONS!C12</f>
        <v>1</v>
      </c>
      <c r="K64" s="43">
        <f>1+ASSUMPTIONS!C16</f>
        <v>1.0349999999999999</v>
      </c>
      <c r="L64" s="44">
        <f t="shared" si="2"/>
        <v>398.47499999999997</v>
      </c>
      <c r="M64" s="53" t="s">
        <v>124</v>
      </c>
      <c r="N64" s="46" t="s">
        <v>381</v>
      </c>
    </row>
    <row r="65" spans="2:14" ht="31.5" customHeight="1" x14ac:dyDescent="0.25">
      <c r="B65" s="47"/>
      <c r="C65" s="48" t="s">
        <v>31</v>
      </c>
      <c r="D65" s="60" t="s">
        <v>382</v>
      </c>
      <c r="E65" s="45" t="s">
        <v>356</v>
      </c>
      <c r="F65" s="50"/>
      <c r="G65" s="47" t="s">
        <v>383</v>
      </c>
      <c r="H65" s="45" t="s">
        <v>187</v>
      </c>
      <c r="I65" s="42">
        <v>325</v>
      </c>
      <c r="J65" s="43">
        <f>ASSUMPTIONS!C12</f>
        <v>1</v>
      </c>
      <c r="K65" s="43">
        <f>1+ASSUMPTIONS!C16</f>
        <v>1.0349999999999999</v>
      </c>
      <c r="L65" s="51">
        <f t="shared" si="2"/>
        <v>336.375</v>
      </c>
      <c r="M65" s="45" t="s">
        <v>179</v>
      </c>
      <c r="N65" s="52" t="s">
        <v>384</v>
      </c>
    </row>
    <row r="66" spans="2:14" ht="19.5" customHeight="1" x14ac:dyDescent="0.25">
      <c r="B66" s="270" t="s">
        <v>385</v>
      </c>
      <c r="C66" s="270"/>
      <c r="D66" s="270"/>
      <c r="E66" s="270"/>
      <c r="F66" s="270"/>
      <c r="G66" s="270"/>
      <c r="H66" s="270"/>
      <c r="I66" s="270"/>
      <c r="J66" s="270"/>
      <c r="K66" s="270"/>
      <c r="L66" s="270"/>
      <c r="M66" s="270"/>
    </row>
    <row r="67" spans="2:14" ht="31.5" customHeight="1" x14ac:dyDescent="0.25">
      <c r="B67" s="47"/>
      <c r="C67" s="48" t="s">
        <v>34</v>
      </c>
      <c r="D67" s="60" t="s">
        <v>386</v>
      </c>
      <c r="E67" s="45" t="s">
        <v>387</v>
      </c>
      <c r="F67" s="50"/>
      <c r="G67" s="47" t="s">
        <v>388</v>
      </c>
      <c r="H67" s="45" t="s">
        <v>212</v>
      </c>
      <c r="I67" s="42">
        <v>95000</v>
      </c>
      <c r="J67" s="43">
        <f>ASSUMPTIONS!C12</f>
        <v>1</v>
      </c>
      <c r="K67" s="43">
        <f>1+ASSUMPTIONS!C16</f>
        <v>1.0349999999999999</v>
      </c>
      <c r="L67" s="51">
        <f t="shared" ref="L67:L72" si="3">I67*J67*K67</f>
        <v>98324.999999999985</v>
      </c>
      <c r="M67" s="53" t="s">
        <v>124</v>
      </c>
      <c r="N67" s="52" t="s">
        <v>389</v>
      </c>
    </row>
    <row r="68" spans="2:14" ht="31.5" customHeight="1" x14ac:dyDescent="0.25">
      <c r="B68" s="37"/>
      <c r="C68" s="38" t="s">
        <v>34</v>
      </c>
      <c r="D68" s="54" t="s">
        <v>390</v>
      </c>
      <c r="E68" s="41" t="s">
        <v>391</v>
      </c>
      <c r="F68" s="40"/>
      <c r="G68" s="37" t="s">
        <v>392</v>
      </c>
      <c r="H68" s="41" t="s">
        <v>187</v>
      </c>
      <c r="I68" s="42">
        <v>4500</v>
      </c>
      <c r="J68" s="43">
        <f>ASSUMPTIONS!C12</f>
        <v>1</v>
      </c>
      <c r="K68" s="43">
        <f>1+ASSUMPTIONS!C16</f>
        <v>1.0349999999999999</v>
      </c>
      <c r="L68" s="44">
        <f t="shared" si="3"/>
        <v>4657.5</v>
      </c>
      <c r="M68" s="53" t="s">
        <v>124</v>
      </c>
      <c r="N68" s="46" t="s">
        <v>393</v>
      </c>
    </row>
    <row r="69" spans="2:14" ht="31.5" customHeight="1" x14ac:dyDescent="0.25">
      <c r="B69" s="47"/>
      <c r="C69" s="48" t="s">
        <v>34</v>
      </c>
      <c r="D69" s="60" t="s">
        <v>394</v>
      </c>
      <c r="E69" s="45" t="s">
        <v>395</v>
      </c>
      <c r="F69" s="50"/>
      <c r="G69" s="47" t="s">
        <v>396</v>
      </c>
      <c r="H69" s="45" t="s">
        <v>187</v>
      </c>
      <c r="I69" s="42">
        <v>28000</v>
      </c>
      <c r="J69" s="43">
        <f>ASSUMPTIONS!C12</f>
        <v>1</v>
      </c>
      <c r="K69" s="43">
        <f>1+ASSUMPTIONS!C16</f>
        <v>1.0349999999999999</v>
      </c>
      <c r="L69" s="51">
        <f t="shared" si="3"/>
        <v>28979.999999999996</v>
      </c>
      <c r="M69" s="53" t="s">
        <v>124</v>
      </c>
      <c r="N69" s="52" t="s">
        <v>397</v>
      </c>
    </row>
    <row r="70" spans="2:14" ht="31.5" customHeight="1" x14ac:dyDescent="0.25">
      <c r="B70" s="37"/>
      <c r="C70" s="38" t="s">
        <v>34</v>
      </c>
      <c r="D70" s="54" t="s">
        <v>398</v>
      </c>
      <c r="E70" s="41" t="s">
        <v>399</v>
      </c>
      <c r="F70" s="40"/>
      <c r="G70" s="37" t="s">
        <v>400</v>
      </c>
      <c r="H70" s="41" t="s">
        <v>212</v>
      </c>
      <c r="I70" s="42">
        <v>22000</v>
      </c>
      <c r="J70" s="43">
        <f>ASSUMPTIONS!C12</f>
        <v>1</v>
      </c>
      <c r="K70" s="43">
        <f>1+ASSUMPTIONS!C16</f>
        <v>1.0349999999999999</v>
      </c>
      <c r="L70" s="44">
        <f t="shared" si="3"/>
        <v>22770</v>
      </c>
      <c r="M70" s="53" t="s">
        <v>124</v>
      </c>
      <c r="N70" s="46" t="s">
        <v>401</v>
      </c>
    </row>
    <row r="71" spans="2:14" ht="31.5" customHeight="1" x14ac:dyDescent="0.25">
      <c r="B71" s="47"/>
      <c r="C71" s="48" t="s">
        <v>34</v>
      </c>
      <c r="D71" s="60" t="s">
        <v>402</v>
      </c>
      <c r="E71" s="45" t="s">
        <v>399</v>
      </c>
      <c r="F71" s="50"/>
      <c r="G71" s="47" t="s">
        <v>403</v>
      </c>
      <c r="H71" s="45" t="s">
        <v>212</v>
      </c>
      <c r="I71" s="42">
        <v>18000</v>
      </c>
      <c r="J71" s="43">
        <f>ASSUMPTIONS!C12</f>
        <v>1</v>
      </c>
      <c r="K71" s="43">
        <f>1+ASSUMPTIONS!C16</f>
        <v>1.0349999999999999</v>
      </c>
      <c r="L71" s="51">
        <f t="shared" si="3"/>
        <v>18630</v>
      </c>
      <c r="M71" s="53" t="s">
        <v>124</v>
      </c>
      <c r="N71" s="52" t="s">
        <v>404</v>
      </c>
    </row>
    <row r="72" spans="2:14" ht="31.5" customHeight="1" x14ac:dyDescent="0.25">
      <c r="B72" s="37"/>
      <c r="C72" s="38" t="s">
        <v>34</v>
      </c>
      <c r="D72" s="54" t="s">
        <v>405</v>
      </c>
      <c r="E72" s="41" t="s">
        <v>406</v>
      </c>
      <c r="F72" s="40"/>
      <c r="G72" s="37" t="s">
        <v>407</v>
      </c>
      <c r="H72" s="41" t="s">
        <v>187</v>
      </c>
      <c r="I72" s="42">
        <v>3800</v>
      </c>
      <c r="J72" s="43">
        <f>ASSUMPTIONS!C12</f>
        <v>1</v>
      </c>
      <c r="K72" s="43">
        <f>1+ASSUMPTIONS!C16</f>
        <v>1.0349999999999999</v>
      </c>
      <c r="L72" s="44">
        <f t="shared" si="3"/>
        <v>3932.9999999999995</v>
      </c>
      <c r="M72" s="53" t="s">
        <v>124</v>
      </c>
      <c r="N72" s="46" t="s">
        <v>408</v>
      </c>
    </row>
    <row r="73" spans="2:14" ht="19.5" customHeight="1" x14ac:dyDescent="0.25">
      <c r="B73" s="270" t="s">
        <v>409</v>
      </c>
      <c r="C73" s="270"/>
      <c r="D73" s="270"/>
      <c r="E73" s="270"/>
      <c r="F73" s="270"/>
      <c r="G73" s="270"/>
      <c r="H73" s="270"/>
      <c r="I73" s="270"/>
      <c r="J73" s="270"/>
      <c r="K73" s="270"/>
      <c r="L73" s="270"/>
      <c r="M73" s="270"/>
    </row>
    <row r="74" spans="2:14" ht="31.5" customHeight="1" x14ac:dyDescent="0.25">
      <c r="B74" s="37"/>
      <c r="C74" s="38" t="s">
        <v>37</v>
      </c>
      <c r="D74" s="54" t="s">
        <v>410</v>
      </c>
      <c r="E74" s="41" t="s">
        <v>411</v>
      </c>
      <c r="F74" s="40"/>
      <c r="G74" s="37" t="s">
        <v>412</v>
      </c>
      <c r="H74" s="41" t="s">
        <v>187</v>
      </c>
      <c r="I74" s="42">
        <v>285</v>
      </c>
      <c r="J74" s="43">
        <f>ASSUMPTIONS!C12</f>
        <v>1</v>
      </c>
      <c r="K74" s="43">
        <f>1+ASSUMPTIONS!C16</f>
        <v>1.0349999999999999</v>
      </c>
      <c r="L74" s="44">
        <f>I74*J74*K74</f>
        <v>294.97499999999997</v>
      </c>
      <c r="M74" s="53" t="s">
        <v>124</v>
      </c>
      <c r="N74" s="46" t="s">
        <v>413</v>
      </c>
    </row>
    <row r="75" spans="2:14" ht="31.5" customHeight="1" x14ac:dyDescent="0.25">
      <c r="B75" s="47"/>
      <c r="C75" s="48" t="s">
        <v>37</v>
      </c>
      <c r="D75" s="60" t="s">
        <v>414</v>
      </c>
      <c r="E75" s="45" t="s">
        <v>415</v>
      </c>
      <c r="F75" s="50"/>
      <c r="G75" s="47" t="s">
        <v>416</v>
      </c>
      <c r="H75" s="45" t="s">
        <v>187</v>
      </c>
      <c r="I75" s="42">
        <v>385</v>
      </c>
      <c r="J75" s="43">
        <f>ASSUMPTIONS!C12</f>
        <v>1</v>
      </c>
      <c r="K75" s="43">
        <f>1+ASSUMPTIONS!C16</f>
        <v>1.0349999999999999</v>
      </c>
      <c r="L75" s="51">
        <f>I75*J75*K75</f>
        <v>398.47499999999997</v>
      </c>
      <c r="M75" s="53" t="s">
        <v>124</v>
      </c>
      <c r="N75" s="52" t="s">
        <v>417</v>
      </c>
    </row>
    <row r="76" spans="2:14" ht="31.5" customHeight="1" x14ac:dyDescent="0.25">
      <c r="B76" s="37"/>
      <c r="C76" s="38" t="s">
        <v>37</v>
      </c>
      <c r="D76" s="54" t="s">
        <v>418</v>
      </c>
      <c r="E76" s="41" t="s">
        <v>415</v>
      </c>
      <c r="F76" s="40"/>
      <c r="G76" s="37" t="s">
        <v>419</v>
      </c>
      <c r="H76" s="41" t="s">
        <v>212</v>
      </c>
      <c r="I76" s="42">
        <v>12000</v>
      </c>
      <c r="J76" s="43">
        <f>ASSUMPTIONS!C12</f>
        <v>1</v>
      </c>
      <c r="K76" s="43">
        <f>1+ASSUMPTIONS!C16</f>
        <v>1.0349999999999999</v>
      </c>
      <c r="L76" s="44">
        <f>I76*J76*K76</f>
        <v>12419.999999999998</v>
      </c>
      <c r="M76" s="53" t="s">
        <v>124</v>
      </c>
      <c r="N76" s="46" t="s">
        <v>420</v>
      </c>
    </row>
    <row r="77" spans="2:14" ht="19.5" customHeight="1" x14ac:dyDescent="0.25">
      <c r="B77" s="270" t="s">
        <v>421</v>
      </c>
      <c r="C77" s="270"/>
      <c r="D77" s="270"/>
      <c r="E77" s="270"/>
      <c r="F77" s="270"/>
      <c r="G77" s="270"/>
      <c r="H77" s="270"/>
      <c r="I77" s="270"/>
      <c r="J77" s="270"/>
      <c r="K77" s="270"/>
      <c r="L77" s="270"/>
      <c r="M77" s="270"/>
    </row>
    <row r="78" spans="2:14" ht="31.5" customHeight="1" x14ac:dyDescent="0.25">
      <c r="B78" s="37"/>
      <c r="C78" s="38" t="s">
        <v>422</v>
      </c>
      <c r="D78" s="54" t="s">
        <v>423</v>
      </c>
      <c r="E78" s="41" t="s">
        <v>424</v>
      </c>
      <c r="F78" s="40"/>
      <c r="G78" s="37" t="s">
        <v>425</v>
      </c>
      <c r="H78" s="41" t="s">
        <v>178</v>
      </c>
      <c r="I78" s="42">
        <v>8.5</v>
      </c>
      <c r="J78" s="43">
        <f>ASSUMPTIONS!C12</f>
        <v>1</v>
      </c>
      <c r="K78" s="43">
        <f>1+ASSUMPTIONS!C16</f>
        <v>1.0349999999999999</v>
      </c>
      <c r="L78" s="44">
        <f>I78*J78*K78</f>
        <v>8.7974999999999994</v>
      </c>
      <c r="M78" s="45" t="s">
        <v>179</v>
      </c>
      <c r="N78" s="46" t="s">
        <v>426</v>
      </c>
    </row>
    <row r="79" spans="2:14" ht="31.5" customHeight="1" x14ac:dyDescent="0.25">
      <c r="B79" s="47"/>
      <c r="C79" s="48" t="s">
        <v>422</v>
      </c>
      <c r="D79" s="60" t="s">
        <v>427</v>
      </c>
      <c r="E79" s="45" t="s">
        <v>424</v>
      </c>
      <c r="F79" s="50"/>
      <c r="G79" s="47" t="s">
        <v>428</v>
      </c>
      <c r="H79" s="45" t="s">
        <v>187</v>
      </c>
      <c r="I79" s="42">
        <v>185</v>
      </c>
      <c r="J79" s="43">
        <f>ASSUMPTIONS!C12</f>
        <v>1</v>
      </c>
      <c r="K79" s="43">
        <f>1+ASSUMPTIONS!C16</f>
        <v>1.0349999999999999</v>
      </c>
      <c r="L79" s="51">
        <f>I79*J79*K79</f>
        <v>191.47499999999999</v>
      </c>
      <c r="M79" s="45" t="s">
        <v>179</v>
      </c>
      <c r="N79" s="52" t="s">
        <v>429</v>
      </c>
    </row>
    <row r="80" spans="2:14" ht="19.5" customHeight="1" x14ac:dyDescent="0.25">
      <c r="B80" s="270" t="s">
        <v>430</v>
      </c>
      <c r="C80" s="270"/>
      <c r="D80" s="270"/>
      <c r="E80" s="270"/>
      <c r="F80" s="270"/>
      <c r="G80" s="270"/>
      <c r="H80" s="270"/>
      <c r="I80" s="270"/>
      <c r="J80" s="270"/>
      <c r="K80" s="270"/>
      <c r="L80" s="270"/>
      <c r="M80" s="270"/>
    </row>
    <row r="81" spans="2:14" ht="31.5" customHeight="1" x14ac:dyDescent="0.25">
      <c r="B81" s="47"/>
      <c r="C81" s="48" t="s">
        <v>431</v>
      </c>
      <c r="D81" s="60" t="s">
        <v>432</v>
      </c>
      <c r="E81" s="45" t="s">
        <v>433</v>
      </c>
      <c r="F81" s="50"/>
      <c r="G81" s="47" t="s">
        <v>434</v>
      </c>
      <c r="H81" s="45" t="s">
        <v>187</v>
      </c>
      <c r="I81" s="42">
        <v>14500</v>
      </c>
      <c r="J81" s="43">
        <f>ASSUMPTIONS!C12</f>
        <v>1</v>
      </c>
      <c r="K81" s="43">
        <f>1+ASSUMPTIONS!C16</f>
        <v>1.0349999999999999</v>
      </c>
      <c r="L81" s="51">
        <f>I81*J81*K81</f>
        <v>15007.499999999998</v>
      </c>
      <c r="M81" s="45" t="s">
        <v>179</v>
      </c>
      <c r="N81" s="52" t="s">
        <v>435</v>
      </c>
    </row>
    <row r="82" spans="2:14" ht="31.5" customHeight="1" x14ac:dyDescent="0.25">
      <c r="B82" s="37"/>
      <c r="C82" s="38" t="s">
        <v>431</v>
      </c>
      <c r="D82" s="54" t="s">
        <v>436</v>
      </c>
      <c r="E82" s="41" t="s">
        <v>433</v>
      </c>
      <c r="F82" s="40"/>
      <c r="G82" s="37" t="s">
        <v>437</v>
      </c>
      <c r="H82" s="41" t="s">
        <v>187</v>
      </c>
      <c r="I82" s="42">
        <v>2200</v>
      </c>
      <c r="J82" s="43">
        <f>ASSUMPTIONS!C12</f>
        <v>1</v>
      </c>
      <c r="K82" s="43">
        <f>1+ASSUMPTIONS!C16</f>
        <v>1.0349999999999999</v>
      </c>
      <c r="L82" s="44">
        <f>I82*J82*K82</f>
        <v>2277</v>
      </c>
      <c r="M82" s="53" t="s">
        <v>124</v>
      </c>
      <c r="N82" s="46" t="s">
        <v>438</v>
      </c>
    </row>
    <row r="83" spans="2:14" ht="31.5" customHeight="1" x14ac:dyDescent="0.25">
      <c r="B83" s="47"/>
      <c r="C83" s="48" t="s">
        <v>431</v>
      </c>
      <c r="D83" s="60" t="s">
        <v>439</v>
      </c>
      <c r="E83" s="45" t="s">
        <v>433</v>
      </c>
      <c r="F83" s="50"/>
      <c r="G83" s="47" t="s">
        <v>440</v>
      </c>
      <c r="H83" s="45" t="s">
        <v>187</v>
      </c>
      <c r="I83" s="42">
        <v>1450</v>
      </c>
      <c r="J83" s="43">
        <f>ASSUMPTIONS!C12</f>
        <v>1</v>
      </c>
      <c r="K83" s="43">
        <f>1+ASSUMPTIONS!C16</f>
        <v>1.0349999999999999</v>
      </c>
      <c r="L83" s="51">
        <f>I83*J83*K83</f>
        <v>1500.7499999999998</v>
      </c>
      <c r="M83" s="53" t="s">
        <v>124</v>
      </c>
      <c r="N83" s="52" t="s">
        <v>441</v>
      </c>
    </row>
    <row r="84" spans="2:14" ht="31.5" customHeight="1" x14ac:dyDescent="0.25">
      <c r="B84" s="37"/>
      <c r="C84" s="38" t="s">
        <v>431</v>
      </c>
      <c r="D84" s="54" t="s">
        <v>442</v>
      </c>
      <c r="E84" s="41" t="s">
        <v>443</v>
      </c>
      <c r="F84" s="40"/>
      <c r="G84" s="37" t="s">
        <v>444</v>
      </c>
      <c r="H84" s="41" t="s">
        <v>187</v>
      </c>
      <c r="I84" s="42">
        <v>8500</v>
      </c>
      <c r="J84" s="43">
        <f>ASSUMPTIONS!C12</f>
        <v>1</v>
      </c>
      <c r="K84" s="43">
        <f>1+ASSUMPTIONS!C16</f>
        <v>1.0349999999999999</v>
      </c>
      <c r="L84" s="44">
        <f>I84*J84*K84</f>
        <v>8797.5</v>
      </c>
      <c r="M84" s="45" t="s">
        <v>179</v>
      </c>
      <c r="N84" s="46" t="s">
        <v>445</v>
      </c>
    </row>
    <row r="85" spans="2:14" ht="31.5" customHeight="1" x14ac:dyDescent="0.25">
      <c r="B85" s="47"/>
      <c r="C85" s="48" t="s">
        <v>431</v>
      </c>
      <c r="D85" s="60" t="s">
        <v>446</v>
      </c>
      <c r="E85" s="45" t="s">
        <v>433</v>
      </c>
      <c r="F85" s="50"/>
      <c r="G85" s="47" t="s">
        <v>447</v>
      </c>
      <c r="H85" s="45" t="s">
        <v>212</v>
      </c>
      <c r="I85" s="42">
        <v>18000</v>
      </c>
      <c r="J85" s="43">
        <f>ASSUMPTIONS!C12</f>
        <v>1</v>
      </c>
      <c r="K85" s="43">
        <f>1+ASSUMPTIONS!C16</f>
        <v>1.0349999999999999</v>
      </c>
      <c r="L85" s="51">
        <f>I85*J85*K85</f>
        <v>18630</v>
      </c>
      <c r="M85" s="45" t="s">
        <v>179</v>
      </c>
      <c r="N85" s="52" t="s">
        <v>448</v>
      </c>
    </row>
    <row r="86" spans="2:14" ht="19.5" customHeight="1" x14ac:dyDescent="0.25">
      <c r="B86" s="270" t="s">
        <v>449</v>
      </c>
      <c r="C86" s="270"/>
      <c r="D86" s="270"/>
      <c r="E86" s="270"/>
      <c r="F86" s="270"/>
      <c r="G86" s="270"/>
      <c r="H86" s="270"/>
      <c r="I86" s="270"/>
      <c r="J86" s="270"/>
      <c r="K86" s="270"/>
      <c r="L86" s="270"/>
      <c r="M86" s="270"/>
    </row>
    <row r="87" spans="2:14" ht="31.5" customHeight="1" x14ac:dyDescent="0.25">
      <c r="B87" s="47"/>
      <c r="C87" s="48" t="s">
        <v>450</v>
      </c>
      <c r="D87" s="60" t="s">
        <v>451</v>
      </c>
      <c r="E87" s="45" t="s">
        <v>452</v>
      </c>
      <c r="F87" s="50"/>
      <c r="G87" s="47" t="s">
        <v>453</v>
      </c>
      <c r="H87" s="45" t="s">
        <v>187</v>
      </c>
      <c r="I87" s="42">
        <v>4800</v>
      </c>
      <c r="J87" s="43">
        <f>ASSUMPTIONS!C12</f>
        <v>1</v>
      </c>
      <c r="K87" s="43">
        <f>1+ASSUMPTIONS!C16</f>
        <v>1.0349999999999999</v>
      </c>
      <c r="L87" s="51">
        <f>I87*J87*K87</f>
        <v>4968</v>
      </c>
      <c r="M87" s="45" t="s">
        <v>179</v>
      </c>
      <c r="N87" s="52" t="s">
        <v>454</v>
      </c>
    </row>
    <row r="88" spans="2:14" ht="31.5" customHeight="1" x14ac:dyDescent="0.25">
      <c r="B88" s="37"/>
      <c r="C88" s="38" t="s">
        <v>450</v>
      </c>
      <c r="D88" s="54" t="s">
        <v>455</v>
      </c>
      <c r="E88" s="41" t="s">
        <v>452</v>
      </c>
      <c r="F88" s="40"/>
      <c r="G88" s="37" t="s">
        <v>456</v>
      </c>
      <c r="H88" s="41" t="s">
        <v>178</v>
      </c>
      <c r="I88" s="42">
        <v>18.5</v>
      </c>
      <c r="J88" s="43">
        <f>ASSUMPTIONS!C12</f>
        <v>1</v>
      </c>
      <c r="K88" s="43">
        <f>1+ASSUMPTIONS!C16</f>
        <v>1.0349999999999999</v>
      </c>
      <c r="L88" s="44">
        <f>I88*J88*K88</f>
        <v>19.147499999999997</v>
      </c>
      <c r="M88" s="45" t="s">
        <v>179</v>
      </c>
      <c r="N88" s="46" t="s">
        <v>457</v>
      </c>
    </row>
    <row r="89" spans="2:14" ht="31.5" customHeight="1" x14ac:dyDescent="0.25">
      <c r="B89" s="47"/>
      <c r="C89" s="48" t="s">
        <v>450</v>
      </c>
      <c r="D89" s="60" t="s">
        <v>458</v>
      </c>
      <c r="E89" s="45" t="s">
        <v>459</v>
      </c>
      <c r="F89" s="50"/>
      <c r="G89" s="47" t="s">
        <v>460</v>
      </c>
      <c r="H89" s="45" t="s">
        <v>187</v>
      </c>
      <c r="I89" s="42">
        <v>485</v>
      </c>
      <c r="J89" s="43">
        <f>ASSUMPTIONS!C12</f>
        <v>1</v>
      </c>
      <c r="K89" s="43">
        <f>1+ASSUMPTIONS!C16</f>
        <v>1.0349999999999999</v>
      </c>
      <c r="L89" s="51">
        <f>I89*J89*K89</f>
        <v>501.97499999999997</v>
      </c>
      <c r="M89" s="45" t="s">
        <v>179</v>
      </c>
      <c r="N89" s="52" t="s">
        <v>461</v>
      </c>
    </row>
    <row r="90" spans="2:14" ht="31.5" customHeight="1" x14ac:dyDescent="0.25">
      <c r="B90" s="37"/>
      <c r="C90" s="38" t="s">
        <v>450</v>
      </c>
      <c r="D90" s="54" t="s">
        <v>462</v>
      </c>
      <c r="E90" s="41" t="s">
        <v>463</v>
      </c>
      <c r="F90" s="40"/>
      <c r="G90" s="37" t="s">
        <v>464</v>
      </c>
      <c r="H90" s="41" t="s">
        <v>212</v>
      </c>
      <c r="I90" s="42">
        <v>65000</v>
      </c>
      <c r="J90" s="43">
        <f>ASSUMPTIONS!C12</f>
        <v>1</v>
      </c>
      <c r="K90" s="43">
        <f>1+ASSUMPTIONS!C16</f>
        <v>1.0349999999999999</v>
      </c>
      <c r="L90" s="44">
        <f>I90*J90*K90</f>
        <v>67275</v>
      </c>
      <c r="M90" s="53" t="s">
        <v>124</v>
      </c>
      <c r="N90" s="46" t="s">
        <v>465</v>
      </c>
    </row>
    <row r="91" spans="2:14" ht="31.5" customHeight="1" x14ac:dyDescent="0.25">
      <c r="B91" s="47"/>
      <c r="C91" s="48" t="s">
        <v>450</v>
      </c>
      <c r="D91" s="60" t="s">
        <v>466</v>
      </c>
      <c r="E91" s="45" t="s">
        <v>467</v>
      </c>
      <c r="F91" s="50"/>
      <c r="G91" s="47" t="s">
        <v>468</v>
      </c>
      <c r="H91" s="45" t="s">
        <v>212</v>
      </c>
      <c r="I91" s="42">
        <v>45000</v>
      </c>
      <c r="J91" s="43">
        <f>ASSUMPTIONS!C12</f>
        <v>1</v>
      </c>
      <c r="K91" s="43">
        <f>1+ASSUMPTIONS!C16</f>
        <v>1.0349999999999999</v>
      </c>
      <c r="L91" s="51">
        <f>I91*J91*K91</f>
        <v>46575</v>
      </c>
      <c r="M91" s="53" t="s">
        <v>124</v>
      </c>
      <c r="N91" s="52" t="s">
        <v>469</v>
      </c>
    </row>
    <row r="92" spans="2:14" ht="19.5" customHeight="1" x14ac:dyDescent="0.25">
      <c r="B92" s="270" t="s">
        <v>470</v>
      </c>
      <c r="C92" s="270"/>
      <c r="D92" s="270"/>
      <c r="E92" s="270"/>
      <c r="F92" s="270"/>
      <c r="G92" s="270"/>
      <c r="H92" s="270"/>
      <c r="I92" s="270"/>
      <c r="J92" s="270"/>
      <c r="K92" s="270"/>
      <c r="L92" s="270"/>
      <c r="M92" s="270"/>
    </row>
    <row r="93" spans="2:14" ht="31.5" customHeight="1" x14ac:dyDescent="0.25">
      <c r="B93" s="47"/>
      <c r="C93" s="48" t="s">
        <v>471</v>
      </c>
      <c r="D93" s="60" t="s">
        <v>472</v>
      </c>
      <c r="E93" s="45" t="s">
        <v>473</v>
      </c>
      <c r="F93" s="50"/>
      <c r="G93" s="47" t="s">
        <v>474</v>
      </c>
      <c r="H93" s="45" t="s">
        <v>212</v>
      </c>
      <c r="I93" s="42">
        <v>185000</v>
      </c>
      <c r="J93" s="43">
        <f>ASSUMPTIONS!C12</f>
        <v>1</v>
      </c>
      <c r="K93" s="43">
        <f>1+ASSUMPTIONS!C16</f>
        <v>1.0349999999999999</v>
      </c>
      <c r="L93" s="51">
        <f t="shared" ref="L93:L100" si="4">I93*J93*K93</f>
        <v>191474.99999999997</v>
      </c>
      <c r="M93" s="45" t="s">
        <v>179</v>
      </c>
      <c r="N93" s="52" t="s">
        <v>475</v>
      </c>
    </row>
    <row r="94" spans="2:14" ht="31.5" customHeight="1" x14ac:dyDescent="0.25">
      <c r="B94" s="37"/>
      <c r="C94" s="38" t="s">
        <v>471</v>
      </c>
      <c r="D94" s="54" t="s">
        <v>476</v>
      </c>
      <c r="E94" s="41" t="s">
        <v>477</v>
      </c>
      <c r="F94" s="40"/>
      <c r="G94" s="37" t="s">
        <v>478</v>
      </c>
      <c r="H94" s="41" t="s">
        <v>187</v>
      </c>
      <c r="I94" s="42">
        <v>3200</v>
      </c>
      <c r="J94" s="43">
        <f>ASSUMPTIONS!C12</f>
        <v>1</v>
      </c>
      <c r="K94" s="43">
        <f>1+ASSUMPTIONS!C16</f>
        <v>1.0349999999999999</v>
      </c>
      <c r="L94" s="44">
        <f t="shared" si="4"/>
        <v>3311.9999999999995</v>
      </c>
      <c r="M94" s="45" t="s">
        <v>179</v>
      </c>
      <c r="N94" s="46" t="s">
        <v>479</v>
      </c>
    </row>
    <row r="95" spans="2:14" ht="31.5" customHeight="1" x14ac:dyDescent="0.25">
      <c r="B95" s="47"/>
      <c r="C95" s="48" t="s">
        <v>471</v>
      </c>
      <c r="D95" s="60" t="s">
        <v>480</v>
      </c>
      <c r="E95" s="45" t="s">
        <v>477</v>
      </c>
      <c r="F95" s="50"/>
      <c r="G95" s="47" t="s">
        <v>481</v>
      </c>
      <c r="H95" s="45" t="s">
        <v>187</v>
      </c>
      <c r="I95" s="42">
        <v>1850</v>
      </c>
      <c r="J95" s="43">
        <f>ASSUMPTIONS!C12</f>
        <v>1</v>
      </c>
      <c r="K95" s="43">
        <f>1+ASSUMPTIONS!C16</f>
        <v>1.0349999999999999</v>
      </c>
      <c r="L95" s="51">
        <f t="shared" si="4"/>
        <v>1914.7499999999998</v>
      </c>
      <c r="M95" s="45" t="s">
        <v>179</v>
      </c>
      <c r="N95" s="52" t="s">
        <v>482</v>
      </c>
    </row>
    <row r="96" spans="2:14" ht="31.5" customHeight="1" x14ac:dyDescent="0.25">
      <c r="B96" s="37"/>
      <c r="C96" s="38" t="s">
        <v>471</v>
      </c>
      <c r="D96" s="54" t="s">
        <v>483</v>
      </c>
      <c r="E96" s="41" t="s">
        <v>484</v>
      </c>
      <c r="F96" s="40"/>
      <c r="G96" s="37" t="s">
        <v>485</v>
      </c>
      <c r="H96" s="41" t="s">
        <v>187</v>
      </c>
      <c r="I96" s="42">
        <v>385</v>
      </c>
      <c r="J96" s="43">
        <f>ASSUMPTIONS!C12</f>
        <v>1</v>
      </c>
      <c r="K96" s="43">
        <f>1+ASSUMPTIONS!C16</f>
        <v>1.0349999999999999</v>
      </c>
      <c r="L96" s="44">
        <f t="shared" si="4"/>
        <v>398.47499999999997</v>
      </c>
      <c r="M96" s="45" t="s">
        <v>179</v>
      </c>
      <c r="N96" s="46" t="s">
        <v>486</v>
      </c>
    </row>
    <row r="97" spans="2:14" ht="31.5" customHeight="1" x14ac:dyDescent="0.25">
      <c r="B97" s="47"/>
      <c r="C97" s="48" t="s">
        <v>471</v>
      </c>
      <c r="D97" s="60" t="s">
        <v>487</v>
      </c>
      <c r="E97" s="45" t="s">
        <v>484</v>
      </c>
      <c r="F97" s="50"/>
      <c r="G97" s="47" t="s">
        <v>488</v>
      </c>
      <c r="H97" s="45" t="s">
        <v>187</v>
      </c>
      <c r="I97" s="42">
        <v>285</v>
      </c>
      <c r="J97" s="43">
        <f>ASSUMPTIONS!C12</f>
        <v>1</v>
      </c>
      <c r="K97" s="43">
        <f>1+ASSUMPTIONS!C16</f>
        <v>1.0349999999999999</v>
      </c>
      <c r="L97" s="51">
        <f t="shared" si="4"/>
        <v>294.97499999999997</v>
      </c>
      <c r="M97" s="45" t="s">
        <v>179</v>
      </c>
      <c r="N97" s="52" t="s">
        <v>489</v>
      </c>
    </row>
    <row r="98" spans="2:14" ht="31.5" customHeight="1" x14ac:dyDescent="0.25">
      <c r="B98" s="37"/>
      <c r="C98" s="38" t="s">
        <v>471</v>
      </c>
      <c r="D98" s="54" t="s">
        <v>490</v>
      </c>
      <c r="E98" s="41" t="s">
        <v>491</v>
      </c>
      <c r="F98" s="40"/>
      <c r="G98" s="37" t="s">
        <v>492</v>
      </c>
      <c r="H98" s="41" t="s">
        <v>187</v>
      </c>
      <c r="I98" s="42">
        <v>165</v>
      </c>
      <c r="J98" s="43">
        <f>ASSUMPTIONS!C12</f>
        <v>1</v>
      </c>
      <c r="K98" s="43">
        <f>1+ASSUMPTIONS!C16</f>
        <v>1.0349999999999999</v>
      </c>
      <c r="L98" s="44">
        <f t="shared" si="4"/>
        <v>170.77499999999998</v>
      </c>
      <c r="M98" s="45" t="s">
        <v>179</v>
      </c>
      <c r="N98" s="46" t="s">
        <v>493</v>
      </c>
    </row>
    <row r="99" spans="2:14" ht="31.5" customHeight="1" x14ac:dyDescent="0.25">
      <c r="B99" s="47"/>
      <c r="C99" s="48" t="s">
        <v>471</v>
      </c>
      <c r="D99" s="60" t="s">
        <v>494</v>
      </c>
      <c r="E99" s="45" t="s">
        <v>495</v>
      </c>
      <c r="F99" s="50"/>
      <c r="G99" s="47" t="s">
        <v>496</v>
      </c>
      <c r="H99" s="45" t="s">
        <v>497</v>
      </c>
      <c r="I99" s="42">
        <v>850</v>
      </c>
      <c r="J99" s="43">
        <f>ASSUMPTIONS!C12</f>
        <v>1</v>
      </c>
      <c r="K99" s="43">
        <f>1+ASSUMPTIONS!C16</f>
        <v>1.0349999999999999</v>
      </c>
      <c r="L99" s="51">
        <f t="shared" si="4"/>
        <v>879.74999999999989</v>
      </c>
      <c r="M99" s="53" t="s">
        <v>124</v>
      </c>
      <c r="N99" s="52" t="s">
        <v>498</v>
      </c>
    </row>
    <row r="100" spans="2:14" ht="31.5" customHeight="1" x14ac:dyDescent="0.25">
      <c r="B100" s="37"/>
      <c r="C100" s="38" t="s">
        <v>471</v>
      </c>
      <c r="D100" s="54" t="s">
        <v>499</v>
      </c>
      <c r="E100" s="41" t="s">
        <v>500</v>
      </c>
      <c r="F100" s="40"/>
      <c r="G100" s="37" t="s">
        <v>501</v>
      </c>
      <c r="H100" s="41" t="s">
        <v>187</v>
      </c>
      <c r="I100" s="42">
        <v>38</v>
      </c>
      <c r="J100" s="43">
        <f>ASSUMPTIONS!C12</f>
        <v>1</v>
      </c>
      <c r="K100" s="43">
        <f>1+ASSUMPTIONS!C16</f>
        <v>1.0349999999999999</v>
      </c>
      <c r="L100" s="44">
        <f t="shared" si="4"/>
        <v>39.33</v>
      </c>
      <c r="M100" s="45" t="s">
        <v>179</v>
      </c>
      <c r="N100" s="46" t="s">
        <v>502</v>
      </c>
    </row>
    <row r="101" spans="2:14" ht="19.5" customHeight="1" x14ac:dyDescent="0.25">
      <c r="B101" s="270" t="s">
        <v>503</v>
      </c>
      <c r="C101" s="270"/>
      <c r="D101" s="270"/>
      <c r="E101" s="270"/>
      <c r="F101" s="270"/>
      <c r="G101" s="270"/>
      <c r="H101" s="270"/>
      <c r="I101" s="270"/>
      <c r="J101" s="270"/>
      <c r="K101" s="270"/>
      <c r="L101" s="270"/>
      <c r="M101" s="270"/>
    </row>
    <row r="102" spans="2:14" ht="31.5" customHeight="1" x14ac:dyDescent="0.25">
      <c r="B102" s="37"/>
      <c r="C102" s="38" t="s">
        <v>504</v>
      </c>
      <c r="D102" s="54" t="s">
        <v>505</v>
      </c>
      <c r="E102" s="41" t="s">
        <v>506</v>
      </c>
      <c r="F102" s="40"/>
      <c r="G102" s="37" t="s">
        <v>507</v>
      </c>
      <c r="H102" s="41" t="s">
        <v>187</v>
      </c>
      <c r="I102" s="42">
        <v>850</v>
      </c>
      <c r="J102" s="43">
        <f>ASSUMPTIONS!C12</f>
        <v>1</v>
      </c>
      <c r="K102" s="43">
        <f>1+ASSUMPTIONS!C16</f>
        <v>1.0349999999999999</v>
      </c>
      <c r="L102" s="44">
        <f>I102*J102*K102</f>
        <v>879.74999999999989</v>
      </c>
      <c r="M102" s="45" t="s">
        <v>179</v>
      </c>
      <c r="N102" s="46" t="s">
        <v>508</v>
      </c>
    </row>
    <row r="103" spans="2:14" ht="31.5" customHeight="1" x14ac:dyDescent="0.25">
      <c r="B103" s="47"/>
      <c r="C103" s="48" t="s">
        <v>504</v>
      </c>
      <c r="D103" s="60" t="s">
        <v>509</v>
      </c>
      <c r="E103" s="45" t="s">
        <v>506</v>
      </c>
      <c r="F103" s="50"/>
      <c r="G103" s="47" t="s">
        <v>510</v>
      </c>
      <c r="H103" s="45" t="s">
        <v>187</v>
      </c>
      <c r="I103" s="42">
        <v>1850</v>
      </c>
      <c r="J103" s="43">
        <f>ASSUMPTIONS!C12</f>
        <v>1</v>
      </c>
      <c r="K103" s="43">
        <f>1+ASSUMPTIONS!C16</f>
        <v>1.0349999999999999</v>
      </c>
      <c r="L103" s="51">
        <f>I103*J103*K103</f>
        <v>1914.7499999999998</v>
      </c>
      <c r="M103" s="53" t="s">
        <v>124</v>
      </c>
      <c r="N103" s="52" t="s">
        <v>511</v>
      </c>
    </row>
    <row r="104" spans="2:14" ht="31.5" customHeight="1" x14ac:dyDescent="0.25">
      <c r="B104" s="37"/>
      <c r="C104" s="38" t="s">
        <v>504</v>
      </c>
      <c r="D104" s="54" t="s">
        <v>512</v>
      </c>
      <c r="E104" s="41" t="s">
        <v>513</v>
      </c>
      <c r="F104" s="40"/>
      <c r="G104" s="37" t="s">
        <v>514</v>
      </c>
      <c r="H104" s="41" t="s">
        <v>212</v>
      </c>
      <c r="I104" s="42">
        <v>85000</v>
      </c>
      <c r="J104" s="43">
        <f>ASSUMPTIONS!C12</f>
        <v>1</v>
      </c>
      <c r="K104" s="43">
        <f>1+ASSUMPTIONS!C16</f>
        <v>1.0349999999999999</v>
      </c>
      <c r="L104" s="44">
        <f>I104*J104*K104</f>
        <v>87975</v>
      </c>
      <c r="M104" s="53" t="s">
        <v>124</v>
      </c>
      <c r="N104" s="46" t="s">
        <v>515</v>
      </c>
    </row>
    <row r="105" spans="2:14" ht="31.5" customHeight="1" x14ac:dyDescent="0.25">
      <c r="B105" s="47"/>
      <c r="C105" s="48" t="s">
        <v>504</v>
      </c>
      <c r="D105" s="60" t="s">
        <v>516</v>
      </c>
      <c r="E105" s="45" t="s">
        <v>517</v>
      </c>
      <c r="F105" s="50"/>
      <c r="G105" s="47" t="s">
        <v>518</v>
      </c>
      <c r="H105" s="45" t="s">
        <v>187</v>
      </c>
      <c r="I105" s="42">
        <v>2200</v>
      </c>
      <c r="J105" s="43">
        <f>ASSUMPTIONS!C12</f>
        <v>1</v>
      </c>
      <c r="K105" s="43">
        <f>1+ASSUMPTIONS!C16</f>
        <v>1.0349999999999999</v>
      </c>
      <c r="L105" s="51">
        <f>I105*J105*K105</f>
        <v>2277</v>
      </c>
      <c r="M105" s="53" t="s">
        <v>124</v>
      </c>
      <c r="N105" s="52" t="s">
        <v>519</v>
      </c>
    </row>
    <row r="106" spans="2:14" ht="31.5" customHeight="1" x14ac:dyDescent="0.25">
      <c r="B106" s="37"/>
      <c r="C106" s="38" t="s">
        <v>504</v>
      </c>
      <c r="D106" s="54" t="s">
        <v>520</v>
      </c>
      <c r="E106" s="41" t="s">
        <v>521</v>
      </c>
      <c r="F106" s="40"/>
      <c r="G106" s="37" t="s">
        <v>522</v>
      </c>
      <c r="H106" s="41" t="s">
        <v>187</v>
      </c>
      <c r="I106" s="42">
        <v>1650</v>
      </c>
      <c r="J106" s="43">
        <f>ASSUMPTIONS!C12</f>
        <v>1</v>
      </c>
      <c r="K106" s="43">
        <f>1+ASSUMPTIONS!C16</f>
        <v>1.0349999999999999</v>
      </c>
      <c r="L106" s="44">
        <f>I106*J106*K106</f>
        <v>1707.7499999999998</v>
      </c>
      <c r="M106" s="53" t="s">
        <v>124</v>
      </c>
      <c r="N106" s="46" t="s">
        <v>523</v>
      </c>
    </row>
    <row r="107" spans="2:14" ht="19.5" customHeight="1" x14ac:dyDescent="0.25">
      <c r="B107" s="270" t="s">
        <v>524</v>
      </c>
      <c r="C107" s="270"/>
      <c r="D107" s="270"/>
      <c r="E107" s="270"/>
      <c r="F107" s="270"/>
      <c r="G107" s="270"/>
      <c r="H107" s="270"/>
      <c r="I107" s="270"/>
      <c r="J107" s="270"/>
      <c r="K107" s="270"/>
      <c r="L107" s="270"/>
      <c r="M107" s="270"/>
    </row>
    <row r="108" spans="2:14" ht="31.5" customHeight="1" x14ac:dyDescent="0.25">
      <c r="B108" s="37"/>
      <c r="C108" s="38" t="s">
        <v>525</v>
      </c>
      <c r="D108" s="54" t="s">
        <v>526</v>
      </c>
      <c r="E108" s="41" t="s">
        <v>527</v>
      </c>
      <c r="F108" s="40"/>
      <c r="G108" s="37" t="s">
        <v>528</v>
      </c>
      <c r="H108" s="41" t="s">
        <v>178</v>
      </c>
      <c r="I108" s="42">
        <v>5.25</v>
      </c>
      <c r="J108" s="43">
        <f>ASSUMPTIONS!C12</f>
        <v>1</v>
      </c>
      <c r="K108" s="43">
        <f>1+ASSUMPTIONS!C16</f>
        <v>1.0349999999999999</v>
      </c>
      <c r="L108" s="44">
        <f>I108*J108*K108</f>
        <v>5.4337499999999999</v>
      </c>
      <c r="M108" s="45" t="s">
        <v>179</v>
      </c>
      <c r="N108" s="46" t="s">
        <v>529</v>
      </c>
    </row>
    <row r="109" spans="2:14" ht="31.5" customHeight="1" x14ac:dyDescent="0.25">
      <c r="B109" s="47"/>
      <c r="C109" s="48" t="s">
        <v>525</v>
      </c>
      <c r="D109" s="60" t="s">
        <v>530</v>
      </c>
      <c r="E109" s="45" t="s">
        <v>527</v>
      </c>
      <c r="F109" s="50"/>
      <c r="G109" s="47" t="s">
        <v>531</v>
      </c>
      <c r="H109" s="45" t="s">
        <v>187</v>
      </c>
      <c r="I109" s="42">
        <v>285</v>
      </c>
      <c r="J109" s="43">
        <f>ASSUMPTIONS!C12</f>
        <v>1</v>
      </c>
      <c r="K109" s="43">
        <f>1+ASSUMPTIONS!C16</f>
        <v>1.0349999999999999</v>
      </c>
      <c r="L109" s="51">
        <f>I109*J109*K109</f>
        <v>294.97499999999997</v>
      </c>
      <c r="M109" s="45" t="s">
        <v>179</v>
      </c>
      <c r="N109" s="52" t="s">
        <v>532</v>
      </c>
    </row>
    <row r="110" spans="2:14" ht="19.5" customHeight="1" x14ac:dyDescent="0.25">
      <c r="B110" s="270" t="s">
        <v>533</v>
      </c>
      <c r="C110" s="270"/>
      <c r="D110" s="270"/>
      <c r="E110" s="270"/>
      <c r="F110" s="270"/>
      <c r="G110" s="270"/>
      <c r="H110" s="270"/>
      <c r="I110" s="270"/>
      <c r="J110" s="270"/>
      <c r="K110" s="270"/>
      <c r="L110" s="270"/>
      <c r="M110" s="270"/>
    </row>
    <row r="111" spans="2:14" ht="31.5" customHeight="1" x14ac:dyDescent="0.25">
      <c r="B111" s="47"/>
      <c r="C111" s="48" t="s">
        <v>534</v>
      </c>
      <c r="D111" s="60" t="s">
        <v>535</v>
      </c>
      <c r="E111" s="45" t="s">
        <v>536</v>
      </c>
      <c r="F111" s="50"/>
      <c r="G111" s="47" t="s">
        <v>537</v>
      </c>
      <c r="H111" s="45" t="s">
        <v>538</v>
      </c>
      <c r="I111" s="42">
        <v>65</v>
      </c>
      <c r="J111" s="43">
        <f>ASSUMPTIONS!C12</f>
        <v>1</v>
      </c>
      <c r="K111" s="43">
        <f>1+ASSUMPTIONS!C16</f>
        <v>1.0349999999999999</v>
      </c>
      <c r="L111" s="51">
        <f>I111*J111*K111</f>
        <v>67.274999999999991</v>
      </c>
      <c r="M111" s="45" t="s">
        <v>179</v>
      </c>
      <c r="N111" s="52" t="s">
        <v>539</v>
      </c>
    </row>
    <row r="112" spans="2:14" ht="31.5" customHeight="1" x14ac:dyDescent="0.25">
      <c r="B112" s="37"/>
      <c r="C112" s="38" t="s">
        <v>534</v>
      </c>
      <c r="D112" s="54" t="s">
        <v>540</v>
      </c>
      <c r="E112" s="41" t="s">
        <v>541</v>
      </c>
      <c r="F112" s="40"/>
      <c r="G112" s="37" t="s">
        <v>542</v>
      </c>
      <c r="H112" s="41" t="s">
        <v>178</v>
      </c>
      <c r="I112" s="42">
        <v>14.5</v>
      </c>
      <c r="J112" s="43">
        <f>ASSUMPTIONS!C12</f>
        <v>1</v>
      </c>
      <c r="K112" s="43">
        <f>1+ASSUMPTIONS!C16</f>
        <v>1.0349999999999999</v>
      </c>
      <c r="L112" s="44">
        <f>I112*J112*K112</f>
        <v>15.007499999999999</v>
      </c>
      <c r="M112" s="45" t="s">
        <v>179</v>
      </c>
      <c r="N112" s="46" t="s">
        <v>543</v>
      </c>
    </row>
    <row r="113" spans="2:14" ht="31.5" customHeight="1" x14ac:dyDescent="0.25">
      <c r="B113" s="47"/>
      <c r="C113" s="48" t="s">
        <v>534</v>
      </c>
      <c r="D113" s="60" t="s">
        <v>544</v>
      </c>
      <c r="E113" s="45" t="s">
        <v>545</v>
      </c>
      <c r="F113" s="50"/>
      <c r="G113" s="47" t="s">
        <v>546</v>
      </c>
      <c r="H113" s="45" t="s">
        <v>228</v>
      </c>
      <c r="I113" s="42">
        <v>55</v>
      </c>
      <c r="J113" s="43">
        <f>ASSUMPTIONS!C12</f>
        <v>1</v>
      </c>
      <c r="K113" s="43">
        <f>1+ASSUMPTIONS!C16</f>
        <v>1.0349999999999999</v>
      </c>
      <c r="L113" s="51">
        <f>I113*J113*K113</f>
        <v>56.924999999999997</v>
      </c>
      <c r="M113" s="53" t="s">
        <v>124</v>
      </c>
      <c r="N113" s="52" t="s">
        <v>547</v>
      </c>
    </row>
    <row r="114" spans="2:14" ht="31.5" customHeight="1" x14ac:dyDescent="0.25">
      <c r="B114" s="37"/>
      <c r="C114" s="38" t="s">
        <v>534</v>
      </c>
      <c r="D114" s="54" t="s">
        <v>548</v>
      </c>
      <c r="E114" s="41" t="s">
        <v>549</v>
      </c>
      <c r="F114" s="40"/>
      <c r="G114" s="37" t="s">
        <v>550</v>
      </c>
      <c r="H114" s="41" t="s">
        <v>212</v>
      </c>
      <c r="I114" s="42">
        <v>65000</v>
      </c>
      <c r="J114" s="43">
        <f>ASSUMPTIONS!C12</f>
        <v>1</v>
      </c>
      <c r="K114" s="43">
        <f>1+ASSUMPTIONS!C16</f>
        <v>1.0349999999999999</v>
      </c>
      <c r="L114" s="44">
        <f>I114*J114*K114</f>
        <v>67275</v>
      </c>
      <c r="M114" s="53" t="s">
        <v>124</v>
      </c>
      <c r="N114" s="46" t="s">
        <v>551</v>
      </c>
    </row>
    <row r="115" spans="2:14" ht="19.5" customHeight="1" x14ac:dyDescent="0.25">
      <c r="B115" s="270" t="s">
        <v>552</v>
      </c>
      <c r="C115" s="270"/>
      <c r="D115" s="270"/>
      <c r="E115" s="270"/>
      <c r="F115" s="270"/>
      <c r="G115" s="270"/>
      <c r="H115" s="270"/>
      <c r="I115" s="270"/>
      <c r="J115" s="270"/>
      <c r="K115" s="270"/>
      <c r="L115" s="270"/>
      <c r="M115" s="270"/>
    </row>
    <row r="116" spans="2:14" ht="31.5" customHeight="1" x14ac:dyDescent="0.25">
      <c r="B116" s="37"/>
      <c r="C116" s="38" t="s">
        <v>31</v>
      </c>
      <c r="D116" s="54" t="s">
        <v>553</v>
      </c>
      <c r="E116" s="41" t="s">
        <v>364</v>
      </c>
      <c r="F116" s="40"/>
      <c r="G116" s="37" t="s">
        <v>554</v>
      </c>
      <c r="H116" s="41" t="s">
        <v>187</v>
      </c>
      <c r="I116" s="42">
        <v>245</v>
      </c>
      <c r="J116" s="43">
        <f>ASSUMPTIONS!C12</f>
        <v>1</v>
      </c>
      <c r="K116" s="43">
        <f>1+ASSUMPTIONS!C16</f>
        <v>1.0349999999999999</v>
      </c>
      <c r="L116" s="44">
        <f>I116*J116*K116</f>
        <v>253.57499999999999</v>
      </c>
      <c r="M116" s="45" t="s">
        <v>179</v>
      </c>
      <c r="N116" s="46" t="s">
        <v>555</v>
      </c>
    </row>
    <row r="117" spans="2:14" ht="31.5" customHeight="1" x14ac:dyDescent="0.25">
      <c r="B117" s="47"/>
      <c r="C117" s="48" t="s">
        <v>31</v>
      </c>
      <c r="D117" s="60" t="s">
        <v>556</v>
      </c>
      <c r="E117" s="45" t="s">
        <v>368</v>
      </c>
      <c r="F117" s="50"/>
      <c r="G117" s="47" t="s">
        <v>557</v>
      </c>
      <c r="H117" s="45" t="s">
        <v>212</v>
      </c>
      <c r="I117" s="42">
        <v>38000</v>
      </c>
      <c r="J117" s="43">
        <f>ASSUMPTIONS!C12</f>
        <v>1</v>
      </c>
      <c r="K117" s="43">
        <f>1+ASSUMPTIONS!C16</f>
        <v>1.0349999999999999</v>
      </c>
      <c r="L117" s="51">
        <f>I117*J117*K117</f>
        <v>39330</v>
      </c>
      <c r="M117" s="53" t="s">
        <v>124</v>
      </c>
      <c r="N117" s="52" t="s">
        <v>558</v>
      </c>
    </row>
    <row r="118" spans="2:14" ht="31.5" customHeight="1" x14ac:dyDescent="0.25">
      <c r="B118" s="37"/>
      <c r="C118" s="38" t="s">
        <v>31</v>
      </c>
      <c r="D118" s="54" t="s">
        <v>559</v>
      </c>
      <c r="E118" s="41" t="s">
        <v>560</v>
      </c>
      <c r="F118" s="40"/>
      <c r="G118" s="37" t="s">
        <v>561</v>
      </c>
      <c r="H118" s="41" t="s">
        <v>212</v>
      </c>
      <c r="I118" s="42">
        <v>18000</v>
      </c>
      <c r="J118" s="43">
        <f>ASSUMPTIONS!C12</f>
        <v>1</v>
      </c>
      <c r="K118" s="43">
        <f>1+ASSUMPTIONS!C16</f>
        <v>1.0349999999999999</v>
      </c>
      <c r="L118" s="44">
        <f>I118*J118*K118</f>
        <v>18630</v>
      </c>
      <c r="M118" s="53" t="s">
        <v>124</v>
      </c>
      <c r="N118" s="46" t="s">
        <v>562</v>
      </c>
    </row>
    <row r="119" spans="2:14" ht="18" customHeight="1" x14ac:dyDescent="0.25">
      <c r="B119" s="271" t="s">
        <v>563</v>
      </c>
      <c r="C119" s="271"/>
      <c r="D119" s="271"/>
      <c r="E119" s="271"/>
      <c r="F119" s="271"/>
      <c r="G119" s="271"/>
      <c r="H119" s="271"/>
      <c r="I119" s="271"/>
      <c r="J119" s="271"/>
      <c r="K119" s="271"/>
      <c r="L119" s="271"/>
      <c r="M119" s="271"/>
    </row>
  </sheetData>
  <mergeCells count="24">
    <mergeCell ref="B19:M19"/>
    <mergeCell ref="B24:M24"/>
    <mergeCell ref="B28:M28"/>
    <mergeCell ref="B32:M32"/>
    <mergeCell ref="B1:M1"/>
    <mergeCell ref="B3:M3"/>
    <mergeCell ref="B5:M5"/>
    <mergeCell ref="B12:M12"/>
    <mergeCell ref="B107:M107"/>
    <mergeCell ref="B110:M110"/>
    <mergeCell ref="B115:M115"/>
    <mergeCell ref="B119:M119"/>
    <mergeCell ref="B2:N2"/>
    <mergeCell ref="B77:M77"/>
    <mergeCell ref="B80:M80"/>
    <mergeCell ref="B86:M86"/>
    <mergeCell ref="B92:M92"/>
    <mergeCell ref="B101:M101"/>
    <mergeCell ref="B34:M34"/>
    <mergeCell ref="B40:M40"/>
    <mergeCell ref="B56:M56"/>
    <mergeCell ref="B66:M66"/>
    <mergeCell ref="B73:M73"/>
    <mergeCell ref="B16:M16"/>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89"/>
  <sheetViews>
    <sheetView showGridLines="0" zoomScaleNormal="100" workbookViewId="0">
      <pane ySplit="4" topLeftCell="A16" activePane="bottomLeft" state="frozen"/>
      <selection pane="bottomLeft" activeCell="L14" sqref="L14"/>
    </sheetView>
  </sheetViews>
  <sheetFormatPr defaultColWidth="8.7109375" defaultRowHeight="15" x14ac:dyDescent="0.25"/>
  <cols>
    <col min="1" max="1" width="2" customWidth="1"/>
    <col min="2" max="2" width="6.7109375" customWidth="1"/>
    <col min="3" max="4" width="10.7109375" customWidth="1"/>
    <col min="5" max="8" width="11.7109375" customWidth="1"/>
    <col min="9" max="9" width="51.7109375" customWidth="1"/>
    <col min="10" max="10" width="9.7109375" customWidth="1"/>
    <col min="11" max="11" width="16.7109375" customWidth="1"/>
    <col min="12" max="14" width="13.7109375" customWidth="1"/>
    <col min="15" max="15" width="9.7109375" customWidth="1"/>
    <col min="16" max="16" width="32.7109375" customWidth="1"/>
  </cols>
  <sheetData>
    <row r="1" spans="2:16" ht="50.1" customHeight="1" x14ac:dyDescent="0.25">
      <c r="B1" s="275"/>
      <c r="C1" s="275"/>
      <c r="D1" s="275"/>
      <c r="E1" s="275"/>
      <c r="F1" s="275"/>
      <c r="G1" s="275"/>
      <c r="H1" s="275"/>
      <c r="I1" s="275"/>
      <c r="J1" s="275"/>
      <c r="K1" s="275"/>
      <c r="L1" s="275"/>
      <c r="M1" s="275"/>
      <c r="N1" s="275"/>
    </row>
    <row r="2" spans="2:16" ht="38.1" customHeight="1" x14ac:dyDescent="0.25">
      <c r="B2" s="278" t="s">
        <v>564</v>
      </c>
      <c r="C2" s="278"/>
      <c r="D2" s="278"/>
      <c r="E2" s="278"/>
      <c r="F2" s="278"/>
      <c r="G2" s="278"/>
      <c r="H2" s="278"/>
      <c r="I2" s="278"/>
      <c r="J2" s="278"/>
      <c r="K2" s="278"/>
      <c r="L2" s="278"/>
      <c r="M2" s="278"/>
      <c r="N2" s="278"/>
      <c r="O2" s="278"/>
    </row>
    <row r="3" spans="2:16" ht="38.1" customHeight="1" x14ac:dyDescent="0.25">
      <c r="B3" s="276" t="s">
        <v>565</v>
      </c>
      <c r="C3" s="276"/>
      <c r="D3" s="276"/>
      <c r="E3" s="276"/>
      <c r="F3" s="276"/>
      <c r="G3" s="276"/>
      <c r="H3" s="276"/>
      <c r="I3" s="276"/>
      <c r="J3" s="276"/>
      <c r="K3" s="276"/>
      <c r="L3" s="276"/>
      <c r="M3" s="276"/>
      <c r="N3" s="276"/>
      <c r="O3" s="276"/>
    </row>
    <row r="4" spans="2:16" ht="39.950000000000003" customHeight="1" x14ac:dyDescent="0.25">
      <c r="B4" s="36" t="s">
        <v>160</v>
      </c>
      <c r="C4" s="36" t="s">
        <v>566</v>
      </c>
      <c r="D4" s="36" t="s">
        <v>567</v>
      </c>
      <c r="E4" s="36" t="s">
        <v>161</v>
      </c>
      <c r="F4" s="36" t="s">
        <v>568</v>
      </c>
      <c r="G4" s="36" t="s">
        <v>569</v>
      </c>
      <c r="H4" s="36" t="s">
        <v>570</v>
      </c>
      <c r="I4" s="36" t="s">
        <v>165</v>
      </c>
      <c r="J4" s="36" t="s">
        <v>166</v>
      </c>
      <c r="K4" s="36" t="s">
        <v>571</v>
      </c>
      <c r="L4" s="36" t="s">
        <v>572</v>
      </c>
      <c r="M4" s="36" t="s">
        <v>573</v>
      </c>
      <c r="N4" s="36" t="s">
        <v>574</v>
      </c>
      <c r="O4" s="36" t="s">
        <v>575</v>
      </c>
      <c r="P4" s="36" t="s">
        <v>576</v>
      </c>
    </row>
    <row r="5" spans="2:16" ht="19.5" customHeight="1" x14ac:dyDescent="0.25">
      <c r="B5" s="270" t="s">
        <v>577</v>
      </c>
      <c r="C5" s="270"/>
      <c r="D5" s="270"/>
      <c r="E5" s="270"/>
      <c r="F5" s="270"/>
      <c r="G5" s="270"/>
      <c r="H5" s="270"/>
      <c r="I5" s="270"/>
      <c r="J5" s="270"/>
      <c r="K5" s="270"/>
      <c r="L5" s="270"/>
      <c r="M5" s="270"/>
      <c r="N5" s="270"/>
      <c r="O5" s="270"/>
    </row>
    <row r="6" spans="2:16" ht="31.5" customHeight="1" x14ac:dyDescent="0.25">
      <c r="B6" s="37"/>
      <c r="C6" s="54" t="s">
        <v>578</v>
      </c>
      <c r="D6" s="55" t="s">
        <v>579</v>
      </c>
      <c r="E6" s="41" t="s">
        <v>174</v>
      </c>
      <c r="F6" s="40" t="s">
        <v>176</v>
      </c>
      <c r="G6" s="40"/>
      <c r="H6" s="39" t="s">
        <v>175</v>
      </c>
      <c r="I6" s="37" t="s">
        <v>580</v>
      </c>
      <c r="J6" s="41" t="s">
        <v>178</v>
      </c>
      <c r="K6" s="46" t="s">
        <v>581</v>
      </c>
      <c r="L6" s="56">
        <v>17844</v>
      </c>
      <c r="M6" s="57">
        <f>IFERROR(VLOOKUP(H6,'UNIT PRICE LIBRARY'!D:L,9,FALSE()),0)</f>
        <v>4.6574999999999998</v>
      </c>
      <c r="N6" s="58">
        <f t="shared" ref="N6:N29" si="0">IF(O6="No",0,L6*M6)</f>
        <v>83108.429999999993</v>
      </c>
      <c r="O6" s="59" t="s">
        <v>124</v>
      </c>
      <c r="P6" s="46" t="s">
        <v>582</v>
      </c>
    </row>
    <row r="7" spans="2:16" ht="31.5" customHeight="1" x14ac:dyDescent="0.25">
      <c r="B7" s="47"/>
      <c r="C7" s="60" t="s">
        <v>578</v>
      </c>
      <c r="D7" s="61" t="s">
        <v>579</v>
      </c>
      <c r="E7" s="45" t="s">
        <v>174</v>
      </c>
      <c r="F7" s="50" t="s">
        <v>176</v>
      </c>
      <c r="G7" s="50"/>
      <c r="H7" s="49" t="s">
        <v>181</v>
      </c>
      <c r="I7" s="47" t="s">
        <v>583</v>
      </c>
      <c r="J7" s="45" t="s">
        <v>178</v>
      </c>
      <c r="K7" s="52" t="s">
        <v>584</v>
      </c>
      <c r="L7" s="56">
        <v>27452</v>
      </c>
      <c r="M7" s="57">
        <f>IFERROR(VLOOKUP(H7,'UNIT PRICE LIBRARY'!D:L,9,FALSE()),0)</f>
        <v>3.3637499999999996</v>
      </c>
      <c r="N7" s="62">
        <f t="shared" si="0"/>
        <v>92341.664999999994</v>
      </c>
      <c r="O7" s="59" t="s">
        <v>124</v>
      </c>
      <c r="P7" s="52" t="s">
        <v>585</v>
      </c>
    </row>
    <row r="8" spans="2:16" ht="31.5" customHeight="1" x14ac:dyDescent="0.25">
      <c r="B8" s="37"/>
      <c r="C8" s="54" t="s">
        <v>578</v>
      </c>
      <c r="D8" s="55" t="s">
        <v>579</v>
      </c>
      <c r="E8" s="41" t="s">
        <v>174</v>
      </c>
      <c r="F8" s="40" t="s">
        <v>176</v>
      </c>
      <c r="G8" s="40"/>
      <c r="H8" s="39" t="s">
        <v>184</v>
      </c>
      <c r="I8" s="37" t="s">
        <v>586</v>
      </c>
      <c r="J8" s="41" t="s">
        <v>187</v>
      </c>
      <c r="K8" s="46" t="s">
        <v>587</v>
      </c>
      <c r="L8" s="56">
        <v>65</v>
      </c>
      <c r="M8" s="57">
        <f>IFERROR(VLOOKUP(H8,'UNIT PRICE LIBRARY'!D:L,9,FALSE()),0)</f>
        <v>294.97499999999997</v>
      </c>
      <c r="N8" s="58">
        <f t="shared" si="0"/>
        <v>19173.374999999996</v>
      </c>
      <c r="O8" s="59" t="s">
        <v>124</v>
      </c>
      <c r="P8" s="46" t="s">
        <v>588</v>
      </c>
    </row>
    <row r="9" spans="2:16" ht="31.5" customHeight="1" x14ac:dyDescent="0.25">
      <c r="B9" s="47"/>
      <c r="C9" s="60" t="s">
        <v>578</v>
      </c>
      <c r="D9" s="61" t="s">
        <v>579</v>
      </c>
      <c r="E9" s="45" t="s">
        <v>174</v>
      </c>
      <c r="F9" s="50" t="s">
        <v>176</v>
      </c>
      <c r="G9" s="50"/>
      <c r="H9" s="49" t="s">
        <v>189</v>
      </c>
      <c r="I9" s="47" t="s">
        <v>589</v>
      </c>
      <c r="J9" s="45" t="s">
        <v>178</v>
      </c>
      <c r="K9" s="52" t="s">
        <v>584</v>
      </c>
      <c r="L9" s="56">
        <v>27452</v>
      </c>
      <c r="M9" s="57">
        <f>IFERROR(VLOOKUP(H9,'UNIT PRICE LIBRARY'!D:L,9,FALSE()),0)</f>
        <v>2.8462499999999999</v>
      </c>
      <c r="N9" s="62">
        <f t="shared" si="0"/>
        <v>78135.255000000005</v>
      </c>
      <c r="O9" s="59" t="s">
        <v>124</v>
      </c>
      <c r="P9" s="52" t="s">
        <v>590</v>
      </c>
    </row>
    <row r="10" spans="2:16" ht="31.5" customHeight="1" x14ac:dyDescent="0.25">
      <c r="B10" s="37"/>
      <c r="C10" s="54" t="s">
        <v>578</v>
      </c>
      <c r="D10" s="55" t="s">
        <v>579</v>
      </c>
      <c r="E10" s="41" t="s">
        <v>174</v>
      </c>
      <c r="F10" s="40" t="s">
        <v>192</v>
      </c>
      <c r="G10" s="40"/>
      <c r="H10" s="39" t="s">
        <v>192</v>
      </c>
      <c r="I10" s="37" t="s">
        <v>194</v>
      </c>
      <c r="J10" s="41" t="s">
        <v>178</v>
      </c>
      <c r="K10" s="46" t="s">
        <v>591</v>
      </c>
      <c r="L10" s="56">
        <v>10981</v>
      </c>
      <c r="M10" s="57">
        <f>IFERROR(VLOOKUP(H10,'UNIT PRICE LIBRARY'!D:L,9,FALSE()),0)</f>
        <v>18.63</v>
      </c>
      <c r="N10" s="58">
        <f t="shared" si="0"/>
        <v>204576.03</v>
      </c>
      <c r="O10" s="59" t="s">
        <v>124</v>
      </c>
      <c r="P10" s="46" t="s">
        <v>592</v>
      </c>
    </row>
    <row r="11" spans="2:16" ht="31.5" customHeight="1" x14ac:dyDescent="0.25">
      <c r="B11" s="47"/>
      <c r="C11" s="60" t="s">
        <v>578</v>
      </c>
      <c r="D11" s="61" t="s">
        <v>593</v>
      </c>
      <c r="E11" s="45" t="s">
        <v>201</v>
      </c>
      <c r="F11" s="50" t="s">
        <v>203</v>
      </c>
      <c r="G11" s="50"/>
      <c r="H11" s="49" t="s">
        <v>202</v>
      </c>
      <c r="I11" s="47" t="s">
        <v>594</v>
      </c>
      <c r="J11" s="45" t="s">
        <v>178</v>
      </c>
      <c r="K11" s="52" t="s">
        <v>595</v>
      </c>
      <c r="L11" s="56">
        <v>4118</v>
      </c>
      <c r="M11" s="57">
        <f>IFERROR(VLOOKUP(H11,'UNIT PRICE LIBRARY'!D:L,9,FALSE()),0)</f>
        <v>22.77</v>
      </c>
      <c r="N11" s="62">
        <f t="shared" si="0"/>
        <v>93766.86</v>
      </c>
      <c r="O11" s="59" t="s">
        <v>124</v>
      </c>
      <c r="P11" s="52" t="s">
        <v>596</v>
      </c>
    </row>
    <row r="12" spans="2:16" ht="31.5" customHeight="1" x14ac:dyDescent="0.25">
      <c r="B12" s="37"/>
      <c r="C12" s="54" t="s">
        <v>578</v>
      </c>
      <c r="D12" s="55" t="s">
        <v>597</v>
      </c>
      <c r="E12" s="41" t="s">
        <v>201</v>
      </c>
      <c r="F12" s="40" t="s">
        <v>203</v>
      </c>
      <c r="G12" s="40"/>
      <c r="H12" s="39" t="s">
        <v>210</v>
      </c>
      <c r="I12" s="37" t="s">
        <v>598</v>
      </c>
      <c r="J12" s="41" t="s">
        <v>212</v>
      </c>
      <c r="K12" s="46" t="s">
        <v>599</v>
      </c>
      <c r="L12" s="56">
        <v>1</v>
      </c>
      <c r="M12" s="57">
        <f>IFERROR(VLOOKUP(H12,'UNIT PRICE LIBRARY'!D:L,9,FALSE()),0)</f>
        <v>19147.5</v>
      </c>
      <c r="N12" s="58">
        <f t="shared" si="0"/>
        <v>19147.5</v>
      </c>
      <c r="O12" s="59" t="s">
        <v>124</v>
      </c>
      <c r="P12" s="46" t="s">
        <v>600</v>
      </c>
    </row>
    <row r="13" spans="2:16" ht="31.5" customHeight="1" x14ac:dyDescent="0.25">
      <c r="B13" s="47"/>
      <c r="C13" s="60" t="s">
        <v>578</v>
      </c>
      <c r="D13" s="61" t="s">
        <v>579</v>
      </c>
      <c r="E13" s="45" t="s">
        <v>215</v>
      </c>
      <c r="F13" s="50" t="s">
        <v>217</v>
      </c>
      <c r="G13" s="50"/>
      <c r="H13" s="49" t="s">
        <v>216</v>
      </c>
      <c r="I13" s="47" t="s">
        <v>601</v>
      </c>
      <c r="J13" s="45" t="s">
        <v>178</v>
      </c>
      <c r="K13" s="52" t="s">
        <v>602</v>
      </c>
      <c r="L13" s="56">
        <v>320</v>
      </c>
      <c r="M13" s="57">
        <f>IFERROR(VLOOKUP(H13,'UNIT PRICE LIBRARY'!D:L,9,FALSE()),0)</f>
        <v>33.119999999999997</v>
      </c>
      <c r="N13" s="62">
        <f t="shared" si="0"/>
        <v>10598.4</v>
      </c>
      <c r="O13" s="59" t="s">
        <v>124</v>
      </c>
      <c r="P13" s="52" t="s">
        <v>603</v>
      </c>
    </row>
    <row r="14" spans="2:16" ht="31.5" customHeight="1" x14ac:dyDescent="0.25">
      <c r="B14" s="37"/>
      <c r="C14" s="54" t="s">
        <v>578</v>
      </c>
      <c r="D14" s="55" t="s">
        <v>593</v>
      </c>
      <c r="E14" s="41" t="s">
        <v>224</v>
      </c>
      <c r="F14" s="40" t="s">
        <v>226</v>
      </c>
      <c r="G14" s="40"/>
      <c r="H14" s="39" t="s">
        <v>225</v>
      </c>
      <c r="I14" s="37" t="s">
        <v>604</v>
      </c>
      <c r="J14" s="41" t="s">
        <v>228</v>
      </c>
      <c r="K14" s="46" t="s">
        <v>605</v>
      </c>
      <c r="L14" s="56">
        <v>520</v>
      </c>
      <c r="M14" s="57">
        <f>IFERROR(VLOOKUP(H14,'UNIT PRICE LIBRARY'!D:L,9,FALSE()),0)</f>
        <v>191.47499999999999</v>
      </c>
      <c r="N14" s="58">
        <f t="shared" si="0"/>
        <v>99567</v>
      </c>
      <c r="O14" s="59" t="s">
        <v>124</v>
      </c>
      <c r="P14" s="46" t="s">
        <v>606</v>
      </c>
    </row>
    <row r="15" spans="2:16" ht="31.5" customHeight="1" x14ac:dyDescent="0.25">
      <c r="B15" s="47"/>
      <c r="C15" s="60" t="s">
        <v>578</v>
      </c>
      <c r="D15" s="61" t="s">
        <v>607</v>
      </c>
      <c r="E15" s="45" t="s">
        <v>224</v>
      </c>
      <c r="F15" s="50" t="s">
        <v>226</v>
      </c>
      <c r="G15" s="50"/>
      <c r="H15" s="49" t="s">
        <v>230</v>
      </c>
      <c r="I15" s="47" t="s">
        <v>608</v>
      </c>
      <c r="J15" s="45" t="s">
        <v>228</v>
      </c>
      <c r="K15" s="52" t="s">
        <v>609</v>
      </c>
      <c r="L15" s="56">
        <v>56</v>
      </c>
      <c r="M15" s="57">
        <f>IFERROR(VLOOKUP(H15,'UNIT PRICE LIBRARY'!D:L,9,FALSE()),0)</f>
        <v>377.77499999999998</v>
      </c>
      <c r="N15" s="62">
        <f t="shared" si="0"/>
        <v>21155.399999999998</v>
      </c>
      <c r="O15" s="59" t="s">
        <v>124</v>
      </c>
      <c r="P15" s="52" t="s">
        <v>610</v>
      </c>
    </row>
    <row r="16" spans="2:16" ht="31.5" customHeight="1" x14ac:dyDescent="0.25">
      <c r="B16" s="37"/>
      <c r="C16" s="54" t="s">
        <v>578</v>
      </c>
      <c r="D16" s="55" t="s">
        <v>611</v>
      </c>
      <c r="E16" s="41" t="s">
        <v>224</v>
      </c>
      <c r="F16" s="40" t="s">
        <v>234</v>
      </c>
      <c r="G16" s="40"/>
      <c r="H16" s="39" t="s">
        <v>233</v>
      </c>
      <c r="I16" s="37" t="s">
        <v>612</v>
      </c>
      <c r="J16" s="41" t="s">
        <v>178</v>
      </c>
      <c r="K16" s="46" t="s">
        <v>613</v>
      </c>
      <c r="L16" s="56">
        <v>6400</v>
      </c>
      <c r="M16" s="57">
        <f>IFERROR(VLOOKUP(H16,'UNIT PRICE LIBRARY'!D:L,9,FALSE()),0)</f>
        <v>8.7974999999999994</v>
      </c>
      <c r="N16" s="58">
        <f t="shared" si="0"/>
        <v>56304</v>
      </c>
      <c r="O16" s="59" t="s">
        <v>124</v>
      </c>
      <c r="P16" s="46" t="s">
        <v>614</v>
      </c>
    </row>
    <row r="17" spans="2:16" ht="31.5" customHeight="1" x14ac:dyDescent="0.25">
      <c r="B17" s="47"/>
      <c r="C17" s="60" t="s">
        <v>578</v>
      </c>
      <c r="D17" s="61" t="s">
        <v>597</v>
      </c>
      <c r="E17" s="45" t="s">
        <v>224</v>
      </c>
      <c r="F17" s="50" t="s">
        <v>238</v>
      </c>
      <c r="G17" s="50"/>
      <c r="H17" s="49" t="s">
        <v>237</v>
      </c>
      <c r="I17" s="47" t="s">
        <v>615</v>
      </c>
      <c r="J17" s="45" t="s">
        <v>212</v>
      </c>
      <c r="K17" s="52" t="s">
        <v>599</v>
      </c>
      <c r="L17" s="56">
        <v>1</v>
      </c>
      <c r="M17" s="57">
        <f>IFERROR(VLOOKUP(H17,'UNIT PRICE LIBRARY'!D:L,9,FALSE()),0)</f>
        <v>28979.999999999996</v>
      </c>
      <c r="N17" s="62">
        <f t="shared" si="0"/>
        <v>28979.999999999996</v>
      </c>
      <c r="O17" s="59" t="s">
        <v>124</v>
      </c>
      <c r="P17" s="52" t="s">
        <v>616</v>
      </c>
    </row>
    <row r="18" spans="2:16" ht="31.5" customHeight="1" x14ac:dyDescent="0.25">
      <c r="B18" s="37"/>
      <c r="C18" s="54" t="s">
        <v>578</v>
      </c>
      <c r="D18" s="55" t="s">
        <v>617</v>
      </c>
      <c r="E18" s="41" t="s">
        <v>242</v>
      </c>
      <c r="F18" s="40" t="s">
        <v>244</v>
      </c>
      <c r="G18" s="40"/>
      <c r="H18" s="39" t="s">
        <v>243</v>
      </c>
      <c r="I18" s="37" t="s">
        <v>618</v>
      </c>
      <c r="J18" s="41" t="s">
        <v>178</v>
      </c>
      <c r="K18" s="46" t="s">
        <v>619</v>
      </c>
      <c r="L18" s="56">
        <v>8236</v>
      </c>
      <c r="M18" s="57">
        <f>IFERROR(VLOOKUP(H18,'UNIT PRICE LIBRARY'!D:L,9,FALSE()),0)</f>
        <v>22.77</v>
      </c>
      <c r="N18" s="58">
        <f t="shared" si="0"/>
        <v>187533.72</v>
      </c>
      <c r="O18" s="59" t="s">
        <v>124</v>
      </c>
      <c r="P18" s="46" t="s">
        <v>620</v>
      </c>
    </row>
    <row r="19" spans="2:16" ht="31.5" customHeight="1" x14ac:dyDescent="0.25">
      <c r="B19" s="47"/>
      <c r="C19" s="60" t="s">
        <v>578</v>
      </c>
      <c r="D19" s="61" t="s">
        <v>621</v>
      </c>
      <c r="E19" s="45" t="s">
        <v>242</v>
      </c>
      <c r="F19" s="50" t="s">
        <v>248</v>
      </c>
      <c r="G19" s="50"/>
      <c r="H19" s="49" t="s">
        <v>247</v>
      </c>
      <c r="I19" s="47" t="s">
        <v>622</v>
      </c>
      <c r="J19" s="45" t="s">
        <v>228</v>
      </c>
      <c r="K19" s="52" t="s">
        <v>623</v>
      </c>
      <c r="L19" s="56">
        <v>30</v>
      </c>
      <c r="M19" s="57">
        <f>IFERROR(VLOOKUP(H19,'UNIT PRICE LIBRARY'!D:L,9,FALSE()),0)</f>
        <v>439.87499999999994</v>
      </c>
      <c r="N19" s="62">
        <f t="shared" si="0"/>
        <v>13196.249999999998</v>
      </c>
      <c r="O19" s="59" t="s">
        <v>124</v>
      </c>
      <c r="P19" s="52" t="s">
        <v>624</v>
      </c>
    </row>
    <row r="20" spans="2:16" ht="31.5" customHeight="1" x14ac:dyDescent="0.25">
      <c r="B20" s="37"/>
      <c r="C20" s="54" t="s">
        <v>578</v>
      </c>
      <c r="D20" s="55" t="s">
        <v>621</v>
      </c>
      <c r="E20" s="41" t="s">
        <v>242</v>
      </c>
      <c r="F20" s="40" t="s">
        <v>248</v>
      </c>
      <c r="G20" s="40"/>
      <c r="H20" s="39" t="s">
        <v>251</v>
      </c>
      <c r="I20" s="37" t="s">
        <v>625</v>
      </c>
      <c r="J20" s="41" t="s">
        <v>228</v>
      </c>
      <c r="K20" s="46" t="s">
        <v>626</v>
      </c>
      <c r="L20" s="56">
        <v>30</v>
      </c>
      <c r="M20" s="57">
        <f>IFERROR(VLOOKUP(H20,'UNIT PRICE LIBRARY'!D:L,9,FALSE()),0)</f>
        <v>98.324999999999989</v>
      </c>
      <c r="N20" s="58">
        <f t="shared" si="0"/>
        <v>2949.7499999999995</v>
      </c>
      <c r="O20" s="59" t="s">
        <v>124</v>
      </c>
      <c r="P20" s="46" t="s">
        <v>627</v>
      </c>
    </row>
    <row r="21" spans="2:16" ht="31.5" customHeight="1" x14ac:dyDescent="0.25">
      <c r="B21" s="47"/>
      <c r="C21" s="60" t="s">
        <v>578</v>
      </c>
      <c r="D21" s="61" t="s">
        <v>628</v>
      </c>
      <c r="E21" s="45" t="s">
        <v>255</v>
      </c>
      <c r="F21" s="50" t="s">
        <v>257</v>
      </c>
      <c r="G21" s="50"/>
      <c r="H21" s="49" t="s">
        <v>256</v>
      </c>
      <c r="I21" s="47" t="s">
        <v>629</v>
      </c>
      <c r="J21" s="45" t="s">
        <v>178</v>
      </c>
      <c r="K21" s="52" t="s">
        <v>630</v>
      </c>
      <c r="L21" s="56">
        <v>4200</v>
      </c>
      <c r="M21" s="57">
        <f>IFERROR(VLOOKUP(H21,'UNIT PRICE LIBRARY'!D:L,9,FALSE()),0)</f>
        <v>2.9497499999999999</v>
      </c>
      <c r="N21" s="62">
        <f t="shared" si="0"/>
        <v>12388.949999999999</v>
      </c>
      <c r="O21" s="59" t="s">
        <v>124</v>
      </c>
      <c r="P21" s="52" t="s">
        <v>631</v>
      </c>
    </row>
    <row r="22" spans="2:16" ht="31.5" customHeight="1" x14ac:dyDescent="0.25">
      <c r="B22" s="37"/>
      <c r="C22" s="54" t="s">
        <v>578</v>
      </c>
      <c r="D22" s="55" t="s">
        <v>632</v>
      </c>
      <c r="E22" s="41" t="s">
        <v>255</v>
      </c>
      <c r="F22" s="40" t="s">
        <v>265</v>
      </c>
      <c r="G22" s="40"/>
      <c r="H22" s="39" t="s">
        <v>264</v>
      </c>
      <c r="I22" s="37" t="s">
        <v>633</v>
      </c>
      <c r="J22" s="41" t="s">
        <v>178</v>
      </c>
      <c r="K22" s="46" t="s">
        <v>634</v>
      </c>
      <c r="L22" s="56">
        <v>13726</v>
      </c>
      <c r="M22" s="57">
        <f>IFERROR(VLOOKUP(H22,'UNIT PRICE LIBRARY'!D:L,9,FALSE()),0)</f>
        <v>15.007499999999999</v>
      </c>
      <c r="N22" s="58">
        <f t="shared" si="0"/>
        <v>205992.94499999998</v>
      </c>
      <c r="O22" s="59" t="s">
        <v>124</v>
      </c>
      <c r="P22" s="46" t="s">
        <v>635</v>
      </c>
    </row>
    <row r="23" spans="2:16" ht="31.5" customHeight="1" x14ac:dyDescent="0.25">
      <c r="B23" s="47"/>
      <c r="C23" s="60" t="s">
        <v>578</v>
      </c>
      <c r="D23" s="61" t="s">
        <v>636</v>
      </c>
      <c r="E23" s="45" t="s">
        <v>274</v>
      </c>
      <c r="F23" s="50" t="s">
        <v>276</v>
      </c>
      <c r="G23" s="50"/>
      <c r="H23" s="49" t="s">
        <v>275</v>
      </c>
      <c r="I23" s="47" t="s">
        <v>637</v>
      </c>
      <c r="J23" s="45" t="s">
        <v>187</v>
      </c>
      <c r="K23" s="52" t="s">
        <v>638</v>
      </c>
      <c r="L23" s="56">
        <v>22</v>
      </c>
      <c r="M23" s="57">
        <f>IFERROR(VLOOKUP(H23,'UNIT PRICE LIBRARY'!D:L,9,FALSE()),0)</f>
        <v>4088.2499999999995</v>
      </c>
      <c r="N23" s="62">
        <f t="shared" si="0"/>
        <v>89941.499999999985</v>
      </c>
      <c r="O23" s="59" t="s">
        <v>124</v>
      </c>
      <c r="P23" s="52" t="s">
        <v>639</v>
      </c>
    </row>
    <row r="24" spans="2:16" ht="31.5" customHeight="1" x14ac:dyDescent="0.25">
      <c r="B24" s="37"/>
      <c r="C24" s="54" t="s">
        <v>578</v>
      </c>
      <c r="D24" s="55" t="s">
        <v>640</v>
      </c>
      <c r="E24" s="41" t="s">
        <v>274</v>
      </c>
      <c r="F24" s="40" t="s">
        <v>276</v>
      </c>
      <c r="G24" s="40"/>
      <c r="H24" s="39" t="s">
        <v>279</v>
      </c>
      <c r="I24" s="37" t="s">
        <v>641</v>
      </c>
      <c r="J24" s="41" t="s">
        <v>187</v>
      </c>
      <c r="K24" s="46" t="s">
        <v>638</v>
      </c>
      <c r="L24" s="56">
        <v>35</v>
      </c>
      <c r="M24" s="57">
        <f>IFERROR(VLOOKUP(H24,'UNIT PRICE LIBRARY'!D:L,9,FALSE()),0)</f>
        <v>5382</v>
      </c>
      <c r="N24" s="58">
        <f t="shared" si="0"/>
        <v>188370</v>
      </c>
      <c r="O24" s="59" t="s">
        <v>124</v>
      </c>
      <c r="P24" s="46" t="s">
        <v>642</v>
      </c>
    </row>
    <row r="25" spans="2:16" ht="31.5" customHeight="1" x14ac:dyDescent="0.25">
      <c r="B25" s="47"/>
      <c r="C25" s="60" t="s">
        <v>578</v>
      </c>
      <c r="D25" s="61" t="s">
        <v>621</v>
      </c>
      <c r="E25" s="45" t="s">
        <v>274</v>
      </c>
      <c r="F25" s="50" t="s">
        <v>276</v>
      </c>
      <c r="G25" s="50"/>
      <c r="H25" s="49" t="s">
        <v>282</v>
      </c>
      <c r="I25" s="47" t="s">
        <v>643</v>
      </c>
      <c r="J25" s="45" t="s">
        <v>187</v>
      </c>
      <c r="K25" s="52" t="s">
        <v>644</v>
      </c>
      <c r="L25" s="56">
        <v>2</v>
      </c>
      <c r="M25" s="57">
        <f>IFERROR(VLOOKUP(H25,'UNIT PRICE LIBRARY'!D:L,9,FALSE()),0)</f>
        <v>4968</v>
      </c>
      <c r="N25" s="62">
        <f t="shared" si="0"/>
        <v>9936</v>
      </c>
      <c r="O25" s="59" t="s">
        <v>124</v>
      </c>
      <c r="P25" s="52" t="s">
        <v>645</v>
      </c>
    </row>
    <row r="26" spans="2:16" ht="31.5" customHeight="1" x14ac:dyDescent="0.25">
      <c r="B26" s="37"/>
      <c r="C26" s="54" t="s">
        <v>578</v>
      </c>
      <c r="D26" s="55" t="s">
        <v>646</v>
      </c>
      <c r="E26" s="41" t="s">
        <v>274</v>
      </c>
      <c r="F26" s="40" t="s">
        <v>286</v>
      </c>
      <c r="G26" s="40"/>
      <c r="H26" s="39" t="s">
        <v>285</v>
      </c>
      <c r="I26" s="37" t="s">
        <v>647</v>
      </c>
      <c r="J26" s="41" t="s">
        <v>187</v>
      </c>
      <c r="K26" s="46" t="s">
        <v>648</v>
      </c>
      <c r="L26" s="56">
        <v>1</v>
      </c>
      <c r="M26" s="57">
        <f>IFERROR(VLOOKUP(H26,'UNIT PRICE LIBRARY'!D:L,9,FALSE()),0)</f>
        <v>19147.5</v>
      </c>
      <c r="N26" s="58">
        <f t="shared" si="0"/>
        <v>19147.5</v>
      </c>
      <c r="O26" s="59" t="s">
        <v>124</v>
      </c>
      <c r="P26" s="46" t="s">
        <v>649</v>
      </c>
    </row>
    <row r="27" spans="2:16" ht="31.5" customHeight="1" x14ac:dyDescent="0.25">
      <c r="B27" s="47"/>
      <c r="C27" s="60" t="s">
        <v>578</v>
      </c>
      <c r="D27" s="61" t="s">
        <v>650</v>
      </c>
      <c r="E27" s="45" t="s">
        <v>274</v>
      </c>
      <c r="F27" s="50" t="s">
        <v>290</v>
      </c>
      <c r="G27" s="50"/>
      <c r="H27" s="49" t="s">
        <v>289</v>
      </c>
      <c r="I27" s="47" t="s">
        <v>651</v>
      </c>
      <c r="J27" s="45" t="s">
        <v>178</v>
      </c>
      <c r="K27" s="52" t="s">
        <v>652</v>
      </c>
      <c r="L27" s="56">
        <v>1440</v>
      </c>
      <c r="M27" s="57">
        <f>IFERROR(VLOOKUP(H27,'UNIT PRICE LIBRARY'!D:L,9,FALSE()),0)</f>
        <v>74.52</v>
      </c>
      <c r="N27" s="62">
        <f t="shared" si="0"/>
        <v>107308.79999999999</v>
      </c>
      <c r="O27" s="59" t="s">
        <v>124</v>
      </c>
      <c r="P27" s="52" t="s">
        <v>653</v>
      </c>
    </row>
    <row r="28" spans="2:16" ht="31.5" customHeight="1" x14ac:dyDescent="0.25">
      <c r="B28" s="37"/>
      <c r="C28" s="54" t="s">
        <v>578</v>
      </c>
      <c r="D28" s="55" t="s">
        <v>654</v>
      </c>
      <c r="E28" s="41" t="s">
        <v>294</v>
      </c>
      <c r="F28" s="40" t="s">
        <v>295</v>
      </c>
      <c r="G28" s="40"/>
      <c r="H28" s="39" t="s">
        <v>295</v>
      </c>
      <c r="I28" s="37" t="s">
        <v>655</v>
      </c>
      <c r="J28" s="41" t="s">
        <v>178</v>
      </c>
      <c r="K28" s="46" t="s">
        <v>656</v>
      </c>
      <c r="L28" s="56">
        <v>6400</v>
      </c>
      <c r="M28" s="57">
        <f>IFERROR(VLOOKUP(H28,'UNIT PRICE LIBRARY'!D:L,9,FALSE()),0)</f>
        <v>18.112499999999997</v>
      </c>
      <c r="N28" s="58">
        <f t="shared" si="0"/>
        <v>115919.99999999999</v>
      </c>
      <c r="O28" s="59" t="s">
        <v>124</v>
      </c>
      <c r="P28" s="46" t="s">
        <v>657</v>
      </c>
    </row>
    <row r="29" spans="2:16" ht="31.5" customHeight="1" x14ac:dyDescent="0.25">
      <c r="B29" s="279"/>
      <c r="C29" s="279"/>
      <c r="D29" s="279"/>
      <c r="E29" s="279"/>
      <c r="F29" s="279"/>
      <c r="G29" s="279"/>
      <c r="H29" s="279"/>
      <c r="I29" s="279"/>
      <c r="J29" s="279"/>
      <c r="K29" s="279"/>
      <c r="L29" s="279"/>
      <c r="M29" s="57">
        <f>IFERROR(VLOOKUP(H29,'UNIT PRICE LIBRARY'!D:L,9,FALSE()),0)</f>
        <v>0</v>
      </c>
      <c r="N29" s="62">
        <f t="shared" si="0"/>
        <v>0</v>
      </c>
      <c r="O29" s="59" t="s">
        <v>124</v>
      </c>
      <c r="P29" s="52" t="s">
        <v>658</v>
      </c>
    </row>
    <row r="30" spans="2:16" ht="31.5" customHeight="1" x14ac:dyDescent="0.25">
      <c r="B30" s="274"/>
      <c r="C30" s="274"/>
      <c r="D30" s="274"/>
      <c r="E30" s="274"/>
      <c r="F30" s="274"/>
      <c r="G30" s="274"/>
      <c r="H30" s="274"/>
      <c r="I30" s="274"/>
      <c r="J30" s="274"/>
      <c r="K30" s="274"/>
      <c r="L30" s="274"/>
      <c r="M30" s="274"/>
      <c r="N30" s="274"/>
      <c r="O30" s="274"/>
      <c r="P30" s="46" t="s">
        <v>659</v>
      </c>
    </row>
    <row r="31" spans="2:16" ht="31.5" customHeight="1" x14ac:dyDescent="0.25">
      <c r="B31" s="47"/>
      <c r="C31" s="60" t="s">
        <v>578</v>
      </c>
      <c r="D31" s="61" t="s">
        <v>660</v>
      </c>
      <c r="E31" s="45" t="s">
        <v>294</v>
      </c>
      <c r="F31" s="50" t="s">
        <v>307</v>
      </c>
      <c r="G31" s="50"/>
      <c r="H31" s="49" t="s">
        <v>306</v>
      </c>
      <c r="I31" s="47" t="s">
        <v>661</v>
      </c>
      <c r="J31" s="45" t="s">
        <v>178</v>
      </c>
      <c r="K31" s="52" t="s">
        <v>662</v>
      </c>
      <c r="L31" s="56">
        <v>3460</v>
      </c>
      <c r="M31" s="57">
        <f>IFERROR(VLOOKUP(H31,'UNIT PRICE LIBRARY'!D:L,9,FALSE()),0)</f>
        <v>11.9025</v>
      </c>
      <c r="N31" s="62">
        <f t="shared" ref="N31:N55" si="1">IF(O31="No",0,L31*M31)</f>
        <v>41182.65</v>
      </c>
      <c r="O31" s="59" t="s">
        <v>124</v>
      </c>
      <c r="P31" s="52" t="s">
        <v>663</v>
      </c>
    </row>
    <row r="32" spans="2:16" ht="31.5" customHeight="1" x14ac:dyDescent="0.25">
      <c r="B32" s="37"/>
      <c r="C32" s="54" t="s">
        <v>578</v>
      </c>
      <c r="D32" s="55" t="s">
        <v>664</v>
      </c>
      <c r="E32" s="41" t="s">
        <v>294</v>
      </c>
      <c r="F32" s="40" t="s">
        <v>296</v>
      </c>
      <c r="G32" s="40"/>
      <c r="H32" s="39" t="s">
        <v>310</v>
      </c>
      <c r="I32" s="37" t="s">
        <v>665</v>
      </c>
      <c r="J32" s="41" t="s">
        <v>178</v>
      </c>
      <c r="K32" s="46" t="s">
        <v>666</v>
      </c>
      <c r="L32" s="56">
        <v>6300</v>
      </c>
      <c r="M32" s="57">
        <f>IFERROR(VLOOKUP(H32,'UNIT PRICE LIBRARY'!D:L,9,FALSE()),0)</f>
        <v>13.196249999999999</v>
      </c>
      <c r="N32" s="58">
        <f t="shared" si="1"/>
        <v>83136.375</v>
      </c>
      <c r="O32" s="59" t="s">
        <v>124</v>
      </c>
      <c r="P32" s="46" t="s">
        <v>667</v>
      </c>
    </row>
    <row r="33" spans="2:16" ht="31.5" customHeight="1" x14ac:dyDescent="0.25">
      <c r="B33" s="47"/>
      <c r="C33" s="60" t="s">
        <v>578</v>
      </c>
      <c r="D33" s="61" t="s">
        <v>668</v>
      </c>
      <c r="E33" s="45" t="s">
        <v>294</v>
      </c>
      <c r="F33" s="50" t="s">
        <v>314</v>
      </c>
      <c r="G33" s="50"/>
      <c r="H33" s="49" t="s">
        <v>313</v>
      </c>
      <c r="I33" s="47" t="s">
        <v>669</v>
      </c>
      <c r="J33" s="45" t="s">
        <v>178</v>
      </c>
      <c r="K33" s="52" t="s">
        <v>670</v>
      </c>
      <c r="L33" s="56">
        <v>76866</v>
      </c>
      <c r="M33" s="57">
        <f>IFERROR(VLOOKUP(H33,'UNIT PRICE LIBRARY'!D:L,9,FALSE()),0)</f>
        <v>4.0882499999999995</v>
      </c>
      <c r="N33" s="62">
        <f t="shared" si="1"/>
        <v>314247.42449999996</v>
      </c>
      <c r="O33" s="59" t="s">
        <v>124</v>
      </c>
      <c r="P33" s="52" t="s">
        <v>671</v>
      </c>
    </row>
    <row r="34" spans="2:16" ht="31.5" customHeight="1" x14ac:dyDescent="0.25">
      <c r="B34" s="37"/>
      <c r="C34" s="54" t="s">
        <v>578</v>
      </c>
      <c r="D34" s="55" t="s">
        <v>672</v>
      </c>
      <c r="E34" s="41" t="s">
        <v>294</v>
      </c>
      <c r="F34" s="40" t="s">
        <v>314</v>
      </c>
      <c r="G34" s="40"/>
      <c r="H34" s="39" t="s">
        <v>317</v>
      </c>
      <c r="I34" s="37" t="s">
        <v>673</v>
      </c>
      <c r="J34" s="41" t="s">
        <v>178</v>
      </c>
      <c r="K34" s="46" t="s">
        <v>674</v>
      </c>
      <c r="L34" s="56">
        <v>12400</v>
      </c>
      <c r="M34" s="57">
        <f>IFERROR(VLOOKUP(H34,'UNIT PRICE LIBRARY'!D:L,9,FALSE()),0)</f>
        <v>4.6574999999999998</v>
      </c>
      <c r="N34" s="58">
        <f t="shared" si="1"/>
        <v>57753</v>
      </c>
      <c r="O34" s="59" t="s">
        <v>124</v>
      </c>
      <c r="P34" s="46" t="s">
        <v>675</v>
      </c>
    </row>
    <row r="35" spans="2:16" ht="31.5" customHeight="1" x14ac:dyDescent="0.25">
      <c r="B35" s="47"/>
      <c r="C35" s="60" t="s">
        <v>578</v>
      </c>
      <c r="D35" s="61" t="s">
        <v>676</v>
      </c>
      <c r="E35" s="45" t="s">
        <v>294</v>
      </c>
      <c r="F35" s="50" t="s">
        <v>321</v>
      </c>
      <c r="G35" s="50"/>
      <c r="H35" s="49" t="s">
        <v>320</v>
      </c>
      <c r="I35" s="47" t="s">
        <v>322</v>
      </c>
      <c r="J35" s="45" t="s">
        <v>178</v>
      </c>
      <c r="K35" s="52" t="s">
        <v>677</v>
      </c>
      <c r="L35" s="56">
        <v>520</v>
      </c>
      <c r="M35" s="57">
        <f>IFERROR(VLOOKUP(H35,'UNIT PRICE LIBRARY'!D:L,9,FALSE()),0)</f>
        <v>10.8675</v>
      </c>
      <c r="N35" s="62">
        <f t="shared" si="1"/>
        <v>5651.0999999999995</v>
      </c>
      <c r="O35" s="59" t="s">
        <v>124</v>
      </c>
      <c r="P35" s="52" t="s">
        <v>678</v>
      </c>
    </row>
    <row r="36" spans="2:16" ht="31.5" customHeight="1" x14ac:dyDescent="0.25">
      <c r="B36" s="37"/>
      <c r="C36" s="54" t="s">
        <v>578</v>
      </c>
      <c r="D36" s="55" t="s">
        <v>679</v>
      </c>
      <c r="E36" s="41" t="s">
        <v>294</v>
      </c>
      <c r="F36" s="40" t="s">
        <v>325</v>
      </c>
      <c r="G36" s="40"/>
      <c r="H36" s="39" t="s">
        <v>324</v>
      </c>
      <c r="I36" s="37" t="s">
        <v>680</v>
      </c>
      <c r="J36" s="41" t="s">
        <v>178</v>
      </c>
      <c r="K36" s="46" t="s">
        <v>681</v>
      </c>
      <c r="L36" s="56">
        <v>13200</v>
      </c>
      <c r="M36" s="57">
        <f>IFERROR(VLOOKUP(H36,'UNIT PRICE LIBRARY'!D:L,9,FALSE()),0)</f>
        <v>11.9025</v>
      </c>
      <c r="N36" s="58">
        <f t="shared" si="1"/>
        <v>157113</v>
      </c>
      <c r="O36" s="59" t="s">
        <v>124</v>
      </c>
      <c r="P36" s="46" t="s">
        <v>682</v>
      </c>
    </row>
    <row r="37" spans="2:16" ht="31.5" customHeight="1" x14ac:dyDescent="0.25">
      <c r="B37" s="47"/>
      <c r="C37" s="60" t="s">
        <v>578</v>
      </c>
      <c r="D37" s="61" t="s">
        <v>660</v>
      </c>
      <c r="E37" s="45" t="s">
        <v>294</v>
      </c>
      <c r="F37" s="50" t="s">
        <v>329</v>
      </c>
      <c r="G37" s="50"/>
      <c r="H37" s="49" t="s">
        <v>328</v>
      </c>
      <c r="I37" s="47" t="s">
        <v>330</v>
      </c>
      <c r="J37" s="45" t="s">
        <v>178</v>
      </c>
      <c r="K37" s="52" t="s">
        <v>683</v>
      </c>
      <c r="L37" s="56">
        <v>3360</v>
      </c>
      <c r="M37" s="57">
        <f>IFERROR(VLOOKUP(H37,'UNIT PRICE LIBRARY'!D:L,9,FALSE()),0)</f>
        <v>19.147499999999997</v>
      </c>
      <c r="N37" s="62">
        <f t="shared" si="1"/>
        <v>64335.599999999991</v>
      </c>
      <c r="O37" s="59" t="s">
        <v>124</v>
      </c>
      <c r="P37" s="52" t="s">
        <v>684</v>
      </c>
    </row>
    <row r="38" spans="2:16" ht="31.5" customHeight="1" x14ac:dyDescent="0.25">
      <c r="B38" s="37"/>
      <c r="C38" s="54" t="s">
        <v>578</v>
      </c>
      <c r="D38" s="55" t="s">
        <v>660</v>
      </c>
      <c r="E38" s="41" t="s">
        <v>294</v>
      </c>
      <c r="F38" s="40" t="s">
        <v>329</v>
      </c>
      <c r="G38" s="40"/>
      <c r="H38" s="39" t="s">
        <v>332</v>
      </c>
      <c r="I38" s="37" t="s">
        <v>333</v>
      </c>
      <c r="J38" s="41" t="s">
        <v>178</v>
      </c>
      <c r="K38" s="46" t="s">
        <v>685</v>
      </c>
      <c r="L38" s="56">
        <v>10080</v>
      </c>
      <c r="M38" s="57">
        <f>IFERROR(VLOOKUP(H38,'UNIT PRICE LIBRARY'!D:L,9,FALSE()),0)</f>
        <v>17.077499999999997</v>
      </c>
      <c r="N38" s="58">
        <f t="shared" si="1"/>
        <v>172141.19999999998</v>
      </c>
      <c r="O38" s="59" t="s">
        <v>124</v>
      </c>
      <c r="P38" s="46" t="s">
        <v>686</v>
      </c>
    </row>
    <row r="39" spans="2:16" ht="31.5" customHeight="1" x14ac:dyDescent="0.25">
      <c r="B39" s="47"/>
      <c r="C39" s="60" t="s">
        <v>578</v>
      </c>
      <c r="D39" s="61" t="s">
        <v>687</v>
      </c>
      <c r="E39" s="45" t="s">
        <v>294</v>
      </c>
      <c r="F39" s="50" t="s">
        <v>336</v>
      </c>
      <c r="G39" s="50"/>
      <c r="H39" s="49" t="s">
        <v>335</v>
      </c>
      <c r="I39" s="47" t="s">
        <v>688</v>
      </c>
      <c r="J39" s="45" t="s">
        <v>178</v>
      </c>
      <c r="K39" s="52" t="s">
        <v>689</v>
      </c>
      <c r="L39" s="56">
        <v>560</v>
      </c>
      <c r="M39" s="57">
        <f>IFERROR(VLOOKUP(H39,'UNIT PRICE LIBRARY'!D:L,9,FALSE()),0)</f>
        <v>14.231249999999999</v>
      </c>
      <c r="N39" s="62">
        <f t="shared" si="1"/>
        <v>7969.5</v>
      </c>
      <c r="O39" s="53" t="s">
        <v>690</v>
      </c>
      <c r="P39" s="52" t="s">
        <v>691</v>
      </c>
    </row>
    <row r="40" spans="2:16" ht="31.5" customHeight="1" x14ac:dyDescent="0.25">
      <c r="B40" s="37"/>
      <c r="C40" s="54" t="s">
        <v>578</v>
      </c>
      <c r="D40" s="55" t="s">
        <v>692</v>
      </c>
      <c r="E40" s="41" t="s">
        <v>294</v>
      </c>
      <c r="F40" s="40" t="s">
        <v>340</v>
      </c>
      <c r="G40" s="40"/>
      <c r="H40" s="39" t="s">
        <v>339</v>
      </c>
      <c r="I40" s="37" t="s">
        <v>693</v>
      </c>
      <c r="J40" s="41" t="s">
        <v>178</v>
      </c>
      <c r="K40" s="46" t="s">
        <v>694</v>
      </c>
      <c r="L40" s="56">
        <v>1260</v>
      </c>
      <c r="M40" s="57">
        <f>IFERROR(VLOOKUP(H40,'UNIT PRICE LIBRARY'!D:L,9,FALSE()),0)</f>
        <v>7.7624999999999993</v>
      </c>
      <c r="N40" s="58">
        <f t="shared" si="1"/>
        <v>9780.75</v>
      </c>
      <c r="O40" s="53" t="s">
        <v>690</v>
      </c>
      <c r="P40" s="46" t="s">
        <v>695</v>
      </c>
    </row>
    <row r="41" spans="2:16" ht="31.5" customHeight="1" x14ac:dyDescent="0.25">
      <c r="B41" s="47"/>
      <c r="C41" s="60" t="s">
        <v>578</v>
      </c>
      <c r="D41" s="61" t="s">
        <v>696</v>
      </c>
      <c r="E41" s="45" t="s">
        <v>294</v>
      </c>
      <c r="F41" s="50" t="s">
        <v>344</v>
      </c>
      <c r="G41" s="50"/>
      <c r="H41" s="49" t="s">
        <v>343</v>
      </c>
      <c r="I41" s="47" t="s">
        <v>697</v>
      </c>
      <c r="J41" s="45" t="s">
        <v>228</v>
      </c>
      <c r="K41" s="52" t="s">
        <v>698</v>
      </c>
      <c r="L41" s="56">
        <v>280</v>
      </c>
      <c r="M41" s="57">
        <f>IFERROR(VLOOKUP(H41,'UNIT PRICE LIBRARY'!D:L,9,FALSE()),0)</f>
        <v>43.47</v>
      </c>
      <c r="N41" s="62">
        <f t="shared" si="1"/>
        <v>12171.6</v>
      </c>
      <c r="O41" s="59" t="s">
        <v>124</v>
      </c>
      <c r="P41" s="52" t="s">
        <v>699</v>
      </c>
    </row>
    <row r="42" spans="2:16" ht="31.5" customHeight="1" x14ac:dyDescent="0.25">
      <c r="B42" s="37"/>
      <c r="C42" s="54" t="s">
        <v>578</v>
      </c>
      <c r="D42" s="55" t="s">
        <v>696</v>
      </c>
      <c r="E42" s="41" t="s">
        <v>294</v>
      </c>
      <c r="F42" s="40" t="s">
        <v>344</v>
      </c>
      <c r="G42" s="40"/>
      <c r="H42" s="39" t="s">
        <v>347</v>
      </c>
      <c r="I42" s="37" t="s">
        <v>348</v>
      </c>
      <c r="J42" s="41" t="s">
        <v>228</v>
      </c>
      <c r="K42" s="46" t="s">
        <v>700</v>
      </c>
      <c r="L42" s="56">
        <v>1040</v>
      </c>
      <c r="M42" s="57">
        <f>IFERROR(VLOOKUP(H42,'UNIT PRICE LIBRARY'!D:L,9,FALSE()),0)</f>
        <v>29.497499999999999</v>
      </c>
      <c r="N42" s="58">
        <f t="shared" si="1"/>
        <v>30677.399999999998</v>
      </c>
      <c r="O42" s="59" t="s">
        <v>124</v>
      </c>
      <c r="P42" s="46" t="s">
        <v>701</v>
      </c>
    </row>
    <row r="43" spans="2:16" ht="31.5" customHeight="1" x14ac:dyDescent="0.25">
      <c r="B43" s="47"/>
      <c r="C43" s="60" t="s">
        <v>578</v>
      </c>
      <c r="D43" s="61" t="s">
        <v>702</v>
      </c>
      <c r="E43" s="45" t="s">
        <v>31</v>
      </c>
      <c r="F43" s="50" t="s">
        <v>352</v>
      </c>
      <c r="G43" s="50"/>
      <c r="H43" s="49" t="s">
        <v>351</v>
      </c>
      <c r="I43" s="47" t="s">
        <v>703</v>
      </c>
      <c r="J43" s="45" t="s">
        <v>187</v>
      </c>
      <c r="K43" s="52" t="s">
        <v>704</v>
      </c>
      <c r="L43" s="56">
        <v>42</v>
      </c>
      <c r="M43" s="57">
        <f>IFERROR(VLOOKUP(H43,'UNIT PRICE LIBRARY'!D:L,9,FALSE()),0)</f>
        <v>1293.75</v>
      </c>
      <c r="N43" s="62">
        <f t="shared" si="1"/>
        <v>54337.5</v>
      </c>
      <c r="O43" s="59" t="s">
        <v>124</v>
      </c>
      <c r="P43" s="52" t="s">
        <v>705</v>
      </c>
    </row>
    <row r="44" spans="2:16" ht="31.5" customHeight="1" x14ac:dyDescent="0.25">
      <c r="B44" s="37"/>
      <c r="C44" s="54" t="s">
        <v>578</v>
      </c>
      <c r="D44" s="55" t="s">
        <v>706</v>
      </c>
      <c r="E44" s="41" t="s">
        <v>31</v>
      </c>
      <c r="F44" s="40" t="s">
        <v>356</v>
      </c>
      <c r="G44" s="40"/>
      <c r="H44" s="39" t="s">
        <v>355</v>
      </c>
      <c r="I44" s="37" t="s">
        <v>357</v>
      </c>
      <c r="J44" s="41" t="s">
        <v>187</v>
      </c>
      <c r="K44" s="46" t="s">
        <v>707</v>
      </c>
      <c r="L44" s="56">
        <v>35</v>
      </c>
      <c r="M44" s="57">
        <f>IFERROR(VLOOKUP(H44,'UNIT PRICE LIBRARY'!D:L,9,FALSE()),0)</f>
        <v>2277</v>
      </c>
      <c r="N44" s="58">
        <f t="shared" si="1"/>
        <v>79695</v>
      </c>
      <c r="O44" s="59" t="s">
        <v>124</v>
      </c>
      <c r="P44" s="46" t="s">
        <v>708</v>
      </c>
    </row>
    <row r="45" spans="2:16" ht="31.5" customHeight="1" x14ac:dyDescent="0.25">
      <c r="B45" s="47"/>
      <c r="C45" s="60" t="s">
        <v>578</v>
      </c>
      <c r="D45" s="61" t="s">
        <v>709</v>
      </c>
      <c r="E45" s="45" t="s">
        <v>31</v>
      </c>
      <c r="F45" s="50" t="s">
        <v>710</v>
      </c>
      <c r="G45" s="50"/>
      <c r="H45" s="49" t="s">
        <v>359</v>
      </c>
      <c r="I45" s="47" t="s">
        <v>711</v>
      </c>
      <c r="J45" s="45" t="s">
        <v>187</v>
      </c>
      <c r="K45" s="52" t="s">
        <v>712</v>
      </c>
      <c r="L45" s="56">
        <v>24</v>
      </c>
      <c r="M45" s="57">
        <f>IFERROR(VLOOKUP(H45,'UNIT PRICE LIBRARY'!D:L,9,FALSE()),0)</f>
        <v>501.97499999999997</v>
      </c>
      <c r="N45" s="62">
        <f t="shared" si="1"/>
        <v>12047.4</v>
      </c>
      <c r="O45" s="59" t="s">
        <v>124</v>
      </c>
      <c r="P45" s="52" t="s">
        <v>713</v>
      </c>
    </row>
    <row r="46" spans="2:16" ht="31.5" customHeight="1" x14ac:dyDescent="0.25">
      <c r="B46" s="37"/>
      <c r="C46" s="54" t="s">
        <v>578</v>
      </c>
      <c r="D46" s="55" t="s">
        <v>714</v>
      </c>
      <c r="E46" s="41" t="s">
        <v>31</v>
      </c>
      <c r="F46" s="40" t="s">
        <v>364</v>
      </c>
      <c r="G46" s="40"/>
      <c r="H46" s="39" t="s">
        <v>363</v>
      </c>
      <c r="I46" s="37" t="s">
        <v>715</v>
      </c>
      <c r="J46" s="41" t="s">
        <v>187</v>
      </c>
      <c r="K46" s="46" t="s">
        <v>716</v>
      </c>
      <c r="L46" s="56">
        <v>57</v>
      </c>
      <c r="M46" s="57">
        <f>IFERROR(VLOOKUP(H46,'UNIT PRICE LIBRARY'!D:L,9,FALSE()),0)</f>
        <v>201.82499999999999</v>
      </c>
      <c r="N46" s="58">
        <f t="shared" si="1"/>
        <v>11504.025</v>
      </c>
      <c r="O46" s="59" t="s">
        <v>124</v>
      </c>
      <c r="P46" s="46" t="s">
        <v>717</v>
      </c>
    </row>
    <row r="47" spans="2:16" ht="31.5" customHeight="1" x14ac:dyDescent="0.25">
      <c r="B47" s="47"/>
      <c r="C47" s="60" t="s">
        <v>578</v>
      </c>
      <c r="D47" s="61" t="s">
        <v>617</v>
      </c>
      <c r="E47" s="45" t="s">
        <v>31</v>
      </c>
      <c r="F47" s="50" t="s">
        <v>372</v>
      </c>
      <c r="G47" s="50"/>
      <c r="H47" s="49" t="s">
        <v>371</v>
      </c>
      <c r="I47" s="47" t="s">
        <v>718</v>
      </c>
      <c r="J47" s="45" t="s">
        <v>187</v>
      </c>
      <c r="K47" s="52" t="s">
        <v>719</v>
      </c>
      <c r="L47" s="56">
        <v>35</v>
      </c>
      <c r="M47" s="57">
        <f>IFERROR(VLOOKUP(H47,'UNIT PRICE LIBRARY'!D:L,9,FALSE()),0)</f>
        <v>879.74999999999989</v>
      </c>
      <c r="N47" s="62">
        <f t="shared" si="1"/>
        <v>30791.249999999996</v>
      </c>
      <c r="O47" s="59" t="s">
        <v>124</v>
      </c>
      <c r="P47" s="52" t="s">
        <v>720</v>
      </c>
    </row>
    <row r="48" spans="2:16" ht="31.5" customHeight="1" x14ac:dyDescent="0.25">
      <c r="B48" s="37"/>
      <c r="C48" s="54" t="s">
        <v>578</v>
      </c>
      <c r="D48" s="55" t="s">
        <v>721</v>
      </c>
      <c r="E48" s="41" t="s">
        <v>31</v>
      </c>
      <c r="F48" s="40" t="s">
        <v>372</v>
      </c>
      <c r="G48" s="40"/>
      <c r="H48" s="39" t="s">
        <v>375</v>
      </c>
      <c r="I48" s="37" t="s">
        <v>722</v>
      </c>
      <c r="J48" s="41" t="s">
        <v>187</v>
      </c>
      <c r="K48" s="46" t="s">
        <v>723</v>
      </c>
      <c r="L48" s="56">
        <v>6</v>
      </c>
      <c r="M48" s="57">
        <f>IFERROR(VLOOKUP(H48,'UNIT PRICE LIBRARY'!D:L,9,FALSE()),0)</f>
        <v>1242</v>
      </c>
      <c r="N48" s="58">
        <f t="shared" si="1"/>
        <v>7452</v>
      </c>
      <c r="O48" s="59" t="s">
        <v>124</v>
      </c>
      <c r="P48" s="46" t="s">
        <v>724</v>
      </c>
    </row>
    <row r="49" spans="2:16" ht="31.5" customHeight="1" x14ac:dyDescent="0.25">
      <c r="B49" s="47"/>
      <c r="C49" s="60" t="s">
        <v>578</v>
      </c>
      <c r="D49" s="61" t="s">
        <v>617</v>
      </c>
      <c r="E49" s="45" t="s">
        <v>31</v>
      </c>
      <c r="F49" s="50" t="s">
        <v>379</v>
      </c>
      <c r="G49" s="50"/>
      <c r="H49" s="49" t="s">
        <v>378</v>
      </c>
      <c r="I49" s="47" t="s">
        <v>725</v>
      </c>
      <c r="J49" s="45" t="s">
        <v>187</v>
      </c>
      <c r="K49" s="52" t="s">
        <v>726</v>
      </c>
      <c r="L49" s="56">
        <v>60</v>
      </c>
      <c r="M49" s="57">
        <f>IFERROR(VLOOKUP(H49,'UNIT PRICE LIBRARY'!D:L,9,FALSE()),0)</f>
        <v>398.47499999999997</v>
      </c>
      <c r="N49" s="62">
        <f t="shared" si="1"/>
        <v>23908.499999999996</v>
      </c>
      <c r="O49" s="53" t="s">
        <v>690</v>
      </c>
      <c r="P49" s="52" t="s">
        <v>727</v>
      </c>
    </row>
    <row r="50" spans="2:16" ht="31.5" customHeight="1" x14ac:dyDescent="0.25">
      <c r="B50" s="37"/>
      <c r="C50" s="54" t="s">
        <v>578</v>
      </c>
      <c r="D50" s="55" t="s">
        <v>660</v>
      </c>
      <c r="E50" s="41" t="s">
        <v>31</v>
      </c>
      <c r="F50" s="40" t="s">
        <v>356</v>
      </c>
      <c r="G50" s="40"/>
      <c r="H50" s="39" t="s">
        <v>382</v>
      </c>
      <c r="I50" s="37" t="s">
        <v>728</v>
      </c>
      <c r="J50" s="41" t="s">
        <v>187</v>
      </c>
      <c r="K50" s="46" t="s">
        <v>729</v>
      </c>
      <c r="L50" s="56">
        <v>35</v>
      </c>
      <c r="M50" s="57">
        <f>IFERROR(VLOOKUP(H50,'UNIT PRICE LIBRARY'!D:L,9,FALSE()),0)</f>
        <v>336.375</v>
      </c>
      <c r="N50" s="58">
        <f t="shared" si="1"/>
        <v>11773.125</v>
      </c>
      <c r="O50" s="59" t="s">
        <v>124</v>
      </c>
      <c r="P50" s="46" t="s">
        <v>730</v>
      </c>
    </row>
    <row r="51" spans="2:16" ht="31.5" customHeight="1" x14ac:dyDescent="0.25">
      <c r="B51" s="47"/>
      <c r="C51" s="60" t="s">
        <v>578</v>
      </c>
      <c r="D51" s="61" t="s">
        <v>731</v>
      </c>
      <c r="E51" s="45" t="s">
        <v>34</v>
      </c>
      <c r="F51" s="50" t="s">
        <v>387</v>
      </c>
      <c r="G51" s="50"/>
      <c r="H51" s="49" t="s">
        <v>386</v>
      </c>
      <c r="I51" s="47" t="s">
        <v>732</v>
      </c>
      <c r="J51" s="45" t="s">
        <v>212</v>
      </c>
      <c r="K51" s="52" t="s">
        <v>733</v>
      </c>
      <c r="L51" s="56">
        <v>1</v>
      </c>
      <c r="M51" s="57">
        <f>IFERROR(VLOOKUP(H51,'UNIT PRICE LIBRARY'!D:L,9,FALSE()),0)</f>
        <v>98324.999999999985</v>
      </c>
      <c r="N51" s="62">
        <f t="shared" si="1"/>
        <v>98324.999999999985</v>
      </c>
      <c r="O51" s="53" t="s">
        <v>690</v>
      </c>
      <c r="P51" s="52" t="s">
        <v>734</v>
      </c>
    </row>
    <row r="52" spans="2:16" ht="31.5" customHeight="1" x14ac:dyDescent="0.25">
      <c r="B52" s="37"/>
      <c r="C52" s="54" t="s">
        <v>578</v>
      </c>
      <c r="D52" s="55" t="s">
        <v>735</v>
      </c>
      <c r="E52" s="41" t="s">
        <v>34</v>
      </c>
      <c r="F52" s="40" t="s">
        <v>391</v>
      </c>
      <c r="G52" s="40"/>
      <c r="H52" s="39" t="s">
        <v>390</v>
      </c>
      <c r="I52" s="37" t="s">
        <v>736</v>
      </c>
      <c r="J52" s="41" t="s">
        <v>187</v>
      </c>
      <c r="K52" s="46" t="s">
        <v>737</v>
      </c>
      <c r="L52" s="56">
        <v>6</v>
      </c>
      <c r="M52" s="57">
        <f>IFERROR(VLOOKUP(H52,'UNIT PRICE LIBRARY'!D:L,9,FALSE()),0)</f>
        <v>4657.5</v>
      </c>
      <c r="N52" s="58">
        <f t="shared" si="1"/>
        <v>27945</v>
      </c>
      <c r="O52" s="53" t="s">
        <v>690</v>
      </c>
      <c r="P52" s="46" t="s">
        <v>738</v>
      </c>
    </row>
    <row r="53" spans="2:16" ht="31.5" customHeight="1" x14ac:dyDescent="0.25">
      <c r="B53" s="47"/>
      <c r="C53" s="60" t="s">
        <v>578</v>
      </c>
      <c r="D53" s="61" t="s">
        <v>739</v>
      </c>
      <c r="E53" s="45" t="s">
        <v>34</v>
      </c>
      <c r="F53" s="50" t="s">
        <v>395</v>
      </c>
      <c r="G53" s="50"/>
      <c r="H53" s="49" t="s">
        <v>394</v>
      </c>
      <c r="I53" s="47" t="s">
        <v>740</v>
      </c>
      <c r="J53" s="45" t="s">
        <v>187</v>
      </c>
      <c r="K53" s="52" t="s">
        <v>741</v>
      </c>
      <c r="L53" s="56">
        <v>2</v>
      </c>
      <c r="M53" s="57">
        <f>IFERROR(VLOOKUP(H53,'UNIT PRICE LIBRARY'!D:L,9,FALSE()),0)</f>
        <v>28979.999999999996</v>
      </c>
      <c r="N53" s="62">
        <f t="shared" si="1"/>
        <v>57959.999999999993</v>
      </c>
      <c r="O53" s="53" t="s">
        <v>690</v>
      </c>
      <c r="P53" s="52" t="s">
        <v>742</v>
      </c>
    </row>
    <row r="54" spans="2:16" ht="31.5" customHeight="1" x14ac:dyDescent="0.25">
      <c r="B54" s="37"/>
      <c r="C54" s="54" t="s">
        <v>578</v>
      </c>
      <c r="D54" s="55" t="s">
        <v>687</v>
      </c>
      <c r="E54" s="41" t="s">
        <v>34</v>
      </c>
      <c r="F54" s="40" t="s">
        <v>399</v>
      </c>
      <c r="G54" s="40"/>
      <c r="H54" s="39" t="s">
        <v>398</v>
      </c>
      <c r="I54" s="37" t="s">
        <v>743</v>
      </c>
      <c r="J54" s="41" t="s">
        <v>212</v>
      </c>
      <c r="K54" s="46" t="s">
        <v>744</v>
      </c>
      <c r="L54" s="56">
        <v>2</v>
      </c>
      <c r="M54" s="57">
        <f>IFERROR(VLOOKUP(H54,'UNIT PRICE LIBRARY'!D:L,9,FALSE()),0)</f>
        <v>22770</v>
      </c>
      <c r="N54" s="58">
        <f t="shared" si="1"/>
        <v>45540</v>
      </c>
      <c r="O54" s="53" t="s">
        <v>690</v>
      </c>
      <c r="P54" s="46" t="s">
        <v>745</v>
      </c>
    </row>
    <row r="55" spans="2:16" ht="31.5" customHeight="1" x14ac:dyDescent="0.25">
      <c r="B55" s="47"/>
      <c r="C55" s="60" t="s">
        <v>578</v>
      </c>
      <c r="D55" s="61" t="s">
        <v>692</v>
      </c>
      <c r="E55" s="45" t="s">
        <v>34</v>
      </c>
      <c r="F55" s="50" t="s">
        <v>399</v>
      </c>
      <c r="G55" s="50"/>
      <c r="H55" s="49" t="s">
        <v>402</v>
      </c>
      <c r="I55" s="47" t="s">
        <v>746</v>
      </c>
      <c r="J55" s="45" t="s">
        <v>212</v>
      </c>
      <c r="K55" s="52" t="s">
        <v>747</v>
      </c>
      <c r="L55" s="56">
        <v>3</v>
      </c>
      <c r="M55" s="57">
        <f>IFERROR(VLOOKUP(H55,'UNIT PRICE LIBRARY'!D:L,9,FALSE()),0)</f>
        <v>18630</v>
      </c>
      <c r="N55" s="62">
        <f t="shared" si="1"/>
        <v>55890</v>
      </c>
      <c r="O55" s="53" t="s">
        <v>690</v>
      </c>
      <c r="P55" s="52" t="s">
        <v>748</v>
      </c>
    </row>
    <row r="56" spans="2:16" ht="19.5" customHeight="1" x14ac:dyDescent="0.25">
      <c r="B56" s="270" t="s">
        <v>749</v>
      </c>
      <c r="C56" s="270"/>
      <c r="D56" s="270"/>
      <c r="E56" s="270"/>
      <c r="F56" s="270"/>
      <c r="G56" s="270"/>
      <c r="H56" s="270"/>
      <c r="I56" s="270"/>
      <c r="J56" s="270"/>
      <c r="K56" s="270"/>
      <c r="L56" s="270"/>
      <c r="M56" s="270"/>
      <c r="N56" s="270"/>
      <c r="O56" s="270"/>
    </row>
    <row r="57" spans="2:16" ht="31.5" customHeight="1" x14ac:dyDescent="0.25">
      <c r="B57" s="47"/>
      <c r="C57" s="60" t="s">
        <v>750</v>
      </c>
      <c r="D57" s="61" t="s">
        <v>579</v>
      </c>
      <c r="E57" s="45" t="s">
        <v>422</v>
      </c>
      <c r="F57" s="50" t="s">
        <v>424</v>
      </c>
      <c r="G57" s="50"/>
      <c r="H57" s="49" t="s">
        <v>423</v>
      </c>
      <c r="I57" s="47" t="s">
        <v>751</v>
      </c>
      <c r="J57" s="45" t="s">
        <v>178</v>
      </c>
      <c r="K57" s="52" t="s">
        <v>752</v>
      </c>
      <c r="L57" s="56">
        <v>27452</v>
      </c>
      <c r="M57" s="57">
        <f>IFERROR(VLOOKUP(H57,'UNIT PRICE LIBRARY'!D:L,9,FALSE()),0)</f>
        <v>8.7974999999999994</v>
      </c>
      <c r="N57" s="62">
        <f t="shared" ref="N57:N82" si="2">IF(O57="No",0,L57*M57)</f>
        <v>241508.96999999997</v>
      </c>
      <c r="O57" s="59" t="s">
        <v>124</v>
      </c>
      <c r="P57" s="52" t="s">
        <v>753</v>
      </c>
    </row>
    <row r="58" spans="2:16" ht="31.5" customHeight="1" x14ac:dyDescent="0.25">
      <c r="B58" s="37"/>
      <c r="C58" s="54" t="s">
        <v>750</v>
      </c>
      <c r="D58" s="55" t="s">
        <v>579</v>
      </c>
      <c r="E58" s="41" t="s">
        <v>431</v>
      </c>
      <c r="F58" s="40" t="s">
        <v>433</v>
      </c>
      <c r="G58" s="40"/>
      <c r="H58" s="39" t="s">
        <v>432</v>
      </c>
      <c r="I58" s="37" t="s">
        <v>754</v>
      </c>
      <c r="J58" s="41" t="s">
        <v>187</v>
      </c>
      <c r="K58" s="46" t="s">
        <v>755</v>
      </c>
      <c r="L58" s="56">
        <v>42</v>
      </c>
      <c r="M58" s="57">
        <f>IFERROR(VLOOKUP(H58,'UNIT PRICE LIBRARY'!D:L,9,FALSE()),0)</f>
        <v>15007.499999999998</v>
      </c>
      <c r="N58" s="58">
        <f t="shared" si="2"/>
        <v>630314.99999999988</v>
      </c>
      <c r="O58" s="59" t="s">
        <v>124</v>
      </c>
      <c r="P58" s="46" t="s">
        <v>756</v>
      </c>
    </row>
    <row r="59" spans="2:16" ht="31.5" customHeight="1" x14ac:dyDescent="0.25">
      <c r="B59" s="47"/>
      <c r="C59" s="60" t="s">
        <v>750</v>
      </c>
      <c r="D59" s="61" t="s">
        <v>706</v>
      </c>
      <c r="E59" s="45" t="s">
        <v>431</v>
      </c>
      <c r="F59" s="50" t="s">
        <v>433</v>
      </c>
      <c r="G59" s="50"/>
      <c r="H59" s="49" t="s">
        <v>436</v>
      </c>
      <c r="I59" s="47" t="s">
        <v>757</v>
      </c>
      <c r="J59" s="45" t="s">
        <v>187</v>
      </c>
      <c r="K59" s="52" t="s">
        <v>729</v>
      </c>
      <c r="L59" s="56">
        <v>35</v>
      </c>
      <c r="M59" s="57">
        <f>IFERROR(VLOOKUP(H59,'UNIT PRICE LIBRARY'!D:L,9,FALSE()),0)</f>
        <v>2277</v>
      </c>
      <c r="N59" s="62">
        <f t="shared" si="2"/>
        <v>79695</v>
      </c>
      <c r="O59" s="59" t="s">
        <v>124</v>
      </c>
      <c r="P59" s="52" t="s">
        <v>758</v>
      </c>
    </row>
    <row r="60" spans="2:16" ht="31.5" customHeight="1" x14ac:dyDescent="0.25">
      <c r="B60" s="37"/>
      <c r="C60" s="54" t="s">
        <v>750</v>
      </c>
      <c r="D60" s="55" t="s">
        <v>706</v>
      </c>
      <c r="E60" s="41" t="s">
        <v>431</v>
      </c>
      <c r="F60" s="40" t="s">
        <v>433</v>
      </c>
      <c r="G60" s="40"/>
      <c r="H60" s="39" t="s">
        <v>439</v>
      </c>
      <c r="I60" s="37" t="s">
        <v>759</v>
      </c>
      <c r="J60" s="41" t="s">
        <v>187</v>
      </c>
      <c r="K60" s="46" t="s">
        <v>729</v>
      </c>
      <c r="L60" s="56">
        <v>35</v>
      </c>
      <c r="M60" s="57">
        <f>IFERROR(VLOOKUP(H60,'UNIT PRICE LIBRARY'!D:L,9,FALSE()),0)</f>
        <v>1500.7499999999998</v>
      </c>
      <c r="N60" s="58">
        <f t="shared" si="2"/>
        <v>52526.249999999993</v>
      </c>
      <c r="O60" s="59" t="s">
        <v>124</v>
      </c>
      <c r="P60" s="46" t="s">
        <v>760</v>
      </c>
    </row>
    <row r="61" spans="2:16" ht="31.5" customHeight="1" x14ac:dyDescent="0.25">
      <c r="B61" s="47"/>
      <c r="C61" s="60" t="s">
        <v>750</v>
      </c>
      <c r="D61" s="61" t="s">
        <v>761</v>
      </c>
      <c r="E61" s="45" t="s">
        <v>431</v>
      </c>
      <c r="F61" s="50" t="s">
        <v>443</v>
      </c>
      <c r="G61" s="50"/>
      <c r="H61" s="49" t="s">
        <v>442</v>
      </c>
      <c r="I61" s="47" t="s">
        <v>762</v>
      </c>
      <c r="J61" s="45" t="s">
        <v>187</v>
      </c>
      <c r="K61" s="52" t="s">
        <v>763</v>
      </c>
      <c r="L61" s="56">
        <v>6</v>
      </c>
      <c r="M61" s="57">
        <f>IFERROR(VLOOKUP(H61,'UNIT PRICE LIBRARY'!D:L,9,FALSE()),0)</f>
        <v>8797.5</v>
      </c>
      <c r="N61" s="62">
        <f t="shared" si="2"/>
        <v>52785</v>
      </c>
      <c r="O61" s="59" t="s">
        <v>124</v>
      </c>
      <c r="P61" s="52" t="s">
        <v>764</v>
      </c>
    </row>
    <row r="62" spans="2:16" ht="31.5" customHeight="1" x14ac:dyDescent="0.25">
      <c r="B62" s="37"/>
      <c r="C62" s="54" t="s">
        <v>750</v>
      </c>
      <c r="D62" s="55" t="s">
        <v>765</v>
      </c>
      <c r="E62" s="41" t="s">
        <v>431</v>
      </c>
      <c r="F62" s="40" t="s">
        <v>433</v>
      </c>
      <c r="G62" s="40"/>
      <c r="H62" s="39" t="s">
        <v>446</v>
      </c>
      <c r="I62" s="37" t="s">
        <v>766</v>
      </c>
      <c r="J62" s="41" t="s">
        <v>212</v>
      </c>
      <c r="K62" s="46" t="s">
        <v>733</v>
      </c>
      <c r="L62" s="56">
        <v>1</v>
      </c>
      <c r="M62" s="57">
        <f>IFERROR(VLOOKUP(H62,'UNIT PRICE LIBRARY'!D:L,9,FALSE()),0)</f>
        <v>18630</v>
      </c>
      <c r="N62" s="58">
        <f t="shared" si="2"/>
        <v>18630</v>
      </c>
      <c r="O62" s="59" t="s">
        <v>124</v>
      </c>
      <c r="P62" s="46" t="s">
        <v>767</v>
      </c>
    </row>
    <row r="63" spans="2:16" ht="31.5" customHeight="1" x14ac:dyDescent="0.25">
      <c r="B63" s="47"/>
      <c r="C63" s="60" t="s">
        <v>750</v>
      </c>
      <c r="D63" s="61" t="s">
        <v>617</v>
      </c>
      <c r="E63" s="45" t="s">
        <v>450</v>
      </c>
      <c r="F63" s="50" t="s">
        <v>452</v>
      </c>
      <c r="G63" s="50"/>
      <c r="H63" s="49" t="s">
        <v>451</v>
      </c>
      <c r="I63" s="47" t="s">
        <v>768</v>
      </c>
      <c r="J63" s="45" t="s">
        <v>187</v>
      </c>
      <c r="K63" s="52" t="s">
        <v>719</v>
      </c>
      <c r="L63" s="56">
        <v>35</v>
      </c>
      <c r="M63" s="57">
        <f>IFERROR(VLOOKUP(H63,'UNIT PRICE LIBRARY'!D:L,9,FALSE()),0)</f>
        <v>4968</v>
      </c>
      <c r="N63" s="62">
        <f t="shared" si="2"/>
        <v>173880</v>
      </c>
      <c r="O63" s="59" t="s">
        <v>124</v>
      </c>
      <c r="P63" s="52" t="s">
        <v>769</v>
      </c>
    </row>
    <row r="64" spans="2:16" ht="31.5" customHeight="1" x14ac:dyDescent="0.25">
      <c r="B64" s="37"/>
      <c r="C64" s="54" t="s">
        <v>750</v>
      </c>
      <c r="D64" s="55" t="s">
        <v>668</v>
      </c>
      <c r="E64" s="41" t="s">
        <v>450</v>
      </c>
      <c r="F64" s="40" t="s">
        <v>452</v>
      </c>
      <c r="G64" s="40"/>
      <c r="H64" s="39" t="s">
        <v>455</v>
      </c>
      <c r="I64" s="37" t="s">
        <v>770</v>
      </c>
      <c r="J64" s="41" t="s">
        <v>178</v>
      </c>
      <c r="K64" s="46" t="s">
        <v>771</v>
      </c>
      <c r="L64" s="56">
        <v>8000</v>
      </c>
      <c r="M64" s="57">
        <f>IFERROR(VLOOKUP(H64,'UNIT PRICE LIBRARY'!D:L,9,FALSE()),0)</f>
        <v>19.147499999999997</v>
      </c>
      <c r="N64" s="58">
        <f t="shared" si="2"/>
        <v>153179.99999999997</v>
      </c>
      <c r="O64" s="59" t="s">
        <v>124</v>
      </c>
      <c r="P64" s="46" t="s">
        <v>772</v>
      </c>
    </row>
    <row r="65" spans="2:16" ht="31.5" customHeight="1" x14ac:dyDescent="0.25">
      <c r="B65" s="47"/>
      <c r="C65" s="60" t="s">
        <v>750</v>
      </c>
      <c r="D65" s="61" t="s">
        <v>702</v>
      </c>
      <c r="E65" s="45" t="s">
        <v>450</v>
      </c>
      <c r="F65" s="50" t="s">
        <v>459</v>
      </c>
      <c r="G65" s="50"/>
      <c r="H65" s="49" t="s">
        <v>458</v>
      </c>
      <c r="I65" s="47" t="s">
        <v>773</v>
      </c>
      <c r="J65" s="45" t="s">
        <v>187</v>
      </c>
      <c r="K65" s="52" t="s">
        <v>774</v>
      </c>
      <c r="L65" s="56">
        <v>46</v>
      </c>
      <c r="M65" s="57">
        <f>IFERROR(VLOOKUP(H65,'UNIT PRICE LIBRARY'!D:L,9,FALSE()),0)</f>
        <v>501.97499999999997</v>
      </c>
      <c r="N65" s="62">
        <f t="shared" si="2"/>
        <v>23090.85</v>
      </c>
      <c r="O65" s="59" t="s">
        <v>124</v>
      </c>
      <c r="P65" s="52" t="s">
        <v>775</v>
      </c>
    </row>
    <row r="66" spans="2:16" ht="31.5" customHeight="1" x14ac:dyDescent="0.25">
      <c r="B66" s="37"/>
      <c r="C66" s="54" t="s">
        <v>750</v>
      </c>
      <c r="D66" s="55" t="s">
        <v>579</v>
      </c>
      <c r="E66" s="41" t="s">
        <v>450</v>
      </c>
      <c r="F66" s="40" t="s">
        <v>463</v>
      </c>
      <c r="G66" s="40"/>
      <c r="H66" s="39" t="s">
        <v>462</v>
      </c>
      <c r="I66" s="37" t="s">
        <v>776</v>
      </c>
      <c r="J66" s="41" t="s">
        <v>212</v>
      </c>
      <c r="K66" s="46" t="s">
        <v>777</v>
      </c>
      <c r="L66" s="56">
        <v>1</v>
      </c>
      <c r="M66" s="57">
        <f>IFERROR(VLOOKUP(H66,'UNIT PRICE LIBRARY'!D:L,9,FALSE()),0)</f>
        <v>67275</v>
      </c>
      <c r="N66" s="58">
        <f t="shared" si="2"/>
        <v>67275</v>
      </c>
      <c r="O66" s="59" t="s">
        <v>124</v>
      </c>
      <c r="P66" s="46" t="s">
        <v>778</v>
      </c>
    </row>
    <row r="67" spans="2:16" ht="31.5" customHeight="1" x14ac:dyDescent="0.25">
      <c r="B67" s="47"/>
      <c r="C67" s="60" t="s">
        <v>750</v>
      </c>
      <c r="D67" s="61" t="s">
        <v>765</v>
      </c>
      <c r="E67" s="45" t="s">
        <v>450</v>
      </c>
      <c r="F67" s="50" t="s">
        <v>467</v>
      </c>
      <c r="G67" s="50"/>
      <c r="H67" s="49" t="s">
        <v>466</v>
      </c>
      <c r="I67" s="47" t="s">
        <v>779</v>
      </c>
      <c r="J67" s="45" t="s">
        <v>212</v>
      </c>
      <c r="K67" s="52" t="s">
        <v>733</v>
      </c>
      <c r="L67" s="56">
        <v>1</v>
      </c>
      <c r="M67" s="57">
        <f>IFERROR(VLOOKUP(H67,'UNIT PRICE LIBRARY'!D:L,9,FALSE()),0)</f>
        <v>46575</v>
      </c>
      <c r="N67" s="62">
        <f t="shared" si="2"/>
        <v>46575</v>
      </c>
      <c r="O67" s="59" t="s">
        <v>124</v>
      </c>
      <c r="P67" s="52" t="s">
        <v>780</v>
      </c>
    </row>
    <row r="68" spans="2:16" ht="31.5" customHeight="1" x14ac:dyDescent="0.25">
      <c r="B68" s="37"/>
      <c r="C68" s="54" t="s">
        <v>750</v>
      </c>
      <c r="D68" s="55" t="s">
        <v>579</v>
      </c>
      <c r="E68" s="41" t="s">
        <v>471</v>
      </c>
      <c r="F68" s="40" t="s">
        <v>473</v>
      </c>
      <c r="G68" s="40"/>
      <c r="H68" s="39" t="s">
        <v>472</v>
      </c>
      <c r="I68" s="37" t="s">
        <v>781</v>
      </c>
      <c r="J68" s="41" t="s">
        <v>212</v>
      </c>
      <c r="K68" s="46" t="s">
        <v>777</v>
      </c>
      <c r="L68" s="56">
        <v>1</v>
      </c>
      <c r="M68" s="57">
        <f>IFERROR(VLOOKUP(H68,'UNIT PRICE LIBRARY'!D:L,9,FALSE()),0)</f>
        <v>191474.99999999997</v>
      </c>
      <c r="N68" s="58">
        <f t="shared" si="2"/>
        <v>191474.99999999997</v>
      </c>
      <c r="O68" s="59" t="s">
        <v>124</v>
      </c>
      <c r="P68" s="46" t="s">
        <v>782</v>
      </c>
    </row>
    <row r="69" spans="2:16" ht="31.5" customHeight="1" x14ac:dyDescent="0.25">
      <c r="B69" s="47"/>
      <c r="C69" s="60" t="s">
        <v>750</v>
      </c>
      <c r="D69" s="61" t="s">
        <v>617</v>
      </c>
      <c r="E69" s="45" t="s">
        <v>471</v>
      </c>
      <c r="F69" s="50" t="s">
        <v>477</v>
      </c>
      <c r="G69" s="50"/>
      <c r="H69" s="49" t="s">
        <v>476</v>
      </c>
      <c r="I69" s="47" t="s">
        <v>478</v>
      </c>
      <c r="J69" s="45" t="s">
        <v>187</v>
      </c>
      <c r="K69" s="52" t="s">
        <v>719</v>
      </c>
      <c r="L69" s="56">
        <v>35</v>
      </c>
      <c r="M69" s="57">
        <f>IFERROR(VLOOKUP(H69,'UNIT PRICE LIBRARY'!D:L,9,FALSE()),0)</f>
        <v>3311.9999999999995</v>
      </c>
      <c r="N69" s="62">
        <f t="shared" si="2"/>
        <v>115919.99999999999</v>
      </c>
      <c r="O69" s="59" t="s">
        <v>124</v>
      </c>
      <c r="P69" s="52" t="s">
        <v>783</v>
      </c>
    </row>
    <row r="70" spans="2:16" ht="31.5" customHeight="1" x14ac:dyDescent="0.25">
      <c r="B70" s="37"/>
      <c r="C70" s="54" t="s">
        <v>750</v>
      </c>
      <c r="D70" s="55" t="s">
        <v>660</v>
      </c>
      <c r="E70" s="41" t="s">
        <v>471</v>
      </c>
      <c r="F70" s="40" t="s">
        <v>477</v>
      </c>
      <c r="G70" s="40"/>
      <c r="H70" s="39" t="s">
        <v>480</v>
      </c>
      <c r="I70" s="37" t="s">
        <v>784</v>
      </c>
      <c r="J70" s="41" t="s">
        <v>187</v>
      </c>
      <c r="K70" s="46" t="s">
        <v>755</v>
      </c>
      <c r="L70" s="56">
        <v>42</v>
      </c>
      <c r="M70" s="57">
        <f>IFERROR(VLOOKUP(H70,'UNIT PRICE LIBRARY'!D:L,9,FALSE()),0)</f>
        <v>1914.7499999999998</v>
      </c>
      <c r="N70" s="58">
        <f t="shared" si="2"/>
        <v>80419.499999999985</v>
      </c>
      <c r="O70" s="59" t="s">
        <v>124</v>
      </c>
      <c r="P70" s="46" t="s">
        <v>785</v>
      </c>
    </row>
    <row r="71" spans="2:16" ht="31.5" customHeight="1" x14ac:dyDescent="0.25">
      <c r="B71" s="47"/>
      <c r="C71" s="60" t="s">
        <v>750</v>
      </c>
      <c r="D71" s="61" t="s">
        <v>654</v>
      </c>
      <c r="E71" s="45" t="s">
        <v>471</v>
      </c>
      <c r="F71" s="50" t="s">
        <v>484</v>
      </c>
      <c r="G71" s="50"/>
      <c r="H71" s="49" t="s">
        <v>483</v>
      </c>
      <c r="I71" s="47" t="s">
        <v>786</v>
      </c>
      <c r="J71" s="45" t="s">
        <v>187</v>
      </c>
      <c r="K71" s="52" t="s">
        <v>787</v>
      </c>
      <c r="L71" s="56">
        <v>110</v>
      </c>
      <c r="M71" s="57">
        <f>IFERROR(VLOOKUP(H71,'UNIT PRICE LIBRARY'!D:L,9,FALSE()),0)</f>
        <v>398.47499999999997</v>
      </c>
      <c r="N71" s="62">
        <f t="shared" si="2"/>
        <v>43832.249999999993</v>
      </c>
      <c r="O71" s="59" t="s">
        <v>124</v>
      </c>
      <c r="P71" s="52" t="s">
        <v>788</v>
      </c>
    </row>
    <row r="72" spans="2:16" ht="31.5" customHeight="1" x14ac:dyDescent="0.25">
      <c r="B72" s="37"/>
      <c r="C72" s="54" t="s">
        <v>750</v>
      </c>
      <c r="D72" s="55" t="s">
        <v>617</v>
      </c>
      <c r="E72" s="41" t="s">
        <v>471</v>
      </c>
      <c r="F72" s="40" t="s">
        <v>484</v>
      </c>
      <c r="G72" s="40"/>
      <c r="H72" s="39" t="s">
        <v>487</v>
      </c>
      <c r="I72" s="37" t="s">
        <v>789</v>
      </c>
      <c r="J72" s="41" t="s">
        <v>187</v>
      </c>
      <c r="K72" s="46" t="s">
        <v>719</v>
      </c>
      <c r="L72" s="56">
        <v>35</v>
      </c>
      <c r="M72" s="57">
        <f>IFERROR(VLOOKUP(H72,'UNIT PRICE LIBRARY'!D:L,9,FALSE()),0)</f>
        <v>294.97499999999997</v>
      </c>
      <c r="N72" s="58">
        <f t="shared" si="2"/>
        <v>10324.124999999998</v>
      </c>
      <c r="O72" s="59" t="s">
        <v>124</v>
      </c>
      <c r="P72" s="46" t="s">
        <v>790</v>
      </c>
    </row>
    <row r="73" spans="2:16" ht="31.5" customHeight="1" x14ac:dyDescent="0.25">
      <c r="B73" s="47"/>
      <c r="C73" s="60" t="s">
        <v>750</v>
      </c>
      <c r="D73" s="61" t="s">
        <v>791</v>
      </c>
      <c r="E73" s="45" t="s">
        <v>471</v>
      </c>
      <c r="F73" s="50" t="s">
        <v>491</v>
      </c>
      <c r="G73" s="50"/>
      <c r="H73" s="49" t="s">
        <v>490</v>
      </c>
      <c r="I73" s="47" t="s">
        <v>792</v>
      </c>
      <c r="J73" s="45" t="s">
        <v>187</v>
      </c>
      <c r="K73" s="52" t="s">
        <v>793</v>
      </c>
      <c r="L73" s="56">
        <v>55</v>
      </c>
      <c r="M73" s="57">
        <f>IFERROR(VLOOKUP(H73,'UNIT PRICE LIBRARY'!D:L,9,FALSE()),0)</f>
        <v>170.77499999999998</v>
      </c>
      <c r="N73" s="62">
        <f t="shared" si="2"/>
        <v>9392.6249999999982</v>
      </c>
      <c r="O73" s="59" t="s">
        <v>124</v>
      </c>
      <c r="P73" s="52" t="s">
        <v>794</v>
      </c>
    </row>
    <row r="74" spans="2:16" ht="31.5" customHeight="1" x14ac:dyDescent="0.25">
      <c r="B74" s="37"/>
      <c r="C74" s="54" t="s">
        <v>750</v>
      </c>
      <c r="D74" s="55" t="s">
        <v>795</v>
      </c>
      <c r="E74" s="41" t="s">
        <v>471</v>
      </c>
      <c r="F74" s="40" t="s">
        <v>495</v>
      </c>
      <c r="G74" s="40"/>
      <c r="H74" s="39" t="s">
        <v>494</v>
      </c>
      <c r="I74" s="37" t="s">
        <v>796</v>
      </c>
      <c r="J74" s="41" t="s">
        <v>497</v>
      </c>
      <c r="K74" s="46" t="s">
        <v>797</v>
      </c>
      <c r="L74" s="56">
        <v>150</v>
      </c>
      <c r="M74" s="57">
        <f>IFERROR(VLOOKUP(H74,'UNIT PRICE LIBRARY'!D:L,9,FALSE()),0)</f>
        <v>879.74999999999989</v>
      </c>
      <c r="N74" s="58">
        <f t="shared" si="2"/>
        <v>131962.49999999997</v>
      </c>
      <c r="O74" s="59" t="s">
        <v>124</v>
      </c>
      <c r="P74" s="46" t="s">
        <v>798</v>
      </c>
    </row>
    <row r="75" spans="2:16" ht="31.5" customHeight="1" x14ac:dyDescent="0.25">
      <c r="B75" s="47"/>
      <c r="C75" s="60" t="s">
        <v>750</v>
      </c>
      <c r="D75" s="61" t="s">
        <v>799</v>
      </c>
      <c r="E75" s="45" t="s">
        <v>471</v>
      </c>
      <c r="F75" s="50" t="s">
        <v>500</v>
      </c>
      <c r="G75" s="50"/>
      <c r="H75" s="49" t="s">
        <v>499</v>
      </c>
      <c r="I75" s="47" t="s">
        <v>800</v>
      </c>
      <c r="J75" s="45" t="s">
        <v>187</v>
      </c>
      <c r="K75" s="52" t="s">
        <v>801</v>
      </c>
      <c r="L75" s="56">
        <v>160</v>
      </c>
      <c r="M75" s="57">
        <f>IFERROR(VLOOKUP(H75,'UNIT PRICE LIBRARY'!D:L,9,FALSE()),0)</f>
        <v>39.33</v>
      </c>
      <c r="N75" s="62">
        <f t="shared" si="2"/>
        <v>6292.7999999999993</v>
      </c>
      <c r="O75" s="59" t="s">
        <v>124</v>
      </c>
      <c r="P75" s="52" t="s">
        <v>802</v>
      </c>
    </row>
    <row r="76" spans="2:16" ht="31.5" customHeight="1" x14ac:dyDescent="0.25">
      <c r="B76" s="37"/>
      <c r="C76" s="54" t="s">
        <v>750</v>
      </c>
      <c r="D76" s="55" t="s">
        <v>579</v>
      </c>
      <c r="E76" s="41" t="s">
        <v>525</v>
      </c>
      <c r="F76" s="40" t="s">
        <v>527</v>
      </c>
      <c r="G76" s="40"/>
      <c r="H76" s="39" t="s">
        <v>526</v>
      </c>
      <c r="I76" s="37" t="s">
        <v>528</v>
      </c>
      <c r="J76" s="41" t="s">
        <v>178</v>
      </c>
      <c r="K76" s="46" t="s">
        <v>584</v>
      </c>
      <c r="L76" s="56">
        <v>27452</v>
      </c>
      <c r="M76" s="57">
        <f>IFERROR(VLOOKUP(H76,'UNIT PRICE LIBRARY'!D:L,9,FALSE()),0)</f>
        <v>5.4337499999999999</v>
      </c>
      <c r="N76" s="58">
        <f t="shared" si="2"/>
        <v>149167.30499999999</v>
      </c>
      <c r="O76" s="59" t="s">
        <v>124</v>
      </c>
      <c r="P76" s="46" t="s">
        <v>803</v>
      </c>
    </row>
    <row r="77" spans="2:16" ht="31.5" customHeight="1" x14ac:dyDescent="0.25">
      <c r="B77" s="47"/>
      <c r="C77" s="60" t="s">
        <v>750</v>
      </c>
      <c r="D77" s="61" t="s">
        <v>804</v>
      </c>
      <c r="E77" s="45" t="s">
        <v>525</v>
      </c>
      <c r="F77" s="50" t="s">
        <v>527</v>
      </c>
      <c r="G77" s="50"/>
      <c r="H77" s="49" t="s">
        <v>530</v>
      </c>
      <c r="I77" s="47" t="s">
        <v>805</v>
      </c>
      <c r="J77" s="45" t="s">
        <v>187</v>
      </c>
      <c r="K77" s="52" t="s">
        <v>806</v>
      </c>
      <c r="L77" s="56">
        <v>77</v>
      </c>
      <c r="M77" s="57">
        <f>IFERROR(VLOOKUP(H77,'UNIT PRICE LIBRARY'!D:L,9,FALSE()),0)</f>
        <v>294.97499999999997</v>
      </c>
      <c r="N77" s="62">
        <f t="shared" si="2"/>
        <v>22713.074999999997</v>
      </c>
      <c r="O77" s="59" t="s">
        <v>124</v>
      </c>
      <c r="P77" s="52" t="s">
        <v>807</v>
      </c>
    </row>
    <row r="78" spans="2:16" ht="31.5" customHeight="1" x14ac:dyDescent="0.25">
      <c r="B78" s="37"/>
      <c r="C78" s="54" t="s">
        <v>750</v>
      </c>
      <c r="D78" s="55" t="s">
        <v>579</v>
      </c>
      <c r="E78" s="41" t="s">
        <v>504</v>
      </c>
      <c r="F78" s="40" t="s">
        <v>506</v>
      </c>
      <c r="G78" s="40"/>
      <c r="H78" s="39" t="s">
        <v>505</v>
      </c>
      <c r="I78" s="37" t="s">
        <v>808</v>
      </c>
      <c r="J78" s="41" t="s">
        <v>187</v>
      </c>
      <c r="K78" s="46" t="s">
        <v>809</v>
      </c>
      <c r="L78" s="56">
        <v>50</v>
      </c>
      <c r="M78" s="57">
        <f>IFERROR(VLOOKUP(H78,'UNIT PRICE LIBRARY'!D:L,9,FALSE()),0)</f>
        <v>879.74999999999989</v>
      </c>
      <c r="N78" s="58">
        <f t="shared" si="2"/>
        <v>43987.499999999993</v>
      </c>
      <c r="O78" s="59" t="s">
        <v>124</v>
      </c>
      <c r="P78" s="46" t="s">
        <v>810</v>
      </c>
    </row>
    <row r="79" spans="2:16" ht="31.5" customHeight="1" x14ac:dyDescent="0.25">
      <c r="B79" s="47"/>
      <c r="C79" s="60" t="s">
        <v>750</v>
      </c>
      <c r="D79" s="61" t="s">
        <v>668</v>
      </c>
      <c r="E79" s="45" t="s">
        <v>504</v>
      </c>
      <c r="F79" s="50" t="s">
        <v>506</v>
      </c>
      <c r="G79" s="50"/>
      <c r="H79" s="49" t="s">
        <v>509</v>
      </c>
      <c r="I79" s="47" t="s">
        <v>811</v>
      </c>
      <c r="J79" s="45" t="s">
        <v>187</v>
      </c>
      <c r="K79" s="52" t="s">
        <v>812</v>
      </c>
      <c r="L79" s="56">
        <v>11</v>
      </c>
      <c r="M79" s="57">
        <f>IFERROR(VLOOKUP(H79,'UNIT PRICE LIBRARY'!D:L,9,FALSE()),0)</f>
        <v>1914.7499999999998</v>
      </c>
      <c r="N79" s="62">
        <f t="shared" si="2"/>
        <v>21062.249999999996</v>
      </c>
      <c r="O79" s="53" t="s">
        <v>690</v>
      </c>
      <c r="P79" s="52" t="s">
        <v>813</v>
      </c>
    </row>
    <row r="80" spans="2:16" ht="31.5" customHeight="1" x14ac:dyDescent="0.25">
      <c r="B80" s="37"/>
      <c r="C80" s="54" t="s">
        <v>750</v>
      </c>
      <c r="D80" s="55" t="s">
        <v>579</v>
      </c>
      <c r="E80" s="41" t="s">
        <v>504</v>
      </c>
      <c r="F80" s="40" t="s">
        <v>513</v>
      </c>
      <c r="G80" s="40"/>
      <c r="H80" s="39" t="s">
        <v>512</v>
      </c>
      <c r="I80" s="37" t="s">
        <v>514</v>
      </c>
      <c r="J80" s="41" t="s">
        <v>212</v>
      </c>
      <c r="K80" s="46" t="s">
        <v>814</v>
      </c>
      <c r="L80" s="56">
        <v>1</v>
      </c>
      <c r="M80" s="57">
        <f>IFERROR(VLOOKUP(H80,'UNIT PRICE LIBRARY'!D:L,9,FALSE()),0)</f>
        <v>87975</v>
      </c>
      <c r="N80" s="58">
        <f t="shared" si="2"/>
        <v>87975</v>
      </c>
      <c r="O80" s="59" t="s">
        <v>124</v>
      </c>
      <c r="P80" s="46" t="s">
        <v>815</v>
      </c>
    </row>
    <row r="81" spans="2:16" ht="31.5" customHeight="1" x14ac:dyDescent="0.25">
      <c r="B81" s="47"/>
      <c r="C81" s="60" t="s">
        <v>750</v>
      </c>
      <c r="D81" s="61" t="s">
        <v>816</v>
      </c>
      <c r="E81" s="45" t="s">
        <v>504</v>
      </c>
      <c r="F81" s="50" t="s">
        <v>517</v>
      </c>
      <c r="G81" s="50"/>
      <c r="H81" s="49" t="s">
        <v>516</v>
      </c>
      <c r="I81" s="47" t="s">
        <v>817</v>
      </c>
      <c r="J81" s="45" t="s">
        <v>187</v>
      </c>
      <c r="K81" s="52" t="s">
        <v>818</v>
      </c>
      <c r="L81" s="56">
        <v>8</v>
      </c>
      <c r="M81" s="57">
        <f>IFERROR(VLOOKUP(H81,'UNIT PRICE LIBRARY'!D:L,9,FALSE()),0)</f>
        <v>2277</v>
      </c>
      <c r="N81" s="62">
        <f t="shared" si="2"/>
        <v>18216</v>
      </c>
      <c r="O81" s="59" t="s">
        <v>124</v>
      </c>
      <c r="P81" s="52" t="s">
        <v>819</v>
      </c>
    </row>
    <row r="82" spans="2:16" ht="31.5" customHeight="1" x14ac:dyDescent="0.25">
      <c r="B82" s="37"/>
      <c r="C82" s="54" t="s">
        <v>750</v>
      </c>
      <c r="D82" s="55" t="s">
        <v>820</v>
      </c>
      <c r="E82" s="41" t="s">
        <v>504</v>
      </c>
      <c r="F82" s="40" t="s">
        <v>521</v>
      </c>
      <c r="G82" s="40"/>
      <c r="H82" s="39" t="s">
        <v>520</v>
      </c>
      <c r="I82" s="37" t="s">
        <v>821</v>
      </c>
      <c r="J82" s="41" t="s">
        <v>187</v>
      </c>
      <c r="K82" s="46" t="s">
        <v>822</v>
      </c>
      <c r="L82" s="56">
        <v>18</v>
      </c>
      <c r="M82" s="57">
        <f>IFERROR(VLOOKUP(H82,'UNIT PRICE LIBRARY'!D:L,9,FALSE()),0)</f>
        <v>1707.7499999999998</v>
      </c>
      <c r="N82" s="58">
        <f t="shared" si="2"/>
        <v>30739.499999999996</v>
      </c>
      <c r="O82" s="53" t="s">
        <v>690</v>
      </c>
      <c r="P82" s="46" t="s">
        <v>823</v>
      </c>
    </row>
    <row r="83" spans="2:16" ht="19.5" customHeight="1" x14ac:dyDescent="0.25">
      <c r="B83" s="270" t="s">
        <v>824</v>
      </c>
      <c r="C83" s="270"/>
      <c r="D83" s="270"/>
      <c r="E83" s="270"/>
      <c r="F83" s="270"/>
      <c r="G83" s="270"/>
      <c r="H83" s="270"/>
      <c r="I83" s="270"/>
      <c r="J83" s="270"/>
      <c r="K83" s="270"/>
      <c r="L83" s="270"/>
      <c r="M83" s="270"/>
      <c r="N83" s="270"/>
      <c r="O83" s="270"/>
    </row>
    <row r="84" spans="2:16" ht="31.5" customHeight="1" x14ac:dyDescent="0.25">
      <c r="B84" s="37"/>
      <c r="C84" s="54" t="s">
        <v>825</v>
      </c>
      <c r="D84" s="55" t="s">
        <v>826</v>
      </c>
      <c r="E84" s="41" t="s">
        <v>534</v>
      </c>
      <c r="F84" s="40" t="s">
        <v>536</v>
      </c>
      <c r="G84" s="40"/>
      <c r="H84" s="39" t="s">
        <v>535</v>
      </c>
      <c r="I84" s="37" t="s">
        <v>827</v>
      </c>
      <c r="J84" s="41" t="s">
        <v>538</v>
      </c>
      <c r="K84" s="46" t="s">
        <v>828</v>
      </c>
      <c r="L84" s="56">
        <v>420</v>
      </c>
      <c r="M84" s="57">
        <f>IFERROR(VLOOKUP(H84,'UNIT PRICE LIBRARY'!D:L,9,FALSE()),0)</f>
        <v>67.274999999999991</v>
      </c>
      <c r="N84" s="58">
        <f>IF(O84="No",0,L84*M84)</f>
        <v>28255.499999999996</v>
      </c>
      <c r="O84" s="59" t="s">
        <v>124</v>
      </c>
      <c r="P84" s="46" t="s">
        <v>829</v>
      </c>
    </row>
    <row r="85" spans="2:16" ht="31.5" customHeight="1" x14ac:dyDescent="0.25">
      <c r="B85" s="47"/>
      <c r="C85" s="60" t="s">
        <v>825</v>
      </c>
      <c r="D85" s="61" t="s">
        <v>830</v>
      </c>
      <c r="E85" s="45" t="s">
        <v>534</v>
      </c>
      <c r="F85" s="50" t="s">
        <v>541</v>
      </c>
      <c r="G85" s="50"/>
      <c r="H85" s="49" t="s">
        <v>540</v>
      </c>
      <c r="I85" s="47" t="s">
        <v>831</v>
      </c>
      <c r="J85" s="45" t="s">
        <v>178</v>
      </c>
      <c r="K85" s="52" t="s">
        <v>832</v>
      </c>
      <c r="L85" s="56">
        <v>1800</v>
      </c>
      <c r="M85" s="57">
        <f>IFERROR(VLOOKUP(H85,'UNIT PRICE LIBRARY'!D:L,9,FALSE()),0)</f>
        <v>15.007499999999999</v>
      </c>
      <c r="N85" s="62">
        <f>IF(O85="No",0,L85*M85)</f>
        <v>27013.499999999996</v>
      </c>
      <c r="O85" s="59" t="s">
        <v>124</v>
      </c>
      <c r="P85" s="52" t="s">
        <v>833</v>
      </c>
    </row>
    <row r="86" spans="2:16" ht="31.5" customHeight="1" x14ac:dyDescent="0.25">
      <c r="B86" s="37"/>
      <c r="C86" s="54" t="s">
        <v>825</v>
      </c>
      <c r="D86" s="55" t="s">
        <v>834</v>
      </c>
      <c r="E86" s="41" t="s">
        <v>534</v>
      </c>
      <c r="F86" s="40" t="s">
        <v>545</v>
      </c>
      <c r="G86" s="40"/>
      <c r="H86" s="39" t="s">
        <v>544</v>
      </c>
      <c r="I86" s="37" t="s">
        <v>835</v>
      </c>
      <c r="J86" s="41" t="s">
        <v>228</v>
      </c>
      <c r="K86" s="46" t="s">
        <v>836</v>
      </c>
      <c r="L86" s="56">
        <v>480</v>
      </c>
      <c r="M86" s="57">
        <f>IFERROR(VLOOKUP(H86,'UNIT PRICE LIBRARY'!D:L,9,FALSE()),0)</f>
        <v>56.924999999999997</v>
      </c>
      <c r="N86" s="58">
        <f>IF(O86="No",0,L86*M86)</f>
        <v>27324</v>
      </c>
      <c r="O86" s="53" t="s">
        <v>690</v>
      </c>
      <c r="P86" s="46" t="s">
        <v>837</v>
      </c>
    </row>
    <row r="87" spans="2:16" ht="31.5" customHeight="1" x14ac:dyDescent="0.25">
      <c r="B87" s="47"/>
      <c r="C87" s="60" t="s">
        <v>825</v>
      </c>
      <c r="D87" s="61" t="s">
        <v>838</v>
      </c>
      <c r="E87" s="45" t="s">
        <v>534</v>
      </c>
      <c r="F87" s="50" t="s">
        <v>549</v>
      </c>
      <c r="G87" s="50"/>
      <c r="H87" s="49" t="s">
        <v>548</v>
      </c>
      <c r="I87" s="47" t="s">
        <v>839</v>
      </c>
      <c r="J87" s="45" t="s">
        <v>212</v>
      </c>
      <c r="K87" s="52" t="s">
        <v>840</v>
      </c>
      <c r="L87" s="56">
        <v>1</v>
      </c>
      <c r="M87" s="57">
        <f>IFERROR(VLOOKUP(H87,'UNIT PRICE LIBRARY'!D:L,9,FALSE()),0)</f>
        <v>67275</v>
      </c>
      <c r="N87" s="62">
        <f>IF(O87="No",0,L87*M87)</f>
        <v>67275</v>
      </c>
      <c r="O87" s="53" t="s">
        <v>690</v>
      </c>
      <c r="P87" s="52" t="s">
        <v>841</v>
      </c>
    </row>
    <row r="88" spans="2:16" ht="24" customHeight="1" x14ac:dyDescent="0.25">
      <c r="B88" s="63"/>
      <c r="C88" s="277" t="s">
        <v>842</v>
      </c>
      <c r="D88" s="277"/>
      <c r="E88" s="277"/>
      <c r="F88" s="277"/>
      <c r="G88" s="277"/>
      <c r="H88" s="277"/>
      <c r="I88" s="277"/>
      <c r="J88" s="277"/>
      <c r="K88" s="277"/>
      <c r="L88" s="277"/>
      <c r="M88" s="277"/>
      <c r="N88" s="64">
        <f>SUMIF(O5:O87,"Yes",N5:N87)+SUMIF(O5:O87,"Allowance",N5:N87)</f>
        <v>5885676.2294999994</v>
      </c>
      <c r="O88" s="63"/>
      <c r="P88" s="63"/>
    </row>
    <row r="89" spans="2:16" ht="18" customHeight="1" x14ac:dyDescent="0.25">
      <c r="B89" s="271" t="s">
        <v>843</v>
      </c>
      <c r="C89" s="271"/>
      <c r="D89" s="271"/>
      <c r="E89" s="271"/>
      <c r="F89" s="271"/>
      <c r="G89" s="271"/>
      <c r="H89" s="271"/>
      <c r="I89" s="271"/>
      <c r="J89" s="271"/>
      <c r="K89" s="271"/>
      <c r="L89" s="271"/>
      <c r="M89" s="271"/>
      <c r="N89" s="271"/>
      <c r="O89" s="271"/>
    </row>
  </sheetData>
  <mergeCells count="10">
    <mergeCell ref="B1:N1"/>
    <mergeCell ref="B2:O2"/>
    <mergeCell ref="B3:O3"/>
    <mergeCell ref="B5:O5"/>
    <mergeCell ref="B29:L29"/>
    <mergeCell ref="B30:O30"/>
    <mergeCell ref="B56:O56"/>
    <mergeCell ref="B83:O83"/>
    <mergeCell ref="C88:M88"/>
    <mergeCell ref="B89:O89"/>
  </mergeCells>
  <dataValidations count="1">
    <dataValidation type="list" sqref="N3:N27" xr:uid="{00000000-0002-0000-0400-000000000000}">
      <formula1>"Yes,No,Allowance,TBD"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3"/>
  <sheetViews>
    <sheetView showGridLines="0" zoomScaleNormal="100" workbookViewId="0">
      <pane ySplit="2" topLeftCell="A3" activePane="bottomLeft" state="frozen"/>
      <selection pane="bottomLeft" activeCell="A3" sqref="A3:XFD3"/>
    </sheetView>
  </sheetViews>
  <sheetFormatPr defaultColWidth="8.7109375" defaultRowHeight="15" x14ac:dyDescent="0.25"/>
  <cols>
    <col min="1" max="1" width="3" customWidth="1"/>
    <col min="2" max="2" width="14" customWidth="1"/>
    <col min="3" max="3" width="34.7109375" customWidth="1"/>
    <col min="4" max="4" width="30.7109375" customWidth="1"/>
    <col min="5" max="5" width="8" style="221" customWidth="1"/>
    <col min="6" max="6" width="13" style="227" customWidth="1"/>
    <col min="7" max="7" width="14" customWidth="1"/>
    <col min="8" max="8" width="12" customWidth="1"/>
    <col min="9" max="9" width="60.7109375" customWidth="1"/>
  </cols>
  <sheetData>
    <row r="1" spans="2:9" ht="50.1" customHeight="1" x14ac:dyDescent="0.25">
      <c r="B1" s="280" t="s">
        <v>844</v>
      </c>
      <c r="C1" s="280"/>
      <c r="D1" s="280"/>
      <c r="E1" s="280"/>
      <c r="F1" s="280"/>
      <c r="G1" s="280"/>
      <c r="H1" s="280"/>
      <c r="I1" s="280"/>
    </row>
    <row r="2" spans="2:9" ht="39.950000000000003" customHeight="1" x14ac:dyDescent="0.25">
      <c r="B2" s="65" t="s">
        <v>845</v>
      </c>
      <c r="C2" s="65" t="s">
        <v>846</v>
      </c>
      <c r="D2" s="65" t="s">
        <v>847</v>
      </c>
      <c r="E2" s="65" t="s">
        <v>848</v>
      </c>
      <c r="F2" s="225" t="s">
        <v>849</v>
      </c>
      <c r="G2" s="65" t="s">
        <v>850</v>
      </c>
      <c r="H2" s="65" t="s">
        <v>851</v>
      </c>
      <c r="I2" s="65" t="s">
        <v>852</v>
      </c>
    </row>
    <row r="3" spans="2:9" ht="18" customHeight="1" x14ac:dyDescent="0.25">
      <c r="B3" s="66" t="s">
        <v>853</v>
      </c>
      <c r="C3" s="33" t="s">
        <v>854</v>
      </c>
      <c r="D3" s="67" t="s">
        <v>855</v>
      </c>
      <c r="E3" s="224">
        <v>4</v>
      </c>
      <c r="F3" s="226">
        <v>14500</v>
      </c>
      <c r="G3" s="68">
        <f t="shared" ref="G3:G10" si="0">E3*F3</f>
        <v>58000</v>
      </c>
      <c r="H3" s="69" t="s">
        <v>856</v>
      </c>
      <c r="I3" s="67" t="s">
        <v>857</v>
      </c>
    </row>
    <row r="4" spans="2:9" ht="18" customHeight="1" x14ac:dyDescent="0.25">
      <c r="B4" s="70" t="s">
        <v>853</v>
      </c>
      <c r="C4" s="71" t="s">
        <v>858</v>
      </c>
      <c r="D4" s="72" t="s">
        <v>859</v>
      </c>
      <c r="E4" s="224">
        <v>1</v>
      </c>
      <c r="F4" s="226">
        <v>95000</v>
      </c>
      <c r="G4" s="68">
        <f t="shared" si="0"/>
        <v>95000</v>
      </c>
      <c r="H4" s="69" t="s">
        <v>856</v>
      </c>
      <c r="I4" s="72" t="s">
        <v>860</v>
      </c>
    </row>
    <row r="5" spans="2:9" ht="18" customHeight="1" x14ac:dyDescent="0.25">
      <c r="B5" s="66" t="s">
        <v>853</v>
      </c>
      <c r="C5" s="33" t="s">
        <v>861</v>
      </c>
      <c r="D5" s="67" t="s">
        <v>862</v>
      </c>
      <c r="E5" s="224">
        <v>1</v>
      </c>
      <c r="F5" s="226">
        <v>18000</v>
      </c>
      <c r="G5" s="68">
        <f t="shared" si="0"/>
        <v>18000</v>
      </c>
      <c r="H5" s="69" t="s">
        <v>856</v>
      </c>
      <c r="I5" s="67" t="s">
        <v>863</v>
      </c>
    </row>
    <row r="6" spans="2:9" ht="18" customHeight="1" x14ac:dyDescent="0.25">
      <c r="B6" s="70" t="s">
        <v>853</v>
      </c>
      <c r="C6" s="71" t="s">
        <v>864</v>
      </c>
      <c r="D6" s="72" t="s">
        <v>865</v>
      </c>
      <c r="E6" s="224">
        <v>1</v>
      </c>
      <c r="F6" s="226">
        <v>32000</v>
      </c>
      <c r="G6" s="68">
        <f t="shared" si="0"/>
        <v>32000</v>
      </c>
      <c r="H6" s="69" t="s">
        <v>856</v>
      </c>
      <c r="I6" s="72" t="s">
        <v>866</v>
      </c>
    </row>
    <row r="7" spans="2:9" ht="18" customHeight="1" x14ac:dyDescent="0.25">
      <c r="B7" s="66" t="s">
        <v>853</v>
      </c>
      <c r="C7" s="33" t="s">
        <v>867</v>
      </c>
      <c r="D7" s="67" t="s">
        <v>855</v>
      </c>
      <c r="E7" s="224">
        <v>1</v>
      </c>
      <c r="F7" s="226">
        <v>3500</v>
      </c>
      <c r="G7" s="68">
        <f t="shared" si="0"/>
        <v>3500</v>
      </c>
      <c r="H7" s="69" t="s">
        <v>856</v>
      </c>
      <c r="I7" s="67" t="s">
        <v>868</v>
      </c>
    </row>
    <row r="8" spans="2:9" ht="18" customHeight="1" x14ac:dyDescent="0.25">
      <c r="B8" s="70" t="s">
        <v>869</v>
      </c>
      <c r="C8" s="71" t="s">
        <v>870</v>
      </c>
      <c r="D8" s="72" t="s">
        <v>871</v>
      </c>
      <c r="E8" s="224">
        <v>1</v>
      </c>
      <c r="F8" s="226">
        <v>18000</v>
      </c>
      <c r="G8" s="68">
        <f t="shared" si="0"/>
        <v>18000</v>
      </c>
      <c r="H8" s="69" t="s">
        <v>856</v>
      </c>
      <c r="I8" s="72" t="s">
        <v>872</v>
      </c>
    </row>
    <row r="9" spans="2:9" ht="18" customHeight="1" x14ac:dyDescent="0.25">
      <c r="B9" s="66" t="s">
        <v>869</v>
      </c>
      <c r="C9" s="33" t="s">
        <v>873</v>
      </c>
      <c r="D9" s="67" t="s">
        <v>874</v>
      </c>
      <c r="E9" s="224">
        <v>1</v>
      </c>
      <c r="F9" s="226">
        <v>14000</v>
      </c>
      <c r="G9" s="68">
        <f t="shared" si="0"/>
        <v>14000</v>
      </c>
      <c r="H9" s="69" t="s">
        <v>856</v>
      </c>
      <c r="I9" s="67" t="s">
        <v>875</v>
      </c>
    </row>
    <row r="10" spans="2:9" ht="18" customHeight="1" x14ac:dyDescent="0.25">
      <c r="B10" s="70" t="s">
        <v>869</v>
      </c>
      <c r="C10" s="71" t="s">
        <v>876</v>
      </c>
      <c r="D10" s="72" t="s">
        <v>877</v>
      </c>
      <c r="E10" s="224">
        <v>2500</v>
      </c>
      <c r="F10" s="226">
        <v>14.5</v>
      </c>
      <c r="G10" s="68">
        <f t="shared" si="0"/>
        <v>36250</v>
      </c>
      <c r="H10" s="69" t="s">
        <v>856</v>
      </c>
      <c r="I10" s="72" t="s">
        <v>878</v>
      </c>
    </row>
    <row r="12" spans="2:9" ht="21.75" customHeight="1" x14ac:dyDescent="0.25">
      <c r="B12" s="281" t="s">
        <v>879</v>
      </c>
      <c r="C12" s="281"/>
      <c r="D12" s="281"/>
      <c r="E12" s="281"/>
      <c r="F12" s="281"/>
      <c r="G12" s="73">
        <f>SUM(G3:G10)</f>
        <v>274750</v>
      </c>
    </row>
    <row r="13" spans="2:9" ht="16.5" customHeight="1" x14ac:dyDescent="0.25">
      <c r="B13" s="282" t="s">
        <v>880</v>
      </c>
      <c r="C13" s="282"/>
      <c r="D13" s="282"/>
      <c r="E13" s="282"/>
      <c r="F13" s="282"/>
      <c r="G13" s="74">
        <f>COUNTIF(H3:H10,"Pending")</f>
        <v>8</v>
      </c>
    </row>
  </sheetData>
  <mergeCells count="3">
    <mergeCell ref="B1:I1"/>
    <mergeCell ref="B12:F12"/>
    <mergeCell ref="B13:F13"/>
  </mergeCells>
  <dataValidations count="1">
    <dataValidation type="list" sqref="H3:H10" xr:uid="{00000000-0002-0000-0500-000000000000}">
      <formula1>"Pending,Confirmed,Revised,Excluded"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10"/>
  <sheetViews>
    <sheetView showGridLines="0" zoomScaleNormal="100" workbookViewId="0">
      <selection activeCell="J14" sqref="J14"/>
    </sheetView>
  </sheetViews>
  <sheetFormatPr defaultColWidth="8.7109375" defaultRowHeight="15" x14ac:dyDescent="0.25"/>
  <cols>
    <col min="1" max="1" width="3" customWidth="1"/>
    <col min="2" max="2" width="8" customWidth="1"/>
    <col min="3" max="4" width="17" customWidth="1"/>
    <col min="5" max="5" width="14" customWidth="1"/>
    <col min="6" max="7" width="13" customWidth="1"/>
    <col min="8" max="8" width="14" customWidth="1"/>
    <col min="9" max="9" width="16" customWidth="1"/>
    <col min="10" max="10" width="17" customWidth="1"/>
  </cols>
  <sheetData>
    <row r="1" spans="2:10" ht="50.1" customHeight="1" x14ac:dyDescent="0.25">
      <c r="B1" s="268" t="s">
        <v>881</v>
      </c>
      <c r="C1" s="268"/>
      <c r="D1" s="268"/>
      <c r="E1" s="268"/>
      <c r="F1" s="268"/>
      <c r="G1" s="268"/>
      <c r="H1" s="268"/>
      <c r="I1" s="268"/>
      <c r="J1" s="268"/>
    </row>
    <row r="2" spans="2:10" ht="39.950000000000003" customHeight="1" x14ac:dyDescent="0.25">
      <c r="B2" s="25" t="s">
        <v>566</v>
      </c>
      <c r="C2" s="25" t="s">
        <v>882</v>
      </c>
      <c r="D2" s="25" t="s">
        <v>883</v>
      </c>
      <c r="E2" s="25" t="s">
        <v>884</v>
      </c>
      <c r="F2" s="25" t="s">
        <v>885</v>
      </c>
      <c r="G2" s="25" t="s">
        <v>115</v>
      </c>
      <c r="H2" s="25" t="s">
        <v>886</v>
      </c>
      <c r="I2" s="25" t="s">
        <v>887</v>
      </c>
      <c r="J2" s="25" t="s">
        <v>888</v>
      </c>
    </row>
    <row r="3" spans="2:10" ht="18" customHeight="1" x14ac:dyDescent="0.25">
      <c r="B3" s="75" t="s">
        <v>750</v>
      </c>
      <c r="C3" s="68">
        <f>SUMPRODUCT((TAKEOFF!$C$5:$C$200=B3)*(TAKEOFF!$O$5:$O$200="Yes")*TAKEOFF!$N$5:$N$200)</f>
        <v>2451138.75</v>
      </c>
      <c r="D3" s="68">
        <f>SUMPRODUCT((TAKEOFF!$C$5:$C$200=B3)*(TAKEOFF!$O$5:$O$200="Allowance")*TAKEOFF!$N$5:$N$200)</f>
        <v>51801.749999999993</v>
      </c>
      <c r="E3" s="68">
        <f>C3+D3</f>
        <v>2502940.5</v>
      </c>
      <c r="F3" s="68">
        <f>E3*ASSUMPTIONS!$C$19</f>
        <v>200235.24</v>
      </c>
      <c r="G3" s="68">
        <f>(E3+F3)*ASSUMPTIONS!$C$20</f>
        <v>270317.57400000002</v>
      </c>
      <c r="H3" s="68">
        <f>(E3+F3+G3)*(ASSUMPTIONS!$C$21+ASSUMPTIONS!$C$22+ASSUMPTIONS!$C$23)</f>
        <v>892047.99420000007</v>
      </c>
      <c r="I3" s="68">
        <f>(E3+F3+G3+H3)*ASSUMPTIONS!$C$24</f>
        <v>77310.826164000013</v>
      </c>
      <c r="J3" s="76">
        <f>SUM(E3:I3)</f>
        <v>3942852.1343640005</v>
      </c>
    </row>
    <row r="4" spans="2:10" ht="18" customHeight="1" x14ac:dyDescent="0.25">
      <c r="B4" s="75" t="s">
        <v>578</v>
      </c>
      <c r="C4" s="68">
        <f>SUMPRODUCT((TAKEOFF!$C$5:$C$200=B4)*(TAKEOFF!$O$5:$O$200="Yes")*TAKEOFF!$N$5:$N$200)</f>
        <v>2905548.9795000004</v>
      </c>
      <c r="D4" s="68">
        <f>SUMPRODUCT((TAKEOFF!$C$5:$C$200=B4)*(TAKEOFF!$O$5:$O$200="Allowance")*TAKEOFF!$N$5:$N$200)</f>
        <v>327318.75</v>
      </c>
      <c r="E4" s="68">
        <f>C4+D4</f>
        <v>3232867.7295000004</v>
      </c>
      <c r="F4" s="68">
        <f>E4*ASSUMPTIONS!$C$19</f>
        <v>258629.41836000004</v>
      </c>
      <c r="G4" s="68">
        <f>(E4+F4)*ASSUMPTIONS!$C$20</f>
        <v>349149.71478600008</v>
      </c>
      <c r="H4" s="68">
        <f>(E4+F4+G4)*(ASSUMPTIONS!$C$21+ASSUMPTIONS!$C$22+ASSUMPTIONS!$C$23)</f>
        <v>1152194.0587938002</v>
      </c>
      <c r="I4" s="68">
        <f>(E4+F4+G4+H4)*ASSUMPTIONS!$C$24</f>
        <v>99856.818428796018</v>
      </c>
      <c r="J4" s="76">
        <f>SUM(E4:I4)</f>
        <v>5092697.7398685962</v>
      </c>
    </row>
    <row r="5" spans="2:10" ht="18" customHeight="1" x14ac:dyDescent="0.25">
      <c r="B5" s="75" t="s">
        <v>889</v>
      </c>
      <c r="C5" s="68">
        <f>SUMPRODUCT((TAKEOFF!$C$5:$C$200=B5)*(TAKEOFF!$O$5:$O$200="Yes")*TAKEOFF!$N$5:$N$200)</f>
        <v>0</v>
      </c>
      <c r="D5" s="68">
        <f>SUMPRODUCT((TAKEOFF!$C$5:$C$200=B5)*(TAKEOFF!$O$5:$O$200="Allowance")*TAKEOFF!$N$5:$N$200)</f>
        <v>0</v>
      </c>
      <c r="E5" s="68">
        <f>C5+D5</f>
        <v>0</v>
      </c>
      <c r="F5" s="68">
        <f>E5*ASSUMPTIONS!$C$19</f>
        <v>0</v>
      </c>
      <c r="G5" s="68">
        <f>(E5+F5)*ASSUMPTIONS!$C$20</f>
        <v>0</v>
      </c>
      <c r="H5" s="68">
        <f>(E5+F5+G5)*(ASSUMPTIONS!$C$21+ASSUMPTIONS!$C$22+ASSUMPTIONS!$C$23)</f>
        <v>0</v>
      </c>
      <c r="I5" s="68">
        <f>(E5+F5+G5+H5)*ASSUMPTIONS!$C$24</f>
        <v>0</v>
      </c>
      <c r="J5" s="76">
        <f>SUM(E5:I5)</f>
        <v>0</v>
      </c>
    </row>
    <row r="6" spans="2:10" ht="18" customHeight="1" x14ac:dyDescent="0.25">
      <c r="B6" s="75" t="s">
        <v>825</v>
      </c>
      <c r="C6" s="68">
        <f>SUMPRODUCT((TAKEOFF!$C$5:$C$200=B6)*(TAKEOFF!$O$5:$O$200="Yes")*TAKEOFF!$N$5:$N$200)</f>
        <v>55268.999999999993</v>
      </c>
      <c r="D6" s="68">
        <f>SUMPRODUCT((TAKEOFF!$C$5:$C$200=B6)*(TAKEOFF!$O$5:$O$200="Allowance")*TAKEOFF!$N$5:$N$200)</f>
        <v>94599</v>
      </c>
      <c r="E6" s="68">
        <f>C6+D6</f>
        <v>149868</v>
      </c>
      <c r="F6" s="68">
        <f>E6*ASSUMPTIONS!$C$19</f>
        <v>11989.44</v>
      </c>
      <c r="G6" s="68">
        <f>(E6+F6)*ASSUMPTIONS!$C$20</f>
        <v>16185.744000000001</v>
      </c>
      <c r="H6" s="68">
        <f>(E6+F6+G6)*(ASSUMPTIONS!$C$21+ASSUMPTIONS!$C$22+ASSUMPTIONS!$C$23)</f>
        <v>53412.955200000004</v>
      </c>
      <c r="I6" s="68">
        <f>(E6+F6+G6+H6)*ASSUMPTIONS!$C$24</f>
        <v>4629.1227840000001</v>
      </c>
      <c r="J6" s="76">
        <f>SUM(E6:I6)</f>
        <v>236085.26198400001</v>
      </c>
    </row>
    <row r="7" spans="2:10" ht="15" customHeight="1" x14ac:dyDescent="0.25">
      <c r="B7" t="s">
        <v>155</v>
      </c>
    </row>
    <row r="8" spans="2:10" ht="24" customHeight="1" x14ac:dyDescent="0.25">
      <c r="B8" s="77" t="s">
        <v>155</v>
      </c>
      <c r="C8" s="78">
        <f t="shared" ref="C8:J8" si="0">SUM(C3:C6)</f>
        <v>5411956.7295000004</v>
      </c>
      <c r="D8" s="78">
        <f t="shared" si="0"/>
        <v>473719.5</v>
      </c>
      <c r="E8" s="78">
        <f t="shared" si="0"/>
        <v>5885676.2295000004</v>
      </c>
      <c r="F8" s="78">
        <f t="shared" si="0"/>
        <v>470854.09836</v>
      </c>
      <c r="G8" s="78">
        <f t="shared" si="0"/>
        <v>635653.03278600005</v>
      </c>
      <c r="H8" s="78">
        <f t="shared" si="0"/>
        <v>2097655.0081938002</v>
      </c>
      <c r="I8" s="78">
        <f t="shared" si="0"/>
        <v>181796.76737679605</v>
      </c>
      <c r="J8" s="78">
        <f t="shared" si="0"/>
        <v>9271635.1362165976</v>
      </c>
    </row>
    <row r="10" spans="2:10" ht="15" customHeight="1" x14ac:dyDescent="0.25">
      <c r="B10" s="12" t="s">
        <v>890</v>
      </c>
    </row>
  </sheetData>
  <mergeCells count="1">
    <mergeCell ref="B1:J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7"/>
  <sheetViews>
    <sheetView showGridLines="0" topLeftCell="A6" zoomScaleNormal="100" workbookViewId="0">
      <selection activeCell="G13" sqref="G13"/>
    </sheetView>
  </sheetViews>
  <sheetFormatPr defaultColWidth="8.7109375" defaultRowHeight="15" x14ac:dyDescent="0.25"/>
  <cols>
    <col min="1" max="1" width="3" customWidth="1"/>
    <col min="2" max="2" width="36" customWidth="1"/>
    <col min="3" max="3" width="18" customWidth="1"/>
    <col min="4" max="4" width="3" customWidth="1"/>
    <col min="5" max="5" width="69.7109375" customWidth="1"/>
  </cols>
  <sheetData>
    <row r="1" spans="2:5" ht="50.1" customHeight="1" x14ac:dyDescent="0.25">
      <c r="B1" s="263" t="s">
        <v>891</v>
      </c>
      <c r="C1" s="263"/>
      <c r="D1" s="263"/>
      <c r="E1" s="263"/>
    </row>
    <row r="2" spans="2:5" ht="21.75" customHeight="1" x14ac:dyDescent="0.25">
      <c r="B2" s="283" t="str">
        <f>"Project:  " &amp; ASSUMPTIONS!C3</f>
        <v>Project:  M-Well Community Health Campus</v>
      </c>
      <c r="C2" s="283"/>
    </row>
    <row r="3" spans="2:5" ht="18" customHeight="1" x14ac:dyDescent="0.25">
      <c r="B3" s="284" t="str">
        <f>"Estimate Date:  " &amp; TEXT(ASSUMPTIONS!C4,"mm/dd/yyyy") &amp; "   |   Type: " &amp; ASSUMPTIONS!C5</f>
        <v>Estimate Date:  01/00/1900   |   Type: ROM / Conceptual</v>
      </c>
      <c r="C3" s="284"/>
    </row>
    <row r="4" spans="2:5" ht="19.5" customHeight="1" x14ac:dyDescent="0.25">
      <c r="B4" s="79" t="s">
        <v>892</v>
      </c>
      <c r="C4" s="79" t="s">
        <v>893</v>
      </c>
      <c r="E4" s="79" t="s">
        <v>894</v>
      </c>
    </row>
    <row r="5" spans="2:5" ht="18" customHeight="1" x14ac:dyDescent="0.25">
      <c r="B5" s="24" t="s">
        <v>111</v>
      </c>
      <c r="C5" s="68">
        <f>IFERROR(SUMIF('FLOOR SUMMARY'!B3:B8,"&lt;&gt;TOTAL",'FLOOR SUMMARY'!C3:C8),0)</f>
        <v>5411956.7295000004</v>
      </c>
      <c r="E5" s="80" t="s">
        <v>895</v>
      </c>
    </row>
    <row r="6" spans="2:5" ht="18" customHeight="1" x14ac:dyDescent="0.25">
      <c r="B6" s="24" t="s">
        <v>112</v>
      </c>
      <c r="C6" s="68">
        <f>IFERROR(SUM('FLOOR SUMMARY'!D3:D6),0)</f>
        <v>473719.5</v>
      </c>
      <c r="E6" s="80" t="s">
        <v>896</v>
      </c>
    </row>
    <row r="7" spans="2:5" ht="18" customHeight="1" x14ac:dyDescent="0.25">
      <c r="B7" s="81" t="s">
        <v>113</v>
      </c>
      <c r="C7" s="82">
        <f>C5+C6</f>
        <v>5885676.2295000004</v>
      </c>
      <c r="E7" s="80"/>
    </row>
    <row r="8" spans="2:5" ht="18" customHeight="1" x14ac:dyDescent="0.25">
      <c r="B8" s="24" t="s">
        <v>114</v>
      </c>
      <c r="C8" s="68">
        <f>C7*ASSUMPTIONS!$C$19</f>
        <v>470854.09836000006</v>
      </c>
      <c r="E8" s="80" t="s">
        <v>897</v>
      </c>
    </row>
    <row r="9" spans="2:5" ht="18" customHeight="1" x14ac:dyDescent="0.25">
      <c r="B9" s="24" t="s">
        <v>898</v>
      </c>
      <c r="C9" s="68">
        <f>(C7+C8)*ASSUMPTIONS!$C$20</f>
        <v>635653.03278600005</v>
      </c>
      <c r="E9" s="80" t="s">
        <v>899</v>
      </c>
    </row>
    <row r="10" spans="2:5" ht="18" customHeight="1" x14ac:dyDescent="0.25">
      <c r="B10" s="24" t="s">
        <v>116</v>
      </c>
      <c r="C10" s="68">
        <f>(C7+C8+C9)*(ASSUMPTIONS!C21+ASSUMPTIONS!C22+ASSUMPTIONS!C23)</f>
        <v>2097655.0081937998</v>
      </c>
      <c r="E10" s="80" t="s">
        <v>900</v>
      </c>
    </row>
    <row r="11" spans="2:5" ht="18" customHeight="1" x14ac:dyDescent="0.25">
      <c r="B11" s="24" t="s">
        <v>117</v>
      </c>
      <c r="C11" s="68">
        <f>(C7+C8+C9+C10)*ASSUMPTIONS!$C$24</f>
        <v>181796.76737679602</v>
      </c>
      <c r="E11" s="80" t="s">
        <v>901</v>
      </c>
    </row>
    <row r="12" spans="2:5" ht="30" customHeight="1" x14ac:dyDescent="0.25">
      <c r="B12" s="83" t="s">
        <v>118</v>
      </c>
      <c r="C12" s="84">
        <f>C5+C8+C9+C10+C11</f>
        <v>8797915.6362165958</v>
      </c>
    </row>
    <row r="14" spans="2:5" ht="18" customHeight="1" x14ac:dyDescent="0.25">
      <c r="B14" s="24" t="s">
        <v>902</v>
      </c>
      <c r="C14" s="29">
        <f>IFERROR(C12/ASSUMPTIONS!$C$9,0)</f>
        <v>320.48359450009457</v>
      </c>
      <c r="E14" s="12" t="s">
        <v>903</v>
      </c>
    </row>
    <row r="16" spans="2:5" ht="19.5" customHeight="1" x14ac:dyDescent="0.25">
      <c r="B16" s="267" t="s">
        <v>904</v>
      </c>
      <c r="C16" s="267"/>
      <c r="D16" s="267"/>
      <c r="E16" s="267"/>
    </row>
    <row r="17" spans="2:5" ht="16.5" customHeight="1" x14ac:dyDescent="0.25">
      <c r="B17" s="24" t="s">
        <v>905</v>
      </c>
      <c r="C17" s="68">
        <f>(C7+C8+C9)*ASSUMPTIONS!C21</f>
        <v>839062.00327751995</v>
      </c>
    </row>
    <row r="18" spans="2:5" ht="16.5" customHeight="1" x14ac:dyDescent="0.25">
      <c r="B18" s="24" t="s">
        <v>906</v>
      </c>
      <c r="C18" s="68">
        <f>(C7+C8+C9)*ASSUMPTIONS!C22</f>
        <v>699218.33606460004</v>
      </c>
    </row>
    <row r="19" spans="2:5" ht="16.5" customHeight="1" x14ac:dyDescent="0.25">
      <c r="B19" s="24" t="s">
        <v>907</v>
      </c>
      <c r="C19" s="68">
        <f>(C7+C8+C9)*ASSUMPTIONS!C23</f>
        <v>559374.66885168001</v>
      </c>
    </row>
    <row r="21" spans="2:5" ht="19.5" customHeight="1" x14ac:dyDescent="0.25">
      <c r="B21" s="265" t="s">
        <v>908</v>
      </c>
      <c r="C21" s="265"/>
      <c r="D21" s="265"/>
      <c r="E21" s="265"/>
    </row>
    <row r="22" spans="2:5" ht="19.5" customHeight="1" x14ac:dyDescent="0.25">
      <c r="B22" s="33" t="s">
        <v>909</v>
      </c>
      <c r="C22" s="21">
        <f>'SOFT COSTS'!F54</f>
        <v>690636.37744300277</v>
      </c>
      <c r="E22" s="67" t="s">
        <v>910</v>
      </c>
    </row>
    <row r="23" spans="2:5" ht="19.5" customHeight="1" x14ac:dyDescent="0.25">
      <c r="B23" s="71" t="s">
        <v>911</v>
      </c>
      <c r="C23" s="21">
        <f>'SOFT COSTS'!F84</f>
        <v>818206.15416814329</v>
      </c>
      <c r="E23" s="72" t="s">
        <v>912</v>
      </c>
    </row>
    <row r="24" spans="2:5" ht="19.5" customHeight="1" x14ac:dyDescent="0.25">
      <c r="B24" s="33" t="s">
        <v>913</v>
      </c>
      <c r="C24" s="21">
        <f>'SOFT COSTS'!F85</f>
        <v>439895.78181082977</v>
      </c>
      <c r="E24" s="67" t="s">
        <v>914</v>
      </c>
    </row>
    <row r="25" spans="2:5" ht="25.5" customHeight="1" x14ac:dyDescent="0.25">
      <c r="B25" s="85" t="s">
        <v>915</v>
      </c>
      <c r="C25" s="86">
        <f>'SOFT COSTS'!F86</f>
        <v>1948738.3134219758</v>
      </c>
      <c r="E25" s="87" t="s">
        <v>916</v>
      </c>
    </row>
    <row r="26" spans="2:5" ht="19.5" customHeight="1" x14ac:dyDescent="0.25">
      <c r="B26" s="33" t="s">
        <v>917</v>
      </c>
      <c r="C26" s="21">
        <f>'TOTAL PROJECT BUDGET'!C34</f>
        <v>439895.78181082982</v>
      </c>
      <c r="E26" s="67" t="s">
        <v>918</v>
      </c>
    </row>
    <row r="27" spans="2:5" ht="25.5" customHeight="1" x14ac:dyDescent="0.25">
      <c r="B27" s="85" t="s">
        <v>919</v>
      </c>
      <c r="C27" s="86">
        <f>'TOTAL PROJECT BUDGET'!C36</f>
        <v>11186549.731449401</v>
      </c>
      <c r="E27" s="87" t="s">
        <v>920</v>
      </c>
    </row>
  </sheetData>
  <mergeCells count="5">
    <mergeCell ref="B1:E1"/>
    <mergeCell ref="B2:C2"/>
    <mergeCell ref="B3:C3"/>
    <mergeCell ref="B16:E16"/>
    <mergeCell ref="B21:E2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28"/>
  <sheetViews>
    <sheetView showGridLines="0" zoomScaleNormal="100" workbookViewId="0">
      <selection activeCell="H7" sqref="H7"/>
    </sheetView>
  </sheetViews>
  <sheetFormatPr defaultColWidth="8.7109375" defaultRowHeight="15" x14ac:dyDescent="0.25"/>
  <cols>
    <col min="1" max="1" width="3" customWidth="1"/>
    <col min="2" max="2" width="32.7109375" customWidth="1"/>
    <col min="3" max="3" width="16" customWidth="1"/>
    <col min="4" max="4" width="11.7109375" customWidth="1"/>
    <col min="5" max="5" width="25.7109375" customWidth="1"/>
    <col min="6" max="6" width="32.7109375" style="230" customWidth="1"/>
  </cols>
  <sheetData>
    <row r="1" spans="2:6" ht="50.1" customHeight="1" x14ac:dyDescent="0.25">
      <c r="B1" s="268" t="s">
        <v>921</v>
      </c>
      <c r="C1" s="268"/>
      <c r="D1" s="268"/>
      <c r="E1" s="268"/>
      <c r="F1" s="268"/>
    </row>
    <row r="2" spans="2:6" ht="15" customHeight="1" x14ac:dyDescent="0.25">
      <c r="B2" s="231" t="s">
        <v>922</v>
      </c>
      <c r="C2" s="231"/>
    </row>
    <row r="3" spans="2:6" ht="21.75" customHeight="1" x14ac:dyDescent="0.25">
      <c r="B3" s="88" t="s">
        <v>923</v>
      </c>
      <c r="C3" s="88" t="s">
        <v>55</v>
      </c>
      <c r="E3" s="88" t="s">
        <v>924</v>
      </c>
      <c r="F3" s="88" t="s">
        <v>55</v>
      </c>
    </row>
    <row r="4" spans="2:6" ht="18" customHeight="1" x14ac:dyDescent="0.25">
      <c r="B4" s="24" t="s">
        <v>925</v>
      </c>
      <c r="C4" s="89">
        <f>ASSUMPTIONS!C9</f>
        <v>27452</v>
      </c>
      <c r="E4" s="24" t="s">
        <v>926</v>
      </c>
      <c r="F4" s="228">
        <f>IFERROR(C6/C7,"N/A - no data")</f>
        <v>1.6056292309623977E-4</v>
      </c>
    </row>
    <row r="5" spans="2:6" ht="18" customHeight="1" x14ac:dyDescent="0.25">
      <c r="B5" s="24" t="s">
        <v>927</v>
      </c>
      <c r="C5" s="21">
        <f>'BID SUMMARY'!C12</f>
        <v>8797915.6362165958</v>
      </c>
      <c r="E5" s="24" t="s">
        <v>928</v>
      </c>
      <c r="F5" s="228">
        <f>IFERROR(C6/C8,"N/A - no data")</f>
        <v>1.5261123547623552E-4</v>
      </c>
    </row>
    <row r="6" spans="2:6" ht="18" customHeight="1" x14ac:dyDescent="0.25">
      <c r="B6" s="24" t="s">
        <v>929</v>
      </c>
      <c r="C6" s="90">
        <f>'BID SUMMARY'!C14</f>
        <v>320.48359450009457</v>
      </c>
      <c r="E6" s="24" t="s">
        <v>930</v>
      </c>
      <c r="F6" s="229" t="str">
        <f>IF(C6&gt;C10,"Above historical max",IF(C6&gt;C7,"Above historical average",IF(C6&lt;C9,"Below historical min","Within historical range")))</f>
        <v>Within historical range</v>
      </c>
    </row>
    <row r="7" spans="2:6" ht="18" customHeight="1" x14ac:dyDescent="0.25">
      <c r="B7" s="24" t="s">
        <v>931</v>
      </c>
      <c r="C7" s="90">
        <f>IFERROR(AVERAGE('HISTORICAL DB'!G4:G103),0)</f>
        <v>1996000</v>
      </c>
    </row>
    <row r="8" spans="2:6" ht="18" customHeight="1" x14ac:dyDescent="0.25">
      <c r="B8" s="24" t="s">
        <v>932</v>
      </c>
      <c r="C8" s="90">
        <f>IFERROR(MEDIAN('HISTORICAL DB'!G4:G103),0)</f>
        <v>2100000</v>
      </c>
    </row>
    <row r="9" spans="2:6" ht="18" customHeight="1" x14ac:dyDescent="0.25">
      <c r="B9" s="24" t="s">
        <v>933</v>
      </c>
      <c r="C9" s="90">
        <f>IFERROR(MIN(IF('HISTORICAL DB'!G4:G103&gt;0,'HISTORICAL DB'!G4:G103)),0)</f>
        <v>0</v>
      </c>
    </row>
    <row r="10" spans="2:6" ht="18" customHeight="1" x14ac:dyDescent="0.25">
      <c r="B10" s="24" t="s">
        <v>934</v>
      </c>
      <c r="C10" s="90">
        <f>IFERROR(MAX('HISTORICAL DB'!G4:G103),0)</f>
        <v>3200000</v>
      </c>
    </row>
    <row r="11" spans="2:6" ht="18" customHeight="1" x14ac:dyDescent="0.25">
      <c r="B11" s="24" t="s">
        <v>935</v>
      </c>
      <c r="C11" s="89">
        <f>COUNTA('HISTORICAL DB'!A4:A103)</f>
        <v>0</v>
      </c>
    </row>
    <row r="13" spans="2:6" ht="19.5" customHeight="1" x14ac:dyDescent="0.25">
      <c r="B13" s="265" t="s">
        <v>936</v>
      </c>
      <c r="C13" s="265"/>
      <c r="D13" s="265"/>
      <c r="E13" s="265"/>
      <c r="F13" s="265"/>
    </row>
    <row r="14" spans="2:6" ht="19.5" customHeight="1" x14ac:dyDescent="0.25">
      <c r="B14" s="92" t="s">
        <v>937</v>
      </c>
      <c r="C14" s="92" t="s">
        <v>938</v>
      </c>
      <c r="D14" s="92" t="s">
        <v>939</v>
      </c>
      <c r="F14" s="92" t="s">
        <v>940</v>
      </c>
    </row>
    <row r="15" spans="2:6" ht="15.75" customHeight="1" x14ac:dyDescent="0.25">
      <c r="B15" s="93" t="s">
        <v>941</v>
      </c>
      <c r="C15" s="34">
        <v>120</v>
      </c>
      <c r="D15" s="34">
        <v>250</v>
      </c>
      <c r="E15" s="91"/>
      <c r="F15" s="229" t="str">
        <f>IF('BID SUMMARY'!C14=0,"Enter data",IF('BID SUMMARY'!C14&lt;C15,"Below range",IF('BID SUMMARY'!C14&gt;D15,"Above range","Within range")))</f>
        <v>Above range</v>
      </c>
    </row>
    <row r="16" spans="2:6" ht="15.75" customHeight="1" x14ac:dyDescent="0.25">
      <c r="B16" s="94" t="s">
        <v>942</v>
      </c>
      <c r="C16" s="34">
        <v>110</v>
      </c>
      <c r="D16" s="34">
        <v>230</v>
      </c>
      <c r="E16" s="91"/>
      <c r="F16" s="229" t="str">
        <f>IF('BID SUMMARY'!C14=0,"Enter data",IF('BID SUMMARY'!C14&lt;C16,"Below range",IF('BID SUMMARY'!C14&gt;D16,"Above range","Within range")))</f>
        <v>Above range</v>
      </c>
    </row>
    <row r="17" spans="2:6" ht="15.75" customHeight="1" x14ac:dyDescent="0.25">
      <c r="B17" s="93" t="s">
        <v>943</v>
      </c>
      <c r="C17" s="34">
        <v>150</v>
      </c>
      <c r="D17" s="34">
        <v>320</v>
      </c>
      <c r="E17" s="91"/>
      <c r="F17" s="229" t="str">
        <f>IF('BID SUMMARY'!C14=0,"Enter data",IF('BID SUMMARY'!C14&lt;C17,"Below range",IF('BID SUMMARY'!C14&gt;D17,"Above range","Within range")))</f>
        <v>Above range</v>
      </c>
    </row>
    <row r="18" spans="2:6" ht="15.75" customHeight="1" x14ac:dyDescent="0.25">
      <c r="B18" s="94" t="s">
        <v>944</v>
      </c>
      <c r="C18" s="34">
        <v>80</v>
      </c>
      <c r="D18" s="34">
        <v>165</v>
      </c>
      <c r="E18" s="91"/>
      <c r="F18" s="229" t="str">
        <f>IF('BID SUMMARY'!C14=0,"Enter data",IF('BID SUMMARY'!C14&lt;C18,"Below range",IF('BID SUMMARY'!C14&gt;D18,"Above range","Within range")))</f>
        <v>Above range</v>
      </c>
    </row>
    <row r="19" spans="2:6" ht="15.75" customHeight="1" x14ac:dyDescent="0.25">
      <c r="B19" s="93" t="s">
        <v>945</v>
      </c>
      <c r="C19" s="34">
        <v>140</v>
      </c>
      <c r="D19" s="34">
        <v>290</v>
      </c>
      <c r="E19" s="91"/>
      <c r="F19" s="229" t="str">
        <f>IF('BID SUMMARY'!C14=0,"Enter data",IF('BID SUMMARY'!C14&lt;C19,"Below range",IF('BID SUMMARY'!C14&gt;D19,"Above range","Within range")))</f>
        <v>Above range</v>
      </c>
    </row>
    <row r="20" spans="2:6" ht="15.75" customHeight="1" x14ac:dyDescent="0.25">
      <c r="B20" s="94" t="s">
        <v>946</v>
      </c>
      <c r="C20" s="34">
        <v>220</v>
      </c>
      <c r="D20" s="34">
        <v>420</v>
      </c>
      <c r="E20" s="91"/>
      <c r="F20" s="229" t="str">
        <f>IF('BID SUMMARY'!C14=0,"Enter data",IF('BID SUMMARY'!C14&lt;C20,"Below range",IF('BID SUMMARY'!C14&gt;D20,"Above range","Within range")))</f>
        <v>Within range</v>
      </c>
    </row>
    <row r="21" spans="2:6" ht="15.75" customHeight="1" x14ac:dyDescent="0.25">
      <c r="B21" s="93" t="s">
        <v>947</v>
      </c>
      <c r="C21" s="34">
        <v>260</v>
      </c>
      <c r="D21" s="34">
        <v>480</v>
      </c>
      <c r="E21" s="91"/>
      <c r="F21" s="229" t="str">
        <f>IF('BID SUMMARY'!C14=0,"Enter data",IF('BID SUMMARY'!C14&lt;C21,"Below range",IF('BID SUMMARY'!C14&gt;D21,"Above range","Within range")))</f>
        <v>Within range</v>
      </c>
    </row>
    <row r="24" spans="2:6" ht="19.5" customHeight="1" x14ac:dyDescent="0.25">
      <c r="B24" s="266" t="s">
        <v>948</v>
      </c>
      <c r="C24" s="266"/>
      <c r="D24" s="266"/>
      <c r="E24" s="266"/>
      <c r="F24" s="266"/>
    </row>
    <row r="25" spans="2:6" ht="27.75" customHeight="1" x14ac:dyDescent="0.25">
      <c r="B25" s="95" t="s">
        <v>949</v>
      </c>
      <c r="C25" s="285" t="s">
        <v>950</v>
      </c>
      <c r="D25" s="285"/>
      <c r="E25" s="285"/>
      <c r="F25" s="285"/>
    </row>
    <row r="26" spans="2:6" ht="27.75" customHeight="1" x14ac:dyDescent="0.25">
      <c r="B26" s="95" t="s">
        <v>951</v>
      </c>
      <c r="C26" s="285" t="s">
        <v>952</v>
      </c>
      <c r="D26" s="285"/>
      <c r="E26" s="285"/>
      <c r="F26" s="285"/>
    </row>
    <row r="27" spans="2:6" ht="27.75" customHeight="1" x14ac:dyDescent="0.25">
      <c r="B27" s="95" t="s">
        <v>953</v>
      </c>
      <c r="C27" s="285" t="s">
        <v>954</v>
      </c>
      <c r="D27" s="285"/>
      <c r="E27" s="285"/>
      <c r="F27" s="285"/>
    </row>
    <row r="28" spans="2:6" ht="27.75" customHeight="1" x14ac:dyDescent="0.25">
      <c r="B28" s="95" t="s">
        <v>955</v>
      </c>
      <c r="C28" s="286" t="s">
        <v>956</v>
      </c>
      <c r="D28" s="286"/>
      <c r="E28" s="286"/>
      <c r="F28" s="286"/>
    </row>
  </sheetData>
  <mergeCells count="7">
    <mergeCell ref="C26:F26"/>
    <mergeCell ref="C27:F27"/>
    <mergeCell ref="C28:F28"/>
    <mergeCell ref="B1:F1"/>
    <mergeCell ref="B13:F13"/>
    <mergeCell ref="B24:F24"/>
    <mergeCell ref="C25:F25"/>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
  <sheetViews>
    <sheetView showGridLines="0" zoomScaleNormal="100" workbookViewId="0">
      <selection activeCell="L6" sqref="L6"/>
    </sheetView>
  </sheetViews>
  <sheetFormatPr defaultColWidth="8.7109375" defaultRowHeight="15" x14ac:dyDescent="0.25"/>
  <cols>
    <col min="1" max="1" width="3" customWidth="1"/>
    <col min="2" max="2" width="32.7109375" customWidth="1"/>
    <col min="3" max="3" width="28.7109375" customWidth="1"/>
    <col min="4" max="4" width="12.85546875" customWidth="1"/>
    <col min="5" max="5" width="9.7109375" style="221" customWidth="1"/>
    <col min="6" max="6" width="11.7109375" style="221" customWidth="1"/>
    <col min="7" max="7" width="13.7109375" style="227" customWidth="1"/>
    <col min="8" max="8" width="9.7109375" customWidth="1"/>
    <col min="9" max="9" width="43.42578125" customWidth="1"/>
    <col min="10" max="10" width="32.7109375" customWidth="1"/>
  </cols>
  <sheetData>
    <row r="1" spans="2:10" ht="50.1" customHeight="1" x14ac:dyDescent="0.25">
      <c r="B1" s="263" t="s">
        <v>957</v>
      </c>
      <c r="C1" s="263"/>
      <c r="D1" s="263"/>
      <c r="E1" s="263"/>
      <c r="F1" s="263"/>
      <c r="G1" s="263"/>
      <c r="H1" s="263"/>
      <c r="I1" s="263"/>
      <c r="J1" s="263"/>
    </row>
    <row r="2" spans="2:10" ht="30" customHeight="1" x14ac:dyDescent="0.25">
      <c r="B2" s="287" t="s">
        <v>958</v>
      </c>
      <c r="C2" s="287"/>
      <c r="D2" s="287"/>
      <c r="E2" s="287"/>
      <c r="F2" s="287"/>
      <c r="G2" s="287"/>
      <c r="H2" s="287"/>
      <c r="I2" s="287"/>
      <c r="J2" s="287"/>
    </row>
    <row r="3" spans="2:10" ht="39.950000000000003" customHeight="1" x14ac:dyDescent="0.25">
      <c r="B3" s="92" t="s">
        <v>959</v>
      </c>
      <c r="C3" s="92" t="s">
        <v>65</v>
      </c>
      <c r="D3" s="92" t="s">
        <v>960</v>
      </c>
      <c r="E3" s="92" t="s">
        <v>961</v>
      </c>
      <c r="F3" s="92" t="s">
        <v>962</v>
      </c>
      <c r="G3" s="234" t="s">
        <v>963</v>
      </c>
      <c r="H3" s="92" t="s">
        <v>964</v>
      </c>
      <c r="I3" s="92" t="s">
        <v>965</v>
      </c>
      <c r="J3" s="92" t="s">
        <v>966</v>
      </c>
    </row>
    <row r="4" spans="2:10" ht="32.1" customHeight="1" x14ac:dyDescent="0.25">
      <c r="B4" s="96" t="s">
        <v>967</v>
      </c>
      <c r="C4" s="96" t="s">
        <v>943</v>
      </c>
      <c r="D4" s="96" t="s">
        <v>968</v>
      </c>
      <c r="E4" s="232">
        <v>2023</v>
      </c>
      <c r="F4" s="224">
        <v>18000</v>
      </c>
      <c r="G4" s="235">
        <v>3200000</v>
      </c>
      <c r="H4" s="29">
        <f>IFERROR(G4/F4,0)</f>
        <v>177.77777777777777</v>
      </c>
      <c r="I4" s="236" t="s">
        <v>969</v>
      </c>
      <c r="J4" s="238" t="s">
        <v>970</v>
      </c>
    </row>
    <row r="5" spans="2:10" ht="32.1" customHeight="1" x14ac:dyDescent="0.25">
      <c r="B5" s="98" t="s">
        <v>971</v>
      </c>
      <c r="C5" s="98" t="s">
        <v>943</v>
      </c>
      <c r="D5" s="98" t="s">
        <v>77</v>
      </c>
      <c r="E5" s="233">
        <v>2022</v>
      </c>
      <c r="F5" s="224">
        <v>12000</v>
      </c>
      <c r="G5" s="235">
        <v>2100000</v>
      </c>
      <c r="H5" s="29">
        <f>IFERROR(G5/F5,0)</f>
        <v>175</v>
      </c>
      <c r="I5" s="237" t="s">
        <v>972</v>
      </c>
      <c r="J5" s="239" t="s">
        <v>970</v>
      </c>
    </row>
    <row r="6" spans="2:10" ht="32.1" customHeight="1" x14ac:dyDescent="0.25">
      <c r="B6" s="96" t="s">
        <v>973</v>
      </c>
      <c r="C6" s="96" t="s">
        <v>941</v>
      </c>
      <c r="D6" s="96" t="s">
        <v>974</v>
      </c>
      <c r="E6" s="232">
        <v>2021</v>
      </c>
      <c r="F6" s="224">
        <v>8000</v>
      </c>
      <c r="G6" s="235">
        <v>950000</v>
      </c>
      <c r="H6" s="29">
        <f>IFERROR(G6/F6,0)</f>
        <v>118.75</v>
      </c>
      <c r="I6" s="236" t="s">
        <v>975</v>
      </c>
      <c r="J6" s="238" t="s">
        <v>970</v>
      </c>
    </row>
    <row r="7" spans="2:10" ht="32.1" customHeight="1" x14ac:dyDescent="0.25">
      <c r="B7" s="98" t="s">
        <v>976</v>
      </c>
      <c r="C7" s="98" t="s">
        <v>945</v>
      </c>
      <c r="D7" s="98" t="s">
        <v>77</v>
      </c>
      <c r="E7" s="233">
        <v>2023</v>
      </c>
      <c r="F7" s="224">
        <v>6500</v>
      </c>
      <c r="G7" s="235">
        <v>1450000</v>
      </c>
      <c r="H7" s="29">
        <f>IFERROR(G7/F7,0)</f>
        <v>223.07692307692307</v>
      </c>
      <c r="I7" s="237" t="s">
        <v>977</v>
      </c>
      <c r="J7" s="239" t="s">
        <v>970</v>
      </c>
    </row>
    <row r="8" spans="2:10" ht="32.1" customHeight="1" x14ac:dyDescent="0.25">
      <c r="B8" s="96" t="s">
        <v>978</v>
      </c>
      <c r="C8" s="96" t="s">
        <v>941</v>
      </c>
      <c r="D8" s="96" t="s">
        <v>145</v>
      </c>
      <c r="E8" s="232">
        <v>2024</v>
      </c>
      <c r="F8" s="224">
        <v>9200</v>
      </c>
      <c r="G8" s="235">
        <v>2280000</v>
      </c>
      <c r="H8" s="29">
        <f>IFERROR(G8/F8,0)</f>
        <v>247.82608695652175</v>
      </c>
      <c r="I8" s="236" t="s">
        <v>979</v>
      </c>
      <c r="J8" s="238" t="s">
        <v>970</v>
      </c>
    </row>
    <row r="10" spans="2:10" ht="15" customHeight="1" x14ac:dyDescent="0.25">
      <c r="B10" s="288" t="s">
        <v>980</v>
      </c>
      <c r="C10" s="288"/>
      <c r="D10" s="288"/>
      <c r="E10" s="288"/>
      <c r="F10" s="288"/>
      <c r="G10" s="288"/>
      <c r="H10" s="288"/>
      <c r="I10" s="288"/>
      <c r="J10" s="288"/>
    </row>
    <row r="12" spans="2:10" ht="19.5" customHeight="1" x14ac:dyDescent="0.25">
      <c r="B12" s="264" t="s">
        <v>981</v>
      </c>
      <c r="C12" s="264"/>
      <c r="D12" s="264"/>
      <c r="E12" s="264"/>
      <c r="F12" s="264"/>
      <c r="G12" s="264"/>
      <c r="H12" s="264"/>
      <c r="I12" s="264"/>
      <c r="J12" s="264"/>
    </row>
    <row r="13" spans="2:10" ht="16.5" customHeight="1" x14ac:dyDescent="0.25">
      <c r="B13" s="24" t="s">
        <v>982</v>
      </c>
      <c r="C13" s="74">
        <f>COUNTA(B4:B9)</f>
        <v>5</v>
      </c>
    </row>
    <row r="14" spans="2:10" ht="16.5" customHeight="1" x14ac:dyDescent="0.25">
      <c r="B14" s="24" t="s">
        <v>983</v>
      </c>
      <c r="C14" s="29">
        <f>IFERROR(AVERAGE(H4:H9),0)</f>
        <v>188.4861575622445</v>
      </c>
    </row>
    <row r="15" spans="2:10" ht="16.5" customHeight="1" x14ac:dyDescent="0.25">
      <c r="B15" s="24" t="s">
        <v>984</v>
      </c>
      <c r="C15" s="29">
        <f>IFERROR(MEDIAN(H4:H9),0)</f>
        <v>177.77777777777777</v>
      </c>
    </row>
    <row r="16" spans="2:10" ht="16.5" customHeight="1" x14ac:dyDescent="0.25">
      <c r="B16" s="24" t="s">
        <v>985</v>
      </c>
      <c r="C16" s="29">
        <f>IFERROR(MIN(IF(H4:H9&gt;0,H4:H9)),0)</f>
        <v>0</v>
      </c>
    </row>
    <row r="17" spans="2:3" ht="16.5" customHeight="1" x14ac:dyDescent="0.25">
      <c r="B17" s="24" t="s">
        <v>986</v>
      </c>
      <c r="C17" s="29">
        <f>IFERROR(MAX(H4:H9),0)</f>
        <v>247.82608695652175</v>
      </c>
    </row>
  </sheetData>
  <mergeCells count="4">
    <mergeCell ref="B1:J1"/>
    <mergeCell ref="B2:J2"/>
    <mergeCell ref="B10:J10"/>
    <mergeCell ref="B12:J12"/>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14"/>
  <sheetViews>
    <sheetView showGridLines="0" zoomScaleNormal="100" workbookViewId="0">
      <selection activeCell="N17" sqref="N17"/>
    </sheetView>
  </sheetViews>
  <sheetFormatPr defaultColWidth="8.7109375" defaultRowHeight="15" x14ac:dyDescent="0.25"/>
  <cols>
    <col min="1" max="1" width="3" customWidth="1"/>
    <col min="2" max="2" width="10.7109375" customWidth="1"/>
    <col min="3" max="3" width="15.7109375" customWidth="1"/>
    <col min="4" max="4" width="28.7109375" customWidth="1"/>
    <col min="5" max="5" width="10.7109375" customWidth="1"/>
    <col min="6" max="6" width="24" customWidth="1"/>
    <col min="7" max="7" width="11.7109375" customWidth="1"/>
    <col min="8" max="9" width="18.7109375" customWidth="1"/>
    <col min="10" max="10" width="13.7109375" customWidth="1"/>
    <col min="11" max="11" width="11.7109375" style="227" customWidth="1"/>
    <col min="12" max="12" width="9.7109375" style="221" customWidth="1"/>
    <col min="13" max="13" width="13.7109375" customWidth="1"/>
    <col min="14" max="14" width="54.7109375" customWidth="1"/>
  </cols>
  <sheetData>
    <row r="1" spans="2:14" ht="37.5" customHeight="1" x14ac:dyDescent="0.25">
      <c r="B1" s="280" t="s">
        <v>987</v>
      </c>
      <c r="C1" s="280"/>
      <c r="D1" s="280"/>
      <c r="E1" s="280"/>
      <c r="F1" s="280"/>
      <c r="G1" s="280"/>
      <c r="H1" s="280"/>
      <c r="I1" s="280"/>
      <c r="J1" s="280"/>
      <c r="K1" s="280"/>
      <c r="L1" s="280"/>
      <c r="M1" s="280"/>
    </row>
    <row r="2" spans="2:14" ht="30" customHeight="1" x14ac:dyDescent="0.25">
      <c r="B2" s="289" t="s">
        <v>988</v>
      </c>
      <c r="C2" s="289"/>
      <c r="D2" s="289"/>
      <c r="E2" s="289"/>
      <c r="F2" s="289"/>
      <c r="G2" s="289"/>
      <c r="H2" s="289"/>
      <c r="I2" s="289"/>
      <c r="J2" s="289"/>
      <c r="K2" s="289"/>
      <c r="L2" s="289"/>
      <c r="M2" s="289"/>
    </row>
    <row r="3" spans="2:14" ht="30" customHeight="1" x14ac:dyDescent="0.25">
      <c r="B3" s="65" t="s">
        <v>989</v>
      </c>
      <c r="C3" s="65" t="s">
        <v>845</v>
      </c>
      <c r="D3" s="65" t="s">
        <v>990</v>
      </c>
      <c r="E3" s="65" t="s">
        <v>568</v>
      </c>
      <c r="F3" s="65" t="s">
        <v>847</v>
      </c>
      <c r="G3" s="65" t="s">
        <v>991</v>
      </c>
      <c r="H3" s="65" t="s">
        <v>992</v>
      </c>
      <c r="I3" s="65" t="s">
        <v>993</v>
      </c>
      <c r="J3" s="65" t="s">
        <v>994</v>
      </c>
      <c r="K3" s="225" t="s">
        <v>995</v>
      </c>
      <c r="L3" s="65" t="s">
        <v>848</v>
      </c>
      <c r="M3" s="65" t="s">
        <v>996</v>
      </c>
      <c r="N3" s="65" t="s">
        <v>997</v>
      </c>
    </row>
    <row r="4" spans="2:14" ht="32.1" customHeight="1" x14ac:dyDescent="0.25">
      <c r="B4" s="99" t="s">
        <v>998</v>
      </c>
      <c r="C4" s="99" t="s">
        <v>853</v>
      </c>
      <c r="D4" s="99" t="s">
        <v>864</v>
      </c>
      <c r="E4" s="99" t="s">
        <v>999</v>
      </c>
      <c r="F4" s="240" t="s">
        <v>865</v>
      </c>
      <c r="G4" s="100" t="s">
        <v>856</v>
      </c>
      <c r="H4" s="16"/>
      <c r="I4" s="16"/>
      <c r="J4" s="16"/>
      <c r="K4" s="226">
        <v>32000</v>
      </c>
      <c r="L4" s="224">
        <v>1</v>
      </c>
      <c r="M4" s="68">
        <f t="shared" ref="M4:M11" si="0">K4*L4</f>
        <v>32000</v>
      </c>
      <c r="N4" s="101" t="s">
        <v>1000</v>
      </c>
    </row>
    <row r="5" spans="2:14" ht="32.1" customHeight="1" x14ac:dyDescent="0.25">
      <c r="B5" s="99" t="s">
        <v>1001</v>
      </c>
      <c r="C5" s="99" t="s">
        <v>853</v>
      </c>
      <c r="D5" s="99" t="s">
        <v>1002</v>
      </c>
      <c r="E5" s="99" t="s">
        <v>999</v>
      </c>
      <c r="F5" s="240" t="s">
        <v>862</v>
      </c>
      <c r="G5" s="100" t="s">
        <v>856</v>
      </c>
      <c r="H5" s="16"/>
      <c r="I5" s="16"/>
      <c r="J5" s="16"/>
      <c r="K5" s="226">
        <v>18000</v>
      </c>
      <c r="L5" s="224">
        <v>1</v>
      </c>
      <c r="M5" s="68">
        <f t="shared" si="0"/>
        <v>18000</v>
      </c>
      <c r="N5" s="101" t="s">
        <v>1003</v>
      </c>
    </row>
    <row r="6" spans="2:14" ht="32.1" customHeight="1" x14ac:dyDescent="0.25">
      <c r="B6" s="99" t="s">
        <v>1004</v>
      </c>
      <c r="C6" s="99" t="s">
        <v>853</v>
      </c>
      <c r="D6" s="99" t="s">
        <v>1005</v>
      </c>
      <c r="E6" s="99" t="s">
        <v>999</v>
      </c>
      <c r="F6" s="240" t="s">
        <v>859</v>
      </c>
      <c r="G6" s="100" t="s">
        <v>856</v>
      </c>
      <c r="H6" s="16"/>
      <c r="I6" s="16"/>
      <c r="J6" s="16"/>
      <c r="K6" s="226">
        <v>95000</v>
      </c>
      <c r="L6" s="224">
        <v>1</v>
      </c>
      <c r="M6" s="68">
        <f t="shared" si="0"/>
        <v>95000</v>
      </c>
      <c r="N6" s="101" t="s">
        <v>860</v>
      </c>
    </row>
    <row r="7" spans="2:14" ht="32.1" customHeight="1" x14ac:dyDescent="0.25">
      <c r="B7" s="99" t="s">
        <v>1006</v>
      </c>
      <c r="C7" s="99" t="s">
        <v>853</v>
      </c>
      <c r="D7" s="99" t="s">
        <v>1007</v>
      </c>
      <c r="E7" s="99" t="s">
        <v>999</v>
      </c>
      <c r="F7" s="240" t="s">
        <v>855</v>
      </c>
      <c r="G7" s="100" t="s">
        <v>856</v>
      </c>
      <c r="H7" s="16"/>
      <c r="I7" s="16"/>
      <c r="J7" s="16"/>
      <c r="K7" s="226">
        <v>14500</v>
      </c>
      <c r="L7" s="224">
        <v>4</v>
      </c>
      <c r="M7" s="68">
        <f t="shared" si="0"/>
        <v>58000</v>
      </c>
      <c r="N7" s="101" t="s">
        <v>1008</v>
      </c>
    </row>
    <row r="8" spans="2:14" ht="32.1" customHeight="1" x14ac:dyDescent="0.25">
      <c r="B8" s="99" t="s">
        <v>1009</v>
      </c>
      <c r="C8" s="99" t="s">
        <v>853</v>
      </c>
      <c r="D8" s="99" t="s">
        <v>1010</v>
      </c>
      <c r="E8" s="99" t="s">
        <v>999</v>
      </c>
      <c r="F8" s="240" t="s">
        <v>855</v>
      </c>
      <c r="G8" s="100" t="s">
        <v>856</v>
      </c>
      <c r="H8" s="16"/>
      <c r="I8" s="16"/>
      <c r="J8" s="16"/>
      <c r="K8" s="226">
        <v>3500</v>
      </c>
      <c r="L8" s="224">
        <v>1</v>
      </c>
      <c r="M8" s="68">
        <f t="shared" si="0"/>
        <v>3500</v>
      </c>
      <c r="N8" s="101" t="s">
        <v>1011</v>
      </c>
    </row>
    <row r="9" spans="2:14" ht="32.1" customHeight="1" x14ac:dyDescent="0.25">
      <c r="B9" s="99" t="s">
        <v>1012</v>
      </c>
      <c r="C9" s="99" t="s">
        <v>869</v>
      </c>
      <c r="D9" s="99" t="s">
        <v>870</v>
      </c>
      <c r="E9" s="99" t="s">
        <v>1013</v>
      </c>
      <c r="F9" s="240" t="s">
        <v>871</v>
      </c>
      <c r="G9" s="100" t="s">
        <v>856</v>
      </c>
      <c r="H9" s="16"/>
      <c r="I9" s="16"/>
      <c r="J9" s="16"/>
      <c r="K9" s="226">
        <v>18000</v>
      </c>
      <c r="L9" s="224">
        <v>1</v>
      </c>
      <c r="M9" s="68">
        <f t="shared" si="0"/>
        <v>18000</v>
      </c>
      <c r="N9" s="101" t="s">
        <v>872</v>
      </c>
    </row>
    <row r="10" spans="2:14" ht="32.1" customHeight="1" x14ac:dyDescent="0.25">
      <c r="B10" s="99" t="s">
        <v>1014</v>
      </c>
      <c r="C10" s="99" t="s">
        <v>869</v>
      </c>
      <c r="D10" s="99" t="s">
        <v>873</v>
      </c>
      <c r="E10" s="99" t="s">
        <v>1013</v>
      </c>
      <c r="F10" s="240" t="s">
        <v>874</v>
      </c>
      <c r="G10" s="100" t="s">
        <v>856</v>
      </c>
      <c r="H10" s="16"/>
      <c r="I10" s="16"/>
      <c r="J10" s="16"/>
      <c r="K10" s="226">
        <v>14000</v>
      </c>
      <c r="L10" s="224">
        <v>1</v>
      </c>
      <c r="M10" s="68">
        <f t="shared" si="0"/>
        <v>14000</v>
      </c>
      <c r="N10" s="101" t="s">
        <v>875</v>
      </c>
    </row>
    <row r="11" spans="2:14" ht="32.1" customHeight="1" x14ac:dyDescent="0.25">
      <c r="B11" s="99" t="s">
        <v>1015</v>
      </c>
      <c r="C11" s="99" t="s">
        <v>869</v>
      </c>
      <c r="D11" s="99" t="s">
        <v>876</v>
      </c>
      <c r="E11" s="99" t="s">
        <v>1016</v>
      </c>
      <c r="F11" s="240" t="s">
        <v>877</v>
      </c>
      <c r="G11" s="100" t="s">
        <v>856</v>
      </c>
      <c r="H11" s="16"/>
      <c r="I11" s="16"/>
      <c r="J11" s="16"/>
      <c r="K11" s="226">
        <v>14.5</v>
      </c>
      <c r="L11" s="224">
        <v>2500</v>
      </c>
      <c r="M11" s="68">
        <f t="shared" si="0"/>
        <v>36250</v>
      </c>
      <c r="N11" s="101" t="s">
        <v>878</v>
      </c>
    </row>
    <row r="13" spans="2:14" ht="15" customHeight="1" x14ac:dyDescent="0.25">
      <c r="B13" s="281" t="s">
        <v>1017</v>
      </c>
      <c r="C13" s="281"/>
      <c r="D13" s="281"/>
      <c r="E13" s="281"/>
      <c r="F13" s="281"/>
      <c r="G13" s="281"/>
      <c r="H13" s="281"/>
      <c r="I13" s="281"/>
      <c r="J13" s="281"/>
      <c r="K13" s="281"/>
      <c r="L13" s="281"/>
      <c r="M13" s="73">
        <f>SUM(M4:M11)</f>
        <v>274750</v>
      </c>
    </row>
    <row r="14" spans="2:14" ht="15" customHeight="1" x14ac:dyDescent="0.25">
      <c r="B14" s="282" t="s">
        <v>1018</v>
      </c>
      <c r="C14" s="282"/>
      <c r="D14" s="282"/>
      <c r="E14" s="282"/>
      <c r="F14" s="282"/>
      <c r="G14" s="282"/>
      <c r="H14" s="282"/>
      <c r="I14" s="282"/>
      <c r="J14" s="282"/>
      <c r="K14" s="282"/>
      <c r="L14" s="282"/>
      <c r="M14" s="74">
        <f>COUNTIF(G4:G11,"Pending")</f>
        <v>8</v>
      </c>
    </row>
  </sheetData>
  <mergeCells count="4">
    <mergeCell ref="B1:M1"/>
    <mergeCell ref="B2:M2"/>
    <mergeCell ref="B13:L13"/>
    <mergeCell ref="B14:L14"/>
  </mergeCells>
  <dataValidations count="1">
    <dataValidation type="list" sqref="G4:G11" xr:uid="{00000000-0002-0000-0A00-000000000000}">
      <formula1>"Pending,Owner Confirmed,Allowance Locked,Excluded"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19"/>
  <sheetViews>
    <sheetView showGridLines="0" topLeftCell="A7" zoomScaleNormal="100" workbookViewId="0">
      <selection activeCell="E23" sqref="E23"/>
    </sheetView>
  </sheetViews>
  <sheetFormatPr defaultColWidth="8.7109375" defaultRowHeight="15" x14ac:dyDescent="0.25"/>
  <cols>
    <col min="1" max="1" width="3" customWidth="1"/>
    <col min="2" max="2" width="12.7109375" customWidth="1"/>
    <col min="3" max="3" width="11.7109375" customWidth="1"/>
    <col min="4" max="4" width="15.7109375" customWidth="1"/>
    <col min="5" max="5" width="28" customWidth="1"/>
    <col min="6" max="6" width="13.7109375" style="227" customWidth="1"/>
    <col min="7" max="7" width="35.7109375" customWidth="1"/>
    <col min="8" max="8" width="11.7109375" style="221" customWidth="1"/>
    <col min="9" max="9" width="12" style="221" customWidth="1"/>
    <col min="10" max="10" width="68.7109375" customWidth="1"/>
  </cols>
  <sheetData>
    <row r="1" spans="2:10" ht="50.1" customHeight="1" x14ac:dyDescent="0.25">
      <c r="B1" s="268" t="s">
        <v>1019</v>
      </c>
      <c r="C1" s="268"/>
      <c r="D1" s="268"/>
      <c r="E1" s="268"/>
      <c r="F1" s="268"/>
      <c r="G1" s="268"/>
      <c r="H1" s="268"/>
      <c r="I1" s="268"/>
      <c r="J1" s="268"/>
    </row>
    <row r="2" spans="2:10" ht="30" customHeight="1" x14ac:dyDescent="0.25">
      <c r="B2" s="290" t="s">
        <v>1020</v>
      </c>
      <c r="C2" s="290"/>
      <c r="D2" s="290"/>
      <c r="E2" s="290"/>
      <c r="F2" s="290"/>
      <c r="G2" s="290"/>
      <c r="H2" s="290"/>
      <c r="I2" s="290"/>
      <c r="J2" s="290"/>
    </row>
    <row r="3" spans="2:10" ht="39.950000000000003" customHeight="1" x14ac:dyDescent="0.25">
      <c r="B3" s="25" t="s">
        <v>1021</v>
      </c>
      <c r="C3" s="25" t="s">
        <v>163</v>
      </c>
      <c r="D3" s="25" t="s">
        <v>845</v>
      </c>
      <c r="E3" s="25" t="s">
        <v>1022</v>
      </c>
      <c r="F3" s="241" t="s">
        <v>1023</v>
      </c>
      <c r="G3" s="25" t="s">
        <v>1024</v>
      </c>
      <c r="H3" s="25" t="s">
        <v>1025</v>
      </c>
      <c r="I3" s="25" t="s">
        <v>1026</v>
      </c>
      <c r="J3" s="25" t="s">
        <v>1027</v>
      </c>
    </row>
    <row r="4" spans="2:10" ht="32.1" customHeight="1" x14ac:dyDescent="0.25">
      <c r="B4" s="93" t="s">
        <v>1028</v>
      </c>
      <c r="C4" s="93" t="s">
        <v>999</v>
      </c>
      <c r="D4" s="93" t="s">
        <v>1029</v>
      </c>
      <c r="E4" s="236" t="s">
        <v>1007</v>
      </c>
      <c r="F4" s="235">
        <v>65000</v>
      </c>
      <c r="G4" s="243" t="s">
        <v>1030</v>
      </c>
      <c r="H4" s="102" t="s">
        <v>124</v>
      </c>
      <c r="I4" s="100" t="s">
        <v>856</v>
      </c>
      <c r="J4" s="93" t="s">
        <v>1031</v>
      </c>
    </row>
    <row r="5" spans="2:10" ht="32.1" customHeight="1" x14ac:dyDescent="0.25">
      <c r="B5" s="94" t="s">
        <v>1032</v>
      </c>
      <c r="C5" s="94" t="s">
        <v>999</v>
      </c>
      <c r="D5" s="94" t="s">
        <v>1029</v>
      </c>
      <c r="E5" s="237" t="s">
        <v>858</v>
      </c>
      <c r="F5" s="235">
        <v>95000</v>
      </c>
      <c r="G5" s="244" t="s">
        <v>1033</v>
      </c>
      <c r="H5" s="102" t="s">
        <v>124</v>
      </c>
      <c r="I5" s="100" t="s">
        <v>856</v>
      </c>
      <c r="J5" s="94" t="s">
        <v>1034</v>
      </c>
    </row>
    <row r="6" spans="2:10" ht="32.1" customHeight="1" x14ac:dyDescent="0.25">
      <c r="B6" s="93" t="s">
        <v>1035</v>
      </c>
      <c r="C6" s="93" t="s">
        <v>999</v>
      </c>
      <c r="D6" s="93" t="s">
        <v>1029</v>
      </c>
      <c r="E6" s="236" t="s">
        <v>861</v>
      </c>
      <c r="F6" s="235">
        <v>18000</v>
      </c>
      <c r="G6" s="243" t="s">
        <v>1036</v>
      </c>
      <c r="H6" s="102" t="s">
        <v>124</v>
      </c>
      <c r="I6" s="100" t="s">
        <v>856</v>
      </c>
      <c r="J6" s="93" t="s">
        <v>1037</v>
      </c>
    </row>
    <row r="7" spans="2:10" ht="32.1" customHeight="1" x14ac:dyDescent="0.25">
      <c r="B7" s="94" t="s">
        <v>1038</v>
      </c>
      <c r="C7" s="94" t="s">
        <v>999</v>
      </c>
      <c r="D7" s="94" t="s">
        <v>1029</v>
      </c>
      <c r="E7" s="237" t="s">
        <v>1039</v>
      </c>
      <c r="F7" s="235">
        <v>32000</v>
      </c>
      <c r="G7" s="244" t="s">
        <v>1040</v>
      </c>
      <c r="H7" s="102" t="s">
        <v>124</v>
      </c>
      <c r="I7" s="100" t="s">
        <v>856</v>
      </c>
      <c r="J7" s="94" t="s">
        <v>1041</v>
      </c>
    </row>
    <row r="8" spans="2:10" ht="32.1" customHeight="1" x14ac:dyDescent="0.25">
      <c r="B8" s="93" t="s">
        <v>1042</v>
      </c>
      <c r="C8" s="93" t="s">
        <v>1013</v>
      </c>
      <c r="D8" s="93" t="s">
        <v>1043</v>
      </c>
      <c r="E8" s="236" t="s">
        <v>870</v>
      </c>
      <c r="F8" s="235">
        <v>18000</v>
      </c>
      <c r="G8" s="243" t="s">
        <v>1044</v>
      </c>
      <c r="H8" s="102" t="s">
        <v>124</v>
      </c>
      <c r="I8" s="100" t="s">
        <v>856</v>
      </c>
      <c r="J8" s="93" t="s">
        <v>1045</v>
      </c>
    </row>
    <row r="9" spans="2:10" ht="32.1" customHeight="1" x14ac:dyDescent="0.25">
      <c r="B9" s="94" t="s">
        <v>1046</v>
      </c>
      <c r="C9" s="94" t="s">
        <v>1047</v>
      </c>
      <c r="D9" s="94" t="s">
        <v>1048</v>
      </c>
      <c r="E9" s="237" t="s">
        <v>1049</v>
      </c>
      <c r="F9" s="235">
        <v>28000</v>
      </c>
      <c r="G9" s="244" t="s">
        <v>1050</v>
      </c>
      <c r="H9" s="102" t="s">
        <v>124</v>
      </c>
      <c r="I9" s="100" t="s">
        <v>856</v>
      </c>
      <c r="J9" s="94" t="s">
        <v>1051</v>
      </c>
    </row>
    <row r="10" spans="2:10" ht="32.1" customHeight="1" x14ac:dyDescent="0.25">
      <c r="B10" s="93" t="s">
        <v>1052</v>
      </c>
      <c r="C10" s="93" t="s">
        <v>1053</v>
      </c>
      <c r="D10" s="93" t="s">
        <v>1054</v>
      </c>
      <c r="E10" s="236" t="s">
        <v>1055</v>
      </c>
      <c r="F10" s="235">
        <v>15000</v>
      </c>
      <c r="G10" s="243" t="s">
        <v>1056</v>
      </c>
      <c r="H10" s="103" t="s">
        <v>179</v>
      </c>
      <c r="I10" s="100" t="s">
        <v>856</v>
      </c>
      <c r="J10" s="93" t="s">
        <v>1057</v>
      </c>
    </row>
    <row r="11" spans="2:10" ht="32.1" customHeight="1" x14ac:dyDescent="0.25">
      <c r="B11" s="94" t="s">
        <v>1058</v>
      </c>
      <c r="C11" s="94" t="s">
        <v>473</v>
      </c>
      <c r="D11" s="94" t="s">
        <v>1054</v>
      </c>
      <c r="E11" s="237" t="s">
        <v>1059</v>
      </c>
      <c r="F11" s="235">
        <v>9000</v>
      </c>
      <c r="G11" s="244" t="s">
        <v>1060</v>
      </c>
      <c r="H11" s="102" t="s">
        <v>124</v>
      </c>
      <c r="I11" s="100" t="s">
        <v>856</v>
      </c>
      <c r="J11" s="94" t="s">
        <v>1061</v>
      </c>
    </row>
    <row r="13" spans="2:10" ht="15" customHeight="1" x14ac:dyDescent="0.25">
      <c r="B13" s="291" t="s">
        <v>1062</v>
      </c>
      <c r="C13" s="291"/>
      <c r="D13" s="291"/>
      <c r="E13" s="291"/>
      <c r="F13" s="73">
        <f>SUM(F4:F11)</f>
        <v>280000</v>
      </c>
    </row>
    <row r="14" spans="2:10" ht="15" customHeight="1" x14ac:dyDescent="0.25">
      <c r="B14" s="282" t="s">
        <v>880</v>
      </c>
      <c r="C14" s="282"/>
      <c r="D14" s="282"/>
      <c r="E14" s="282"/>
      <c r="F14" s="74">
        <f>COUNTIF(I4:I11,"Pending")</f>
        <v>8</v>
      </c>
    </row>
    <row r="16" spans="2:10" ht="42" customHeight="1" x14ac:dyDescent="0.25">
      <c r="B16" s="104" t="s">
        <v>1063</v>
      </c>
      <c r="C16" s="105" t="s">
        <v>560</v>
      </c>
      <c r="D16" s="105" t="s">
        <v>1064</v>
      </c>
      <c r="E16" s="105" t="s">
        <v>1065</v>
      </c>
      <c r="F16" s="242">
        <v>10000</v>
      </c>
      <c r="G16" s="245" t="s">
        <v>1066</v>
      </c>
      <c r="H16" s="246" t="s">
        <v>124</v>
      </c>
      <c r="I16" s="246" t="s">
        <v>856</v>
      </c>
      <c r="J16" s="105" t="s">
        <v>1067</v>
      </c>
    </row>
    <row r="17" spans="2:10" ht="42" customHeight="1" x14ac:dyDescent="0.25">
      <c r="B17" s="104" t="s">
        <v>1068</v>
      </c>
      <c r="C17" s="105" t="s">
        <v>368</v>
      </c>
      <c r="D17" s="105" t="s">
        <v>1064</v>
      </c>
      <c r="E17" s="105" t="s">
        <v>1069</v>
      </c>
      <c r="F17" s="242">
        <v>38000</v>
      </c>
      <c r="G17" s="245" t="s">
        <v>1070</v>
      </c>
      <c r="H17" s="246" t="s">
        <v>124</v>
      </c>
      <c r="I17" s="246" t="s">
        <v>856</v>
      </c>
      <c r="J17" s="105" t="s">
        <v>1067</v>
      </c>
    </row>
    <row r="18" spans="2:10" ht="42" customHeight="1" x14ac:dyDescent="0.25">
      <c r="B18" s="104" t="s">
        <v>1071</v>
      </c>
      <c r="C18" s="105" t="s">
        <v>560</v>
      </c>
      <c r="D18" s="105" t="s">
        <v>1064</v>
      </c>
      <c r="E18" s="105" t="s">
        <v>1072</v>
      </c>
      <c r="F18" s="242">
        <v>18000</v>
      </c>
      <c r="G18" s="245" t="s">
        <v>1073</v>
      </c>
      <c r="H18" s="246" t="s">
        <v>124</v>
      </c>
      <c r="I18" s="246" t="s">
        <v>856</v>
      </c>
      <c r="J18" s="105" t="s">
        <v>1067</v>
      </c>
    </row>
    <row r="19" spans="2:10" ht="42" customHeight="1" x14ac:dyDescent="0.25">
      <c r="B19" s="104" t="s">
        <v>1074</v>
      </c>
      <c r="C19" s="105" t="s">
        <v>560</v>
      </c>
      <c r="D19" s="105" t="s">
        <v>1064</v>
      </c>
      <c r="E19" s="105" t="s">
        <v>1075</v>
      </c>
      <c r="F19" s="242">
        <v>0</v>
      </c>
      <c r="G19" s="245" t="s">
        <v>1076</v>
      </c>
      <c r="H19" s="246" t="s">
        <v>124</v>
      </c>
      <c r="I19" s="246" t="s">
        <v>856</v>
      </c>
      <c r="J19" s="105" t="s">
        <v>1067</v>
      </c>
    </row>
  </sheetData>
  <mergeCells count="4">
    <mergeCell ref="B1:J1"/>
    <mergeCell ref="B2:J2"/>
    <mergeCell ref="B13:E13"/>
    <mergeCell ref="B14:E14"/>
  </mergeCells>
  <dataValidations count="1">
    <dataValidation type="list" sqref="I4:I11" xr:uid="{00000000-0002-0000-0B00-000000000000}">
      <formula1>"Pending,Owner Confirmed,Allowance Locked,Deleted — Not in Scope"</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23"/>
  <sheetViews>
    <sheetView showGridLines="0" zoomScaleNormal="100" workbookViewId="0">
      <selection activeCell="C4" sqref="C4"/>
    </sheetView>
  </sheetViews>
  <sheetFormatPr defaultColWidth="8.7109375" defaultRowHeight="15" x14ac:dyDescent="0.25"/>
  <cols>
    <col min="1" max="1" width="3" customWidth="1"/>
    <col min="2" max="2" width="17.7109375" customWidth="1"/>
    <col min="3" max="3" width="60.7109375" customWidth="1"/>
    <col min="4" max="4" width="16" customWidth="1"/>
    <col min="5" max="5" width="14.7109375" customWidth="1"/>
    <col min="6" max="6" width="73.7109375" customWidth="1"/>
  </cols>
  <sheetData>
    <row r="1" spans="2:6" ht="50.1" customHeight="1" x14ac:dyDescent="0.25">
      <c r="B1" s="292" t="s">
        <v>1077</v>
      </c>
      <c r="C1" s="292"/>
      <c r="D1" s="292"/>
      <c r="E1" s="292"/>
      <c r="F1" s="292"/>
    </row>
    <row r="2" spans="2:6" ht="30" customHeight="1" x14ac:dyDescent="0.25">
      <c r="B2" s="293" t="s">
        <v>1078</v>
      </c>
      <c r="C2" s="293"/>
      <c r="D2" s="293"/>
      <c r="E2" s="293"/>
      <c r="F2" s="293"/>
    </row>
    <row r="3" spans="2:6" ht="39.950000000000003" customHeight="1" x14ac:dyDescent="0.25">
      <c r="B3" s="106" t="s">
        <v>845</v>
      </c>
      <c r="C3" s="106" t="s">
        <v>1079</v>
      </c>
      <c r="D3" s="106" t="s">
        <v>1080</v>
      </c>
      <c r="E3" s="106" t="s">
        <v>1081</v>
      </c>
      <c r="F3" s="106" t="s">
        <v>1082</v>
      </c>
    </row>
    <row r="4" spans="2:6" ht="19.5" customHeight="1" x14ac:dyDescent="0.25">
      <c r="B4" s="107" t="s">
        <v>1083</v>
      </c>
      <c r="C4" s="93" t="s">
        <v>1084</v>
      </c>
      <c r="D4" s="108" t="s">
        <v>1085</v>
      </c>
      <c r="E4" s="109" t="s">
        <v>1086</v>
      </c>
      <c r="F4" s="96" t="s">
        <v>1087</v>
      </c>
    </row>
    <row r="5" spans="2:6" ht="19.5" customHeight="1" x14ac:dyDescent="0.25">
      <c r="B5" s="110" t="s">
        <v>1083</v>
      </c>
      <c r="C5" s="94" t="s">
        <v>1088</v>
      </c>
      <c r="D5" s="108" t="s">
        <v>1085</v>
      </c>
      <c r="E5" s="109" t="s">
        <v>1086</v>
      </c>
      <c r="F5" s="98" t="s">
        <v>1089</v>
      </c>
    </row>
    <row r="6" spans="2:6" ht="19.5" customHeight="1" x14ac:dyDescent="0.25">
      <c r="B6" s="107" t="s">
        <v>1090</v>
      </c>
      <c r="C6" s="93" t="s">
        <v>1091</v>
      </c>
      <c r="D6" s="111" t="s">
        <v>690</v>
      </c>
      <c r="E6" s="109" t="s">
        <v>1086</v>
      </c>
      <c r="F6" s="96" t="s">
        <v>1092</v>
      </c>
    </row>
    <row r="7" spans="2:6" ht="19.5" customHeight="1" x14ac:dyDescent="0.25">
      <c r="B7" s="110" t="s">
        <v>1090</v>
      </c>
      <c r="C7" s="94" t="s">
        <v>1093</v>
      </c>
      <c r="D7" s="111" t="s">
        <v>690</v>
      </c>
      <c r="E7" s="109" t="s">
        <v>1086</v>
      </c>
      <c r="F7" s="98" t="s">
        <v>1094</v>
      </c>
    </row>
    <row r="8" spans="2:6" ht="19.5" customHeight="1" x14ac:dyDescent="0.25">
      <c r="B8" s="107" t="s">
        <v>1054</v>
      </c>
      <c r="C8" s="93" t="s">
        <v>1095</v>
      </c>
      <c r="D8" s="111" t="s">
        <v>690</v>
      </c>
      <c r="E8" s="112" t="s">
        <v>1096</v>
      </c>
      <c r="F8" s="96" t="s">
        <v>1097</v>
      </c>
    </row>
    <row r="9" spans="2:6" ht="19.5" customHeight="1" x14ac:dyDescent="0.25">
      <c r="B9" s="110" t="s">
        <v>1054</v>
      </c>
      <c r="C9" s="94" t="s">
        <v>1098</v>
      </c>
      <c r="D9" s="113" t="s">
        <v>1099</v>
      </c>
      <c r="E9" s="112" t="s">
        <v>1096</v>
      </c>
      <c r="F9" s="98" t="s">
        <v>1100</v>
      </c>
    </row>
    <row r="10" spans="2:6" ht="19.5" customHeight="1" x14ac:dyDescent="0.25">
      <c r="B10" s="107" t="s">
        <v>1054</v>
      </c>
      <c r="C10" s="93" t="s">
        <v>1101</v>
      </c>
      <c r="D10" s="113" t="s">
        <v>1099</v>
      </c>
      <c r="E10" s="112" t="s">
        <v>1096</v>
      </c>
      <c r="F10" s="96" t="s">
        <v>1102</v>
      </c>
    </row>
    <row r="11" spans="2:6" ht="19.5" customHeight="1" x14ac:dyDescent="0.25">
      <c r="B11" s="110" t="s">
        <v>1103</v>
      </c>
      <c r="C11" s="94" t="s">
        <v>1104</v>
      </c>
      <c r="D11" s="113" t="s">
        <v>1099</v>
      </c>
      <c r="E11" s="109" t="s">
        <v>1086</v>
      </c>
      <c r="F11" s="98" t="s">
        <v>1105</v>
      </c>
    </row>
    <row r="12" spans="2:6" ht="19.5" customHeight="1" x14ac:dyDescent="0.25">
      <c r="B12" s="107" t="s">
        <v>1103</v>
      </c>
      <c r="C12" s="93" t="s">
        <v>1106</v>
      </c>
      <c r="D12" s="113" t="s">
        <v>1099</v>
      </c>
      <c r="E12" s="109" t="s">
        <v>1086</v>
      </c>
      <c r="F12" s="96" t="s">
        <v>1107</v>
      </c>
    </row>
    <row r="13" spans="2:6" ht="19.5" customHeight="1" x14ac:dyDescent="0.25">
      <c r="B13" s="110" t="s">
        <v>1103</v>
      </c>
      <c r="C13" s="94" t="s">
        <v>1108</v>
      </c>
      <c r="D13" s="113" t="s">
        <v>1099</v>
      </c>
      <c r="E13" s="109" t="s">
        <v>1086</v>
      </c>
      <c r="F13" s="98" t="s">
        <v>1109</v>
      </c>
    </row>
    <row r="14" spans="2:6" ht="19.5" customHeight="1" x14ac:dyDescent="0.25">
      <c r="B14" s="107" t="s">
        <v>1110</v>
      </c>
      <c r="C14" s="93" t="s">
        <v>1111</v>
      </c>
      <c r="D14" s="113" t="s">
        <v>1099</v>
      </c>
      <c r="E14" s="112" t="s">
        <v>1096</v>
      </c>
      <c r="F14" s="96" t="s">
        <v>1112</v>
      </c>
    </row>
    <row r="15" spans="2:6" ht="19.5" customHeight="1" x14ac:dyDescent="0.25">
      <c r="B15" s="110" t="s">
        <v>1110</v>
      </c>
      <c r="C15" s="94" t="s">
        <v>1113</v>
      </c>
      <c r="D15" s="113" t="s">
        <v>1099</v>
      </c>
      <c r="E15" s="112" t="s">
        <v>1096</v>
      </c>
      <c r="F15" s="98" t="s">
        <v>1114</v>
      </c>
    </row>
    <row r="16" spans="2:6" ht="19.5" customHeight="1" x14ac:dyDescent="0.25">
      <c r="B16" s="107" t="s">
        <v>1115</v>
      </c>
      <c r="C16" s="93" t="s">
        <v>1116</v>
      </c>
      <c r="D16" s="111" t="s">
        <v>690</v>
      </c>
      <c r="E16" s="114" t="s">
        <v>1117</v>
      </c>
      <c r="F16" s="96" t="s">
        <v>1118</v>
      </c>
    </row>
    <row r="17" spans="2:6" ht="19.5" customHeight="1" x14ac:dyDescent="0.25">
      <c r="B17" s="110" t="s">
        <v>1119</v>
      </c>
      <c r="C17" s="94" t="s">
        <v>1120</v>
      </c>
      <c r="D17" s="113" t="s">
        <v>1099</v>
      </c>
      <c r="E17" s="115" t="s">
        <v>1121</v>
      </c>
      <c r="F17" s="98" t="s">
        <v>1122</v>
      </c>
    </row>
    <row r="18" spans="2:6" ht="19.5" customHeight="1" x14ac:dyDescent="0.25">
      <c r="B18" s="107" t="s">
        <v>1119</v>
      </c>
      <c r="C18" s="93" t="s">
        <v>1123</v>
      </c>
      <c r="D18" s="113" t="s">
        <v>1099</v>
      </c>
      <c r="E18" s="115" t="s">
        <v>1121</v>
      </c>
      <c r="F18" s="96" t="s">
        <v>1124</v>
      </c>
    </row>
    <row r="19" spans="2:6" ht="19.5" customHeight="1" x14ac:dyDescent="0.25">
      <c r="B19" s="110" t="s">
        <v>1119</v>
      </c>
      <c r="C19" s="94" t="s">
        <v>1125</v>
      </c>
      <c r="D19" s="113" t="s">
        <v>1099</v>
      </c>
      <c r="E19" s="112" t="s">
        <v>1096</v>
      </c>
      <c r="F19" s="98" t="s">
        <v>1126</v>
      </c>
    </row>
    <row r="20" spans="2:6" ht="19.5" customHeight="1" x14ac:dyDescent="0.25">
      <c r="B20" s="107" t="s">
        <v>1127</v>
      </c>
      <c r="C20" s="93" t="s">
        <v>1128</v>
      </c>
      <c r="D20" s="113" t="s">
        <v>1099</v>
      </c>
      <c r="E20" s="112" t="s">
        <v>1096</v>
      </c>
      <c r="F20" s="96" t="s">
        <v>1129</v>
      </c>
    </row>
    <row r="21" spans="2:6" ht="19.5" customHeight="1" x14ac:dyDescent="0.25">
      <c r="B21" s="110" t="s">
        <v>1130</v>
      </c>
      <c r="C21" s="94" t="s">
        <v>1131</v>
      </c>
      <c r="D21" s="113" t="s">
        <v>1099</v>
      </c>
      <c r="E21" s="112" t="s">
        <v>1096</v>
      </c>
      <c r="F21" s="98" t="s">
        <v>1132</v>
      </c>
    </row>
    <row r="23" spans="2:6" ht="15" customHeight="1" x14ac:dyDescent="0.25">
      <c r="B23" s="288" t="s">
        <v>1133</v>
      </c>
      <c r="C23" s="288"/>
      <c r="D23" s="288"/>
      <c r="E23" s="288"/>
      <c r="F23" s="288"/>
    </row>
  </sheetData>
  <mergeCells count="3">
    <mergeCell ref="B1:F1"/>
    <mergeCell ref="B2:F2"/>
    <mergeCell ref="B23:F23"/>
  </mergeCells>
  <dataValidations count="2">
    <dataValidation type="list" sqref="E4:E21" xr:uid="{00000000-0002-0000-0C00-000000000000}">
      <formula1>"High,Medium,Low,Information Only"</formula1>
      <formula2>0</formula2>
    </dataValidation>
    <dataValidation type="list" sqref="D4:D21" xr:uid="{00000000-0002-0000-0C00-000001000000}">
      <formula1>"Included,Excluded,Allowance,Pending Scope Clarification"</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91"/>
  <sheetViews>
    <sheetView showGridLines="0" topLeftCell="A74" zoomScaleNormal="100" workbookViewId="0">
      <selection activeCell="K92" sqref="K92"/>
    </sheetView>
  </sheetViews>
  <sheetFormatPr defaultColWidth="8.7109375" defaultRowHeight="15" x14ac:dyDescent="0.25"/>
  <cols>
    <col min="1" max="1" width="3" customWidth="1"/>
    <col min="2" max="2" width="39.7109375" customWidth="1"/>
    <col min="3" max="4" width="16" customWidth="1"/>
    <col min="5" max="7" width="14" customWidth="1"/>
    <col min="8" max="8" width="60.7109375" customWidth="1"/>
  </cols>
  <sheetData>
    <row r="1" spans="2:8" ht="50.1" customHeight="1" x14ac:dyDescent="0.25">
      <c r="B1" s="263" t="s">
        <v>1134</v>
      </c>
      <c r="C1" s="263"/>
      <c r="D1" s="263"/>
      <c r="E1" s="263"/>
      <c r="F1" s="263"/>
      <c r="G1" s="263"/>
      <c r="H1" s="263"/>
    </row>
    <row r="2" spans="2:8" ht="36" customHeight="1" x14ac:dyDescent="0.25">
      <c r="B2" s="307" t="s">
        <v>1135</v>
      </c>
      <c r="C2" s="307"/>
      <c r="D2" s="307"/>
      <c r="E2" s="307"/>
      <c r="F2" s="307"/>
      <c r="G2" s="307"/>
      <c r="H2" s="307"/>
    </row>
    <row r="4" spans="2:8" ht="19.5" customHeight="1" x14ac:dyDescent="0.25">
      <c r="B4" s="264" t="s">
        <v>1136</v>
      </c>
      <c r="C4" s="264"/>
      <c r="D4" s="264"/>
      <c r="E4" s="264"/>
      <c r="F4" s="264"/>
      <c r="G4" s="264"/>
      <c r="H4" s="264"/>
    </row>
    <row r="5" spans="2:8" ht="18" customHeight="1" x14ac:dyDescent="0.25">
      <c r="B5" s="116" t="s">
        <v>1137</v>
      </c>
      <c r="C5" s="21">
        <f>'BID SUMMARY'!C12</f>
        <v>8797915.6362165958</v>
      </c>
      <c r="D5" s="305" t="s">
        <v>1138</v>
      </c>
      <c r="E5" s="305"/>
      <c r="F5" s="305"/>
      <c r="G5" s="305"/>
      <c r="H5" s="305"/>
    </row>
    <row r="6" spans="2:8" ht="18" customHeight="1" x14ac:dyDescent="0.25">
      <c r="B6" s="116" t="s">
        <v>1139</v>
      </c>
      <c r="C6" s="117" t="str">
        <f>ASSUMPTIONS!C6</f>
        <v>Adaptive Reuse</v>
      </c>
      <c r="D6" s="305" t="s">
        <v>1140</v>
      </c>
      <c r="E6" s="305"/>
      <c r="F6" s="305"/>
      <c r="G6" s="305"/>
      <c r="H6" s="305"/>
    </row>
    <row r="7" spans="2:8" ht="18" customHeight="1" x14ac:dyDescent="0.25">
      <c r="B7" s="116" t="s">
        <v>1141</v>
      </c>
      <c r="C7" s="117" t="str">
        <f>ASSUMPTIONS!C5</f>
        <v>ROM / Conceptual</v>
      </c>
      <c r="D7" s="305" t="s">
        <v>64</v>
      </c>
      <c r="E7" s="305"/>
      <c r="F7" s="305"/>
      <c r="G7" s="305"/>
      <c r="H7" s="305"/>
    </row>
    <row r="8" spans="2:8" ht="18" customHeight="1" x14ac:dyDescent="0.25">
      <c r="B8" s="116" t="s">
        <v>1142</v>
      </c>
      <c r="C8" s="118">
        <f>ASSUMPTIONS!C9</f>
        <v>27452</v>
      </c>
      <c r="D8" s="305" t="s">
        <v>1143</v>
      </c>
      <c r="E8" s="305"/>
      <c r="F8" s="305"/>
      <c r="G8" s="305"/>
      <c r="H8" s="305"/>
    </row>
    <row r="10" spans="2:8" ht="19.5" customHeight="1" x14ac:dyDescent="0.25">
      <c r="B10" s="267" t="s">
        <v>1144</v>
      </c>
      <c r="C10" s="267"/>
      <c r="D10" s="267"/>
      <c r="E10" s="267"/>
      <c r="F10" s="267"/>
      <c r="G10" s="267"/>
      <c r="H10" s="267"/>
    </row>
    <row r="11" spans="2:8" ht="31.5" customHeight="1" x14ac:dyDescent="0.25">
      <c r="B11" s="306" t="s">
        <v>1145</v>
      </c>
      <c r="C11" s="306"/>
      <c r="D11" s="306"/>
      <c r="E11" s="306"/>
      <c r="F11" s="306"/>
      <c r="G11" s="306"/>
      <c r="H11" s="306"/>
    </row>
    <row r="13" spans="2:8" ht="20.100000000000001" customHeight="1" x14ac:dyDescent="0.25">
      <c r="B13" s="296" t="s">
        <v>1146</v>
      </c>
      <c r="C13" s="296"/>
      <c r="D13" s="296"/>
      <c r="E13" s="296"/>
      <c r="F13" s="296"/>
      <c r="G13" s="296"/>
      <c r="H13" s="296"/>
    </row>
    <row r="14" spans="2:8" ht="20.100000000000001" customHeight="1" x14ac:dyDescent="0.25">
      <c r="B14" s="119" t="s">
        <v>1147</v>
      </c>
      <c r="C14" s="119"/>
      <c r="D14" s="119" t="s">
        <v>1148</v>
      </c>
      <c r="E14" s="119" t="s">
        <v>1149</v>
      </c>
      <c r="F14" s="119" t="s">
        <v>1150</v>
      </c>
      <c r="G14" s="119" t="s">
        <v>1151</v>
      </c>
      <c r="H14" s="119" t="s">
        <v>1152</v>
      </c>
    </row>
    <row r="15" spans="2:8" ht="20.100000000000001" customHeight="1" x14ac:dyDescent="0.25">
      <c r="B15" s="303" t="s">
        <v>1153</v>
      </c>
      <c r="C15" s="303"/>
      <c r="D15" s="120">
        <v>8.8999999999999996E-2</v>
      </c>
      <c r="E15" s="120">
        <v>9.9000000000000005E-2</v>
      </c>
      <c r="F15" s="120">
        <v>0.109</v>
      </c>
      <c r="G15" s="120">
        <v>0.11700000000000001</v>
      </c>
      <c r="H15" s="120">
        <v>0.12</v>
      </c>
    </row>
    <row r="16" spans="2:8" ht="20.100000000000001" customHeight="1" x14ac:dyDescent="0.25">
      <c r="B16" s="302" t="s">
        <v>1154</v>
      </c>
      <c r="C16" s="302"/>
      <c r="D16" s="121">
        <v>8.4000000000000005E-2</v>
      </c>
      <c r="E16" s="121">
        <v>9.4E-2</v>
      </c>
      <c r="F16" s="121">
        <v>0.107</v>
      </c>
      <c r="G16" s="121">
        <v>0.111</v>
      </c>
      <c r="H16" s="121">
        <v>0.11899999999999999</v>
      </c>
    </row>
    <row r="17" spans="2:8" ht="20.100000000000001" customHeight="1" x14ac:dyDescent="0.25">
      <c r="B17" s="303" t="s">
        <v>1155</v>
      </c>
      <c r="C17" s="303"/>
      <c r="D17" s="120">
        <v>8.1000000000000003E-2</v>
      </c>
      <c r="E17" s="120">
        <v>9.0999999999999998E-2</v>
      </c>
      <c r="F17" s="120">
        <v>0.104</v>
      </c>
      <c r="G17" s="120">
        <v>0.109</v>
      </c>
      <c r="H17" s="120">
        <v>0.115</v>
      </c>
    </row>
    <row r="18" spans="2:8" ht="20.100000000000001" customHeight="1" x14ac:dyDescent="0.25">
      <c r="B18" s="302" t="s">
        <v>1156</v>
      </c>
      <c r="C18" s="302"/>
      <c r="D18" s="121">
        <v>7.9000000000000001E-2</v>
      </c>
      <c r="E18" s="121">
        <v>8.8999999999999996E-2</v>
      </c>
      <c r="F18" s="121">
        <v>0.10100000000000001</v>
      </c>
      <c r="G18" s="121">
        <v>0.105</v>
      </c>
      <c r="H18" s="121">
        <v>0.112</v>
      </c>
    </row>
    <row r="19" spans="2:8" ht="20.100000000000001" customHeight="1" x14ac:dyDescent="0.25">
      <c r="B19" s="303" t="s">
        <v>1157</v>
      </c>
      <c r="C19" s="303"/>
      <c r="D19" s="120">
        <v>7.3999999999999996E-2</v>
      </c>
      <c r="E19" s="120">
        <v>8.4000000000000005E-2</v>
      </c>
      <c r="F19" s="120">
        <v>9.9000000000000005E-2</v>
      </c>
      <c r="G19" s="120">
        <v>0.10299999999999999</v>
      </c>
      <c r="H19" s="120">
        <v>0.11</v>
      </c>
    </row>
    <row r="20" spans="2:8" ht="20.100000000000001" customHeight="1" x14ac:dyDescent="0.25">
      <c r="B20" s="302" t="s">
        <v>1158</v>
      </c>
      <c r="C20" s="302"/>
      <c r="D20" s="121">
        <v>7.1999999999999995E-2</v>
      </c>
      <c r="E20" s="121">
        <v>8.2000000000000003E-2</v>
      </c>
      <c r="F20" s="121">
        <v>9.4E-2</v>
      </c>
      <c r="G20" s="121">
        <v>0.1</v>
      </c>
      <c r="H20" s="121">
        <v>0.107</v>
      </c>
    </row>
    <row r="21" spans="2:8" ht="20.100000000000001" customHeight="1" x14ac:dyDescent="0.25">
      <c r="B21" s="303" t="s">
        <v>1159</v>
      </c>
      <c r="C21" s="303"/>
      <c r="D21" s="120">
        <v>6.9000000000000006E-2</v>
      </c>
      <c r="E21" s="120">
        <v>7.9000000000000001E-2</v>
      </c>
      <c r="F21" s="120">
        <v>9.0999999999999998E-2</v>
      </c>
      <c r="G21" s="120">
        <v>9.7000000000000003E-2</v>
      </c>
      <c r="H21" s="120">
        <v>0.104</v>
      </c>
    </row>
    <row r="22" spans="2:8" ht="20.100000000000001" customHeight="1" x14ac:dyDescent="0.25">
      <c r="B22" s="302" t="s">
        <v>1160</v>
      </c>
      <c r="C22" s="302"/>
      <c r="D22" s="121">
        <v>6.7000000000000004E-2</v>
      </c>
      <c r="E22" s="121">
        <v>7.6999999999999999E-2</v>
      </c>
      <c r="F22" s="121">
        <v>8.8999999999999996E-2</v>
      </c>
      <c r="G22" s="121">
        <v>9.4E-2</v>
      </c>
      <c r="H22" s="121">
        <v>0.10100000000000001</v>
      </c>
    </row>
    <row r="23" spans="2:8" ht="20.100000000000001" customHeight="1" x14ac:dyDescent="0.25">
      <c r="B23" s="303" t="s">
        <v>1161</v>
      </c>
      <c r="C23" s="303"/>
      <c r="D23" s="120">
        <v>6.4000000000000001E-2</v>
      </c>
      <c r="E23" s="120">
        <v>7.3999999999999996E-2</v>
      </c>
      <c r="F23" s="120">
        <v>8.4000000000000005E-2</v>
      </c>
      <c r="G23" s="120">
        <v>9.0999999999999998E-2</v>
      </c>
      <c r="H23" s="120">
        <v>9.8000000000000004E-2</v>
      </c>
    </row>
    <row r="24" spans="2:8" ht="20.100000000000001" customHeight="1" x14ac:dyDescent="0.25">
      <c r="B24" s="302" t="s">
        <v>1162</v>
      </c>
      <c r="C24" s="302"/>
      <c r="D24" s="121">
        <v>6.2E-2</v>
      </c>
      <c r="E24" s="121">
        <v>7.1999999999999995E-2</v>
      </c>
      <c r="F24" s="121">
        <v>8.2000000000000003E-2</v>
      </c>
      <c r="G24" s="121">
        <v>8.7999999999999995E-2</v>
      </c>
      <c r="H24" s="121">
        <v>9.5000000000000001E-2</v>
      </c>
    </row>
    <row r="25" spans="2:8" ht="20.100000000000001" customHeight="1" x14ac:dyDescent="0.25">
      <c r="B25" s="303" t="s">
        <v>1163</v>
      </c>
      <c r="C25" s="303"/>
      <c r="D25" s="120">
        <v>5.8999999999999997E-2</v>
      </c>
      <c r="E25" s="120">
        <v>6.9000000000000006E-2</v>
      </c>
      <c r="F25" s="120">
        <v>7.9000000000000001E-2</v>
      </c>
      <c r="G25" s="120">
        <v>8.5000000000000006E-2</v>
      </c>
      <c r="H25" s="120">
        <v>9.1999999999999998E-2</v>
      </c>
    </row>
    <row r="26" spans="2:8" ht="20.100000000000001" customHeight="1" x14ac:dyDescent="0.25">
      <c r="B26" s="302" t="s">
        <v>1164</v>
      </c>
      <c r="C26" s="302"/>
      <c r="D26" s="121">
        <v>5.7000000000000002E-2</v>
      </c>
      <c r="E26" s="121">
        <v>6.7000000000000004E-2</v>
      </c>
      <c r="F26" s="121">
        <v>7.6999999999999999E-2</v>
      </c>
      <c r="G26" s="121">
        <v>8.3000000000000004E-2</v>
      </c>
      <c r="H26" s="121">
        <v>0.09</v>
      </c>
    </row>
    <row r="27" spans="2:8" ht="20.100000000000001" customHeight="1" x14ac:dyDescent="0.25">
      <c r="B27" s="303" t="s">
        <v>1165</v>
      </c>
      <c r="C27" s="303"/>
      <c r="D27" s="120">
        <v>5.3999999999999999E-2</v>
      </c>
      <c r="E27" s="120">
        <v>6.4000000000000001E-2</v>
      </c>
      <c r="F27" s="120">
        <v>7.3999999999999996E-2</v>
      </c>
      <c r="G27" s="120">
        <v>8.1000000000000003E-2</v>
      </c>
      <c r="H27" s="120">
        <v>8.7999999999999995E-2</v>
      </c>
    </row>
    <row r="28" spans="2:8" ht="20.100000000000001" customHeight="1" x14ac:dyDescent="0.25">
      <c r="B28" s="302" t="s">
        <v>1166</v>
      </c>
      <c r="C28" s="302"/>
      <c r="D28" s="121">
        <v>5.1999999999999998E-2</v>
      </c>
      <c r="E28" s="121">
        <v>6.2E-2</v>
      </c>
      <c r="F28" s="121">
        <v>7.1999999999999995E-2</v>
      </c>
      <c r="G28" s="121">
        <v>7.9000000000000001E-2</v>
      </c>
      <c r="H28" s="121">
        <v>8.5999999999999993E-2</v>
      </c>
    </row>
    <row r="29" spans="2:8" ht="20.100000000000001" customHeight="1" x14ac:dyDescent="0.25">
      <c r="B29" s="303" t="s">
        <v>1167</v>
      </c>
      <c r="C29" s="303"/>
      <c r="D29" s="120">
        <v>4.9000000000000002E-2</v>
      </c>
      <c r="E29" s="120">
        <v>5.8999999999999997E-2</v>
      </c>
      <c r="F29" s="120">
        <v>7.0999999999999994E-2</v>
      </c>
      <c r="G29" s="120">
        <v>7.6999999999999999E-2</v>
      </c>
      <c r="H29" s="120">
        <v>8.4000000000000005E-2</v>
      </c>
    </row>
    <row r="30" spans="2:8" ht="20.100000000000001" customHeight="1" x14ac:dyDescent="0.25">
      <c r="B30" s="302" t="s">
        <v>1168</v>
      </c>
      <c r="C30" s="302"/>
      <c r="D30" s="121">
        <v>4.7E-2</v>
      </c>
      <c r="E30" s="121">
        <v>5.7000000000000002E-2</v>
      </c>
      <c r="F30" s="121">
        <v>6.9000000000000006E-2</v>
      </c>
      <c r="G30" s="121">
        <v>7.0999999999999994E-2</v>
      </c>
      <c r="H30" s="121">
        <v>7.5999999999999998E-2</v>
      </c>
    </row>
    <row r="31" spans="2:8" ht="20.100000000000001" customHeight="1" x14ac:dyDescent="0.25">
      <c r="B31" s="303" t="s">
        <v>1169</v>
      </c>
      <c r="C31" s="303"/>
      <c r="D31" s="120">
        <v>4.3999999999999997E-2</v>
      </c>
      <c r="E31" s="120">
        <v>5.3999999999999999E-2</v>
      </c>
      <c r="F31" s="120">
        <v>6.7000000000000004E-2</v>
      </c>
      <c r="G31" s="120">
        <v>6.9000000000000006E-2</v>
      </c>
      <c r="H31" s="120">
        <v>7.3999999999999996E-2</v>
      </c>
    </row>
    <row r="32" spans="2:8" ht="20.100000000000001" customHeight="1" x14ac:dyDescent="0.25">
      <c r="B32" s="302" t="s">
        <v>1170</v>
      </c>
      <c r="C32" s="302"/>
      <c r="D32" s="121">
        <v>4.2000000000000003E-2</v>
      </c>
      <c r="E32" s="121">
        <v>5.1999999999999998E-2</v>
      </c>
      <c r="F32" s="121">
        <v>6.4000000000000001E-2</v>
      </c>
      <c r="G32" s="121">
        <v>6.7000000000000004E-2</v>
      </c>
      <c r="H32" s="121">
        <v>7.1999999999999995E-2</v>
      </c>
    </row>
    <row r="33" spans="2:8" ht="20.100000000000001" customHeight="1" x14ac:dyDescent="0.25">
      <c r="B33" s="304" t="s">
        <v>1171</v>
      </c>
      <c r="C33" s="304"/>
      <c r="D33" s="122">
        <v>5.0000000000000001E-3</v>
      </c>
      <c r="E33" s="122">
        <v>6.4999999999999997E-3</v>
      </c>
      <c r="F33" s="122">
        <v>7.4999999999999997E-3</v>
      </c>
      <c r="G33" s="122">
        <v>8.5000000000000006E-3</v>
      </c>
      <c r="H33" s="122">
        <v>0.01</v>
      </c>
    </row>
    <row r="35" spans="2:8" ht="19.5" customHeight="1" x14ac:dyDescent="0.25">
      <c r="B35" s="296" t="s">
        <v>1172</v>
      </c>
      <c r="C35" s="296"/>
      <c r="D35" s="296"/>
      <c r="E35" s="296"/>
      <c r="F35" s="296"/>
      <c r="G35" s="296"/>
      <c r="H35" s="296"/>
    </row>
    <row r="36" spans="2:8" ht="15.75" customHeight="1" x14ac:dyDescent="0.25">
      <c r="B36" s="123" t="s">
        <v>1148</v>
      </c>
      <c r="C36" s="300" t="s">
        <v>1173</v>
      </c>
      <c r="D36" s="300"/>
      <c r="E36" s="300"/>
      <c r="F36" s="300"/>
      <c r="G36" s="300"/>
      <c r="H36" s="300"/>
    </row>
    <row r="37" spans="2:8" ht="15.75" customHeight="1" x14ac:dyDescent="0.25">
      <c r="B37" s="124" t="s">
        <v>1149</v>
      </c>
      <c r="C37" s="301" t="s">
        <v>1174</v>
      </c>
      <c r="D37" s="301"/>
      <c r="E37" s="301"/>
      <c r="F37" s="301"/>
      <c r="G37" s="301"/>
      <c r="H37" s="301"/>
    </row>
    <row r="38" spans="2:8" ht="15.75" customHeight="1" x14ac:dyDescent="0.25">
      <c r="B38" s="123" t="s">
        <v>1150</v>
      </c>
      <c r="C38" s="300" t="s">
        <v>1175</v>
      </c>
      <c r="D38" s="300"/>
      <c r="E38" s="300"/>
      <c r="F38" s="300"/>
      <c r="G38" s="300"/>
      <c r="H38" s="300"/>
    </row>
    <row r="39" spans="2:8" ht="15.75" customHeight="1" x14ac:dyDescent="0.25">
      <c r="B39" s="124" t="s">
        <v>1151</v>
      </c>
      <c r="C39" s="301" t="s">
        <v>1176</v>
      </c>
      <c r="D39" s="301"/>
      <c r="E39" s="301"/>
      <c r="F39" s="301"/>
      <c r="G39" s="301"/>
      <c r="H39" s="301"/>
    </row>
    <row r="40" spans="2:8" ht="15.75" customHeight="1" x14ac:dyDescent="0.25">
      <c r="B40" s="123" t="s">
        <v>1152</v>
      </c>
      <c r="C40" s="300" t="s">
        <v>1177</v>
      </c>
      <c r="D40" s="300"/>
      <c r="E40" s="300"/>
      <c r="F40" s="300"/>
      <c r="G40" s="300"/>
      <c r="H40" s="300"/>
    </row>
    <row r="41" spans="2:8" ht="15.75" customHeight="1" x14ac:dyDescent="0.25">
      <c r="B41" s="125" t="s">
        <v>1178</v>
      </c>
      <c r="C41" s="297" t="s">
        <v>1179</v>
      </c>
      <c r="D41" s="297"/>
      <c r="E41" s="297"/>
      <c r="F41" s="297"/>
      <c r="G41" s="297"/>
      <c r="H41" s="297"/>
    </row>
    <row r="44" spans="2:8" ht="19.5" customHeight="1" x14ac:dyDescent="0.25">
      <c r="B44" s="265" t="s">
        <v>1180</v>
      </c>
      <c r="C44" s="265"/>
      <c r="D44" s="265"/>
      <c r="E44" s="265"/>
      <c r="F44" s="265"/>
      <c r="G44" s="265"/>
      <c r="H44" s="265"/>
    </row>
    <row r="45" spans="2:8" ht="30" customHeight="1" x14ac:dyDescent="0.25">
      <c r="B45" s="126" t="s">
        <v>1181</v>
      </c>
      <c r="C45" s="126" t="s">
        <v>1182</v>
      </c>
      <c r="D45" s="126" t="s">
        <v>1183</v>
      </c>
      <c r="E45" s="126" t="s">
        <v>1184</v>
      </c>
      <c r="F45" s="126" t="s">
        <v>1185</v>
      </c>
      <c r="G45" s="126" t="s">
        <v>1186</v>
      </c>
      <c r="H45" s="126" t="s">
        <v>1187</v>
      </c>
    </row>
    <row r="46" spans="2:8" ht="18" customHeight="1" x14ac:dyDescent="0.25">
      <c r="B46" s="298" t="s">
        <v>1188</v>
      </c>
      <c r="C46" s="298"/>
      <c r="D46" s="298"/>
      <c r="E46" s="298"/>
      <c r="F46" s="298"/>
      <c r="G46" s="298"/>
      <c r="H46" s="298"/>
    </row>
    <row r="47" spans="2:8" ht="32.1" customHeight="1" x14ac:dyDescent="0.25">
      <c r="B47" s="127" t="s">
        <v>1189</v>
      </c>
      <c r="C47" s="128" t="s">
        <v>121</v>
      </c>
      <c r="D47" s="294" t="s">
        <v>1190</v>
      </c>
      <c r="E47" s="294"/>
      <c r="F47" s="294"/>
      <c r="G47" s="294"/>
      <c r="H47" s="294"/>
    </row>
    <row r="48" spans="2:8" ht="32.1" customHeight="1" x14ac:dyDescent="0.25">
      <c r="B48" s="127" t="s">
        <v>1191</v>
      </c>
      <c r="C48" s="108" t="s">
        <v>124</v>
      </c>
      <c r="D48" s="299" t="s">
        <v>1192</v>
      </c>
      <c r="E48" s="299"/>
      <c r="F48" s="299"/>
      <c r="G48" s="299"/>
      <c r="H48" s="299"/>
    </row>
    <row r="50" spans="2:8" ht="19.5" customHeight="1" x14ac:dyDescent="0.25">
      <c r="B50" s="265" t="s">
        <v>1193</v>
      </c>
      <c r="C50" s="265"/>
      <c r="D50" s="265"/>
      <c r="E50" s="265"/>
      <c r="F50" s="265"/>
      <c r="G50" s="265"/>
      <c r="H50" s="265"/>
    </row>
    <row r="51" spans="2:8" ht="27.75" customHeight="1" x14ac:dyDescent="0.25">
      <c r="B51" s="129" t="s">
        <v>1181</v>
      </c>
      <c r="C51" s="126" t="s">
        <v>1194</v>
      </c>
      <c r="D51" s="126" t="s">
        <v>1195</v>
      </c>
      <c r="E51" s="130" t="s">
        <v>1196</v>
      </c>
      <c r="F51" s="126" t="s">
        <v>1197</v>
      </c>
      <c r="G51" s="126" t="s">
        <v>1198</v>
      </c>
      <c r="H51" s="126" t="s">
        <v>1199</v>
      </c>
    </row>
    <row r="52" spans="2:8" ht="32.1" customHeight="1" x14ac:dyDescent="0.25">
      <c r="B52" s="33" t="s">
        <v>1200</v>
      </c>
      <c r="C52" s="131">
        <f>IFERROR(IF(C47="A",IF(C5&lt;50000,D15,IF(C5&lt;100000,D16,IF(C5&lt;150000,D17,IF(C5&lt;200000,D18,IF(C5&lt;300000,D19,IF(C5&lt;500000,D20,IF(C5&lt;750000,D21,IF(C5&lt;1000000,D22,IF(C5&lt;1500000,D23,IF(C5&lt;2000000,D24,IF(C5&lt;3000000,D25,IF(C5&lt;4000000,D26,IF(C5&lt;5000000,D27,IF(C5&lt;8000000,D28,IF(C5&lt;12000000,D29,IF(C5&lt;15000000,D30,IF(C5&lt;20000000,D31,D32))))))))))))))))),IF(C47="B",IF(C5&lt;50000,E15,IF(C5&lt;100000,E16,IF(C5&lt;150000,E17,IF(C5&lt;200000,E18,IF(C5&lt;300000,E19,IF(C5&lt;500000,E20,IF(C5&lt;750000,E21,IF(C5&lt;1000000,E22,IF(C5&lt;1500000,E23,IF(C5&lt;2000000,E24,IF(C5&lt;3000000,E25,IF(C5&lt;4000000,E26,IF(C5&lt;5000000,E27,IF(C5&lt;8000000,E28,IF(C5&lt;12000000,E29,IF(C5&lt;15000000,E30,IF(C5&lt;20000000,E31,E32))))))))))))))))),IF(C47="C",IF(C5&lt;50000,F15,IF(C5&lt;100000,F16,IF(C5&lt;150000,F17,IF(C5&lt;200000,F18,IF(C5&lt;300000,F19,IF(C5&lt;500000,F20,IF(C5&lt;750000,F21,IF(C5&lt;1000000,F22,IF(C5&lt;1500000,F23,IF(C5&lt;2000000,F24,IF(C5&lt;3000000,F25,IF(C5&lt;4000000,F26,IF(C5&lt;5000000,F27,IF(C5&lt;8000000,F28,IF(C5&lt;12000000,F29,IF(C5&lt;15000000,F30,IF(C5&lt;20000000,F31,F32))))))))))))))))),IF(C47="D",IF(C5&lt;50000,G15,IF(C5&lt;100000,G16,IF(C5&lt;150000,G17,IF(C5&lt;200000,G18,IF(C5&lt;300000,G19,IF(C5&lt;500000,G20,IF(C5&lt;750000,G21,IF(C5&lt;1000000,G22,IF(C5&lt;1500000,G23,IF(C5&lt;2000000,G24,IF(C5&lt;3000000,G25,IF(C5&lt;4000000,G26,IF(C5&lt;5000000,G27,IF(C5&lt;8000000,G28,IF(C5&lt;12000000,G29,IF(C5&lt;15000000,G30,IF(C5&lt;20000000,G31,G32))))))))))))))))),IF(C47="E",IF(C5&lt;50000,H15,IF(C5&lt;100000,H16,IF(C5&lt;150000,H17,IF(C5&lt;200000,H18,IF(C5&lt;300000,H19,IF(C5&lt;500000,H20,IF(C5&lt;750000,H21,IF(C5&lt;1000000,H22,IF(C5&lt;1500000,H23,IF(C5&lt;2000000,H24,IF(C5&lt;3000000,H25,IF(C5&lt;4000000,H26,IF(C5&lt;5000000,H27,IF(C5&lt;8000000,H28,IF(C5&lt;12000000,H29,IF(C5&lt;15000000,H30,IF(C5&lt;20000000,H31,H32))))))))))))))))),0))))),0)</f>
        <v>7.0999999999999994E-2</v>
      </c>
      <c r="D52" s="68">
        <f>C5*C52</f>
        <v>624652.01017137826</v>
      </c>
      <c r="E52" s="97"/>
      <c r="F52" s="132">
        <f>IF(AND(E52&lt;&gt;"",E52&lt;&gt;0),E52,D52)</f>
        <v>624652.01017137826</v>
      </c>
      <c r="G52" s="108" t="s">
        <v>124</v>
      </c>
      <c r="H52" s="133" t="s">
        <v>1201</v>
      </c>
    </row>
    <row r="53" spans="2:8" ht="32.1" customHeight="1" x14ac:dyDescent="0.25">
      <c r="B53" s="71" t="s">
        <v>1202</v>
      </c>
      <c r="C53" s="131">
        <f>IF(C48="Yes",IF(C47="A",D33,IF(C47="B",E33,IF(C47="C",F33,IF(C47="D",G33,IF(C47="E",H33,0))))),0)</f>
        <v>7.4999999999999997E-3</v>
      </c>
      <c r="D53" s="68">
        <f>C5*C53</f>
        <v>65984.367271624462</v>
      </c>
      <c r="E53" s="97"/>
      <c r="F53" s="68">
        <f>IF(AND(E53&lt;&gt;"",E53&lt;&gt;0),E53,D53)</f>
        <v>65984.367271624462</v>
      </c>
      <c r="G53" s="108" t="s">
        <v>124</v>
      </c>
      <c r="H53" s="134" t="s">
        <v>1203</v>
      </c>
    </row>
    <row r="54" spans="2:8" ht="21.75" customHeight="1" x14ac:dyDescent="0.25">
      <c r="B54" s="135" t="s">
        <v>1204</v>
      </c>
      <c r="C54" s="136">
        <f>C52+C53</f>
        <v>7.8499999999999986E-2</v>
      </c>
      <c r="D54" s="137"/>
      <c r="E54" s="137"/>
      <c r="F54" s="138">
        <f>F52+F53</f>
        <v>690636.37744300277</v>
      </c>
      <c r="G54" s="137"/>
      <c r="H54" s="137"/>
    </row>
    <row r="56" spans="2:8" ht="19.5" customHeight="1" x14ac:dyDescent="0.25">
      <c r="B56" s="264" t="s">
        <v>1205</v>
      </c>
      <c r="C56" s="264"/>
      <c r="D56" s="264"/>
      <c r="E56" s="264"/>
      <c r="F56" s="264"/>
      <c r="G56" s="264"/>
      <c r="H56" s="264"/>
    </row>
    <row r="57" spans="2:8" ht="32.1" customHeight="1" x14ac:dyDescent="0.25">
      <c r="B57" s="71" t="s">
        <v>1206</v>
      </c>
      <c r="C57" s="139">
        <v>1.4999999999999999E-2</v>
      </c>
      <c r="D57" s="68">
        <f>C5*C57</f>
        <v>131968.73454324892</v>
      </c>
      <c r="E57" s="97"/>
      <c r="F57" s="68">
        <f t="shared" ref="F57:F65" si="0">IF(AND(E57&lt;&gt;"",E57&lt;&gt;0),E57,D57)</f>
        <v>131968.73454324892</v>
      </c>
      <c r="G57" s="108" t="s">
        <v>124</v>
      </c>
      <c r="H57" s="134" t="s">
        <v>1207</v>
      </c>
    </row>
    <row r="58" spans="2:8" ht="32.1" customHeight="1" x14ac:dyDescent="0.25">
      <c r="B58" s="33" t="s">
        <v>1208</v>
      </c>
      <c r="C58" s="139">
        <v>1.7999999999999999E-2</v>
      </c>
      <c r="D58" s="68">
        <f>C5*C58</f>
        <v>158362.48145189873</v>
      </c>
      <c r="E58" s="97"/>
      <c r="F58" s="132">
        <f t="shared" si="0"/>
        <v>158362.48145189873</v>
      </c>
      <c r="G58" s="108" t="s">
        <v>124</v>
      </c>
      <c r="H58" s="133" t="s">
        <v>1209</v>
      </c>
    </row>
    <row r="59" spans="2:8" ht="32.1" customHeight="1" x14ac:dyDescent="0.25">
      <c r="B59" s="71" t="s">
        <v>1210</v>
      </c>
      <c r="C59" s="139">
        <v>1.4999999999999999E-2</v>
      </c>
      <c r="D59" s="68">
        <f>C5*C59</f>
        <v>131968.73454324892</v>
      </c>
      <c r="E59" s="97"/>
      <c r="F59" s="68">
        <f t="shared" si="0"/>
        <v>131968.73454324892</v>
      </c>
      <c r="G59" s="108" t="s">
        <v>124</v>
      </c>
      <c r="H59" s="134" t="s">
        <v>1211</v>
      </c>
    </row>
    <row r="60" spans="2:8" ht="32.1" customHeight="1" x14ac:dyDescent="0.25">
      <c r="B60" s="33" t="s">
        <v>1212</v>
      </c>
      <c r="C60" s="139">
        <v>0.01</v>
      </c>
      <c r="D60" s="68">
        <f>C5*C60</f>
        <v>87979.156362165959</v>
      </c>
      <c r="E60" s="97"/>
      <c r="F60" s="132">
        <f t="shared" si="0"/>
        <v>87979.156362165959</v>
      </c>
      <c r="G60" s="108" t="s">
        <v>124</v>
      </c>
      <c r="H60" s="133" t="s">
        <v>1213</v>
      </c>
    </row>
    <row r="61" spans="2:8" ht="32.1" customHeight="1" x14ac:dyDescent="0.25">
      <c r="B61" s="71" t="s">
        <v>1214</v>
      </c>
      <c r="C61" s="139">
        <v>8.0000000000000002E-3</v>
      </c>
      <c r="D61" s="68">
        <f>C5*C61</f>
        <v>70383.325089732767</v>
      </c>
      <c r="E61" s="97"/>
      <c r="F61" s="68">
        <f t="shared" si="0"/>
        <v>70383.325089732767</v>
      </c>
      <c r="G61" s="108" t="s">
        <v>124</v>
      </c>
      <c r="H61" s="134" t="s">
        <v>1215</v>
      </c>
    </row>
    <row r="62" spans="2:8" ht="32.1" customHeight="1" x14ac:dyDescent="0.25">
      <c r="B62" s="33" t="s">
        <v>1216</v>
      </c>
      <c r="C62" s="139">
        <v>1.2E-2</v>
      </c>
      <c r="D62" s="68">
        <f>C5*C62</f>
        <v>105574.98763459915</v>
      </c>
      <c r="E62" s="97"/>
      <c r="F62" s="132">
        <f t="shared" si="0"/>
        <v>105574.98763459915</v>
      </c>
      <c r="G62" s="108" t="s">
        <v>124</v>
      </c>
      <c r="H62" s="133" t="s">
        <v>1217</v>
      </c>
    </row>
    <row r="63" spans="2:8" ht="32.1" customHeight="1" x14ac:dyDescent="0.25">
      <c r="B63" s="71" t="s">
        <v>1218</v>
      </c>
      <c r="C63" s="139">
        <v>5.0000000000000001E-3</v>
      </c>
      <c r="D63" s="68">
        <f>C5*C63</f>
        <v>43989.578181082979</v>
      </c>
      <c r="E63" s="97"/>
      <c r="F63" s="68">
        <f t="shared" si="0"/>
        <v>43989.578181082979</v>
      </c>
      <c r="G63" s="108" t="s">
        <v>124</v>
      </c>
      <c r="H63" s="134" t="s">
        <v>1219</v>
      </c>
    </row>
    <row r="64" spans="2:8" ht="32.1" customHeight="1" x14ac:dyDescent="0.25">
      <c r="B64" s="33" t="s">
        <v>1220</v>
      </c>
      <c r="C64" s="139">
        <v>5.0000000000000001E-3</v>
      </c>
      <c r="D64" s="68">
        <f>C5*C64</f>
        <v>43989.578181082979</v>
      </c>
      <c r="E64" s="97"/>
      <c r="F64" s="132">
        <f t="shared" si="0"/>
        <v>43989.578181082979</v>
      </c>
      <c r="G64" s="108" t="s">
        <v>124</v>
      </c>
      <c r="H64" s="133" t="s">
        <v>1221</v>
      </c>
    </row>
    <row r="65" spans="2:8" ht="32.1" customHeight="1" x14ac:dyDescent="0.25">
      <c r="B65" s="71" t="s">
        <v>1222</v>
      </c>
      <c r="C65" s="139">
        <v>5.0000000000000001E-3</v>
      </c>
      <c r="D65" s="68">
        <f>C5*C65</f>
        <v>43989.578181082979</v>
      </c>
      <c r="E65" s="97"/>
      <c r="F65" s="68">
        <f t="shared" si="0"/>
        <v>43989.578181082979</v>
      </c>
      <c r="G65" s="108" t="s">
        <v>124</v>
      </c>
      <c r="H65" s="134" t="s">
        <v>1223</v>
      </c>
    </row>
    <row r="67" spans="2:8" ht="19.5" customHeight="1" x14ac:dyDescent="0.25">
      <c r="B67" s="295" t="s">
        <v>1224</v>
      </c>
      <c r="C67" s="295"/>
      <c r="D67" s="295"/>
      <c r="E67" s="295"/>
      <c r="F67" s="295"/>
      <c r="G67" s="295"/>
      <c r="H67" s="295"/>
    </row>
    <row r="68" spans="2:8" ht="32.1" customHeight="1" x14ac:dyDescent="0.25">
      <c r="B68" s="33" t="s">
        <v>1225</v>
      </c>
      <c r="C68" s="139">
        <v>5.0000000000000001E-3</v>
      </c>
      <c r="D68" s="68">
        <f>C5*C68</f>
        <v>43989.578181082979</v>
      </c>
      <c r="E68" s="97"/>
      <c r="F68" s="132">
        <f t="shared" ref="F68:F80" si="1">IF(AND(E68&lt;&gt;"",E68&lt;&gt;0),E68,D68)</f>
        <v>43989.578181082979</v>
      </c>
      <c r="G68" s="108" t="s">
        <v>124</v>
      </c>
      <c r="H68" s="133" t="s">
        <v>1226</v>
      </c>
    </row>
    <row r="69" spans="2:8" ht="32.1" customHeight="1" x14ac:dyDescent="0.25">
      <c r="B69" s="71" t="s">
        <v>1227</v>
      </c>
      <c r="C69" s="139">
        <v>4.0000000000000001E-3</v>
      </c>
      <c r="D69" s="68">
        <f>C5*C69</f>
        <v>35191.662544866384</v>
      </c>
      <c r="E69" s="97"/>
      <c r="F69" s="68">
        <f t="shared" si="1"/>
        <v>35191.662544866384</v>
      </c>
      <c r="G69" s="108" t="s">
        <v>124</v>
      </c>
      <c r="H69" s="134" t="s">
        <v>1228</v>
      </c>
    </row>
    <row r="70" spans="2:8" ht="32.1" customHeight="1" x14ac:dyDescent="0.25">
      <c r="B70" s="33" t="s">
        <v>1229</v>
      </c>
      <c r="C70" s="139">
        <v>0</v>
      </c>
      <c r="D70" s="68">
        <f>C5*C70</f>
        <v>0</v>
      </c>
      <c r="E70" s="97"/>
      <c r="F70" s="132">
        <f t="shared" si="1"/>
        <v>0</v>
      </c>
      <c r="G70" s="108" t="s">
        <v>124</v>
      </c>
      <c r="H70" s="133" t="s">
        <v>1230</v>
      </c>
    </row>
    <row r="71" spans="2:8" ht="32.1" customHeight="1" x14ac:dyDescent="0.25">
      <c r="B71" s="71" t="s">
        <v>1231</v>
      </c>
      <c r="C71" s="139">
        <v>0</v>
      </c>
      <c r="D71" s="68">
        <f>C5*C71</f>
        <v>0</v>
      </c>
      <c r="E71" s="97"/>
      <c r="F71" s="68">
        <f t="shared" si="1"/>
        <v>0</v>
      </c>
      <c r="G71" s="108" t="s">
        <v>124</v>
      </c>
      <c r="H71" s="134" t="s">
        <v>1232</v>
      </c>
    </row>
    <row r="72" spans="2:8" ht="32.1" customHeight="1" x14ac:dyDescent="0.25">
      <c r="B72" s="33" t="s">
        <v>1233</v>
      </c>
      <c r="C72" s="139">
        <v>3.0000000000000001E-3</v>
      </c>
      <c r="D72" s="68">
        <f>C5*C72</f>
        <v>26393.746908649788</v>
      </c>
      <c r="E72" s="97"/>
      <c r="F72" s="132">
        <f t="shared" si="1"/>
        <v>26393.746908649788</v>
      </c>
      <c r="G72" s="108" t="s">
        <v>124</v>
      </c>
      <c r="H72" s="133" t="s">
        <v>1234</v>
      </c>
    </row>
    <row r="73" spans="2:8" ht="32.1" customHeight="1" x14ac:dyDescent="0.25">
      <c r="B73" s="71" t="s">
        <v>1235</v>
      </c>
      <c r="C73" s="139">
        <v>1.4999999999999999E-2</v>
      </c>
      <c r="D73" s="68">
        <f>C5*C73</f>
        <v>131968.73454324892</v>
      </c>
      <c r="E73" s="97"/>
      <c r="F73" s="68">
        <f t="shared" si="1"/>
        <v>131968.73454324892</v>
      </c>
      <c r="G73" s="108" t="s">
        <v>124</v>
      </c>
      <c r="H73" s="134" t="s">
        <v>1236</v>
      </c>
    </row>
    <row r="74" spans="2:8" ht="32.1" customHeight="1" x14ac:dyDescent="0.25">
      <c r="B74" s="33" t="s">
        <v>1237</v>
      </c>
      <c r="C74" s="139">
        <v>8.0000000000000002E-3</v>
      </c>
      <c r="D74" s="68">
        <f>C5*C74</f>
        <v>70383.325089732767</v>
      </c>
      <c r="E74" s="97"/>
      <c r="F74" s="132">
        <f t="shared" si="1"/>
        <v>70383.325089732767</v>
      </c>
      <c r="G74" s="108" t="s">
        <v>124</v>
      </c>
      <c r="H74" s="133" t="s">
        <v>1238</v>
      </c>
    </row>
    <row r="75" spans="2:8" ht="32.1" customHeight="1" x14ac:dyDescent="0.25">
      <c r="B75" s="71" t="s">
        <v>1239</v>
      </c>
      <c r="C75" s="139">
        <v>5.0000000000000001E-3</v>
      </c>
      <c r="D75" s="68">
        <f>C5*C75</f>
        <v>43989.578181082979</v>
      </c>
      <c r="E75" s="97"/>
      <c r="F75" s="68">
        <f t="shared" si="1"/>
        <v>43989.578181082979</v>
      </c>
      <c r="G75" s="108" t="s">
        <v>124</v>
      </c>
      <c r="H75" s="134" t="s">
        <v>1240</v>
      </c>
    </row>
    <row r="76" spans="2:8" ht="32.1" customHeight="1" x14ac:dyDescent="0.25">
      <c r="B76" s="33" t="s">
        <v>1241</v>
      </c>
      <c r="C76" s="139">
        <v>0</v>
      </c>
      <c r="D76" s="68">
        <f>C5*C76</f>
        <v>0</v>
      </c>
      <c r="E76" s="97"/>
      <c r="F76" s="132">
        <f t="shared" si="1"/>
        <v>0</v>
      </c>
      <c r="G76" s="108" t="s">
        <v>124</v>
      </c>
      <c r="H76" s="133" t="s">
        <v>1242</v>
      </c>
    </row>
    <row r="77" spans="2:8" ht="32.1" customHeight="1" x14ac:dyDescent="0.25">
      <c r="B77" s="71" t="s">
        <v>1243</v>
      </c>
      <c r="C77" s="139">
        <v>0</v>
      </c>
      <c r="D77" s="68">
        <f>C5*C77</f>
        <v>0</v>
      </c>
      <c r="E77" s="97"/>
      <c r="F77" s="68">
        <f t="shared" si="1"/>
        <v>0</v>
      </c>
      <c r="G77" s="108" t="s">
        <v>124</v>
      </c>
      <c r="H77" s="134" t="s">
        <v>1244</v>
      </c>
    </row>
    <row r="78" spans="2:8" ht="32.1" customHeight="1" x14ac:dyDescent="0.25">
      <c r="B78" s="33" t="s">
        <v>1245</v>
      </c>
      <c r="C78" s="139">
        <v>0</v>
      </c>
      <c r="D78" s="68">
        <f>C5*C78</f>
        <v>0</v>
      </c>
      <c r="E78" s="97"/>
      <c r="F78" s="132">
        <f t="shared" si="1"/>
        <v>0</v>
      </c>
      <c r="G78" s="108" t="s">
        <v>124</v>
      </c>
      <c r="H78" s="133" t="s">
        <v>1246</v>
      </c>
    </row>
    <row r="79" spans="2:8" ht="32.1" customHeight="1" x14ac:dyDescent="0.25">
      <c r="B79" s="71" t="s">
        <v>1247</v>
      </c>
      <c r="C79" s="139">
        <v>0.01</v>
      </c>
      <c r="D79" s="68">
        <f>C5*C79</f>
        <v>87979.156362165959</v>
      </c>
      <c r="E79" s="97"/>
      <c r="F79" s="68">
        <f t="shared" si="1"/>
        <v>87979.156362165959</v>
      </c>
      <c r="G79" s="108" t="s">
        <v>124</v>
      </c>
      <c r="H79" s="134" t="s">
        <v>1248</v>
      </c>
    </row>
    <row r="80" spans="2:8" ht="32.1" customHeight="1" x14ac:dyDescent="0.25">
      <c r="B80" s="33" t="s">
        <v>1249</v>
      </c>
      <c r="C80" s="139">
        <v>0</v>
      </c>
      <c r="D80" s="68">
        <f>C5*C80</f>
        <v>0</v>
      </c>
      <c r="E80" s="97"/>
      <c r="F80" s="132">
        <f t="shared" si="1"/>
        <v>0</v>
      </c>
      <c r="G80" s="108" t="s">
        <v>124</v>
      </c>
      <c r="H80" s="133" t="s">
        <v>1250</v>
      </c>
    </row>
    <row r="82" spans="2:8" ht="19.5" customHeight="1" x14ac:dyDescent="0.25">
      <c r="B82" s="265" t="s">
        <v>1251</v>
      </c>
      <c r="C82" s="265"/>
      <c r="D82" s="265"/>
      <c r="E82" s="265"/>
      <c r="F82" s="265"/>
      <c r="G82" s="265"/>
      <c r="H82" s="265"/>
    </row>
    <row r="83" spans="2:8" ht="21.75" customHeight="1" x14ac:dyDescent="0.25">
      <c r="B83" s="135" t="s">
        <v>1252</v>
      </c>
      <c r="C83" s="137"/>
      <c r="D83" s="137"/>
      <c r="E83" s="137"/>
      <c r="F83" s="138">
        <f>IF(OR(G52="Yes",G52="Allowance"),F52,0)+IF(OR(G53="Yes",G53="Allowance"),F53,0)</f>
        <v>690636.37744300277</v>
      </c>
      <c r="G83" s="137"/>
      <c r="H83" s="137"/>
    </row>
    <row r="84" spans="2:8" ht="21.75" customHeight="1" x14ac:dyDescent="0.25">
      <c r="B84" s="140" t="s">
        <v>1253</v>
      </c>
      <c r="C84" s="141"/>
      <c r="D84" s="141"/>
      <c r="E84" s="141"/>
      <c r="F84" s="142">
        <f>IF(OR(G57="Yes",G57="Allowance"),F57,0)+IF(OR(G58="Yes",G58="Allowance"),F58,0)+IF(OR(G59="Yes",G59="Allowance"),F59,0)+IF(OR(G60="Yes",G60="Allowance"),F60,0)+IF(OR(G61="Yes",G61="Allowance"),F61,0)+IF(OR(G62="Yes",G62="Allowance"),F62,0)+IF(OR(G63="Yes",G63="Allowance"),F63,0)+IF(OR(G64="Yes",G64="Allowance"),F64,0)+IF(OR(G65="Yes",G65="Allowance"),F65,0)</f>
        <v>818206.15416814329</v>
      </c>
      <c r="G84" s="141"/>
      <c r="H84" s="141"/>
    </row>
    <row r="85" spans="2:8" ht="21.75" customHeight="1" x14ac:dyDescent="0.25">
      <c r="B85" s="143" t="s">
        <v>1254</v>
      </c>
      <c r="C85" s="144"/>
      <c r="D85" s="144"/>
      <c r="E85" s="144"/>
      <c r="F85" s="145">
        <f>IF(OR(G68="Yes",G68="Allowance"),F68,0)+IF(OR(G69="Yes",G69="Allowance"),F69,0)+IF(OR(G70="Yes",G70="Allowance"),F70,0)+IF(OR(G71="Yes",G71="Allowance"),F71,0)+IF(OR(G72="Yes",G72="Allowance"),F72,0)+IF(OR(G73="Yes",G73="Allowance"),F73,0)+IF(OR(G74="Yes",G74="Allowance"),F74,0)+IF(OR(G75="Yes",G75="Allowance"),F75,0)+IF(OR(G76="Yes",G76="Allowance"),F76,0)+IF(OR(G77="Yes",G77="Allowance"),F77,0)+IF(OR(G78="Yes",G78="Allowance"),F78,0)+IF(OR(G79="Yes",G79="Allowance"),F79,0)+IF(OR(G80="Yes",G80="Allowance"),F80,0)</f>
        <v>439895.78181082977</v>
      </c>
      <c r="G85" s="144"/>
      <c r="H85" s="144"/>
    </row>
    <row r="86" spans="2:8" ht="27.75" customHeight="1" x14ac:dyDescent="0.25">
      <c r="B86" s="146" t="s">
        <v>915</v>
      </c>
      <c r="C86" s="147">
        <f>IFERROR(F86/C5,0)</f>
        <v>0.22149999999999997</v>
      </c>
      <c r="D86" s="148"/>
      <c r="E86" s="148"/>
      <c r="F86" s="149">
        <f>F83+F84+F85</f>
        <v>1948738.3134219758</v>
      </c>
      <c r="G86" s="148"/>
      <c r="H86" s="148"/>
    </row>
    <row r="88" spans="2:8" ht="19.5" customHeight="1" x14ac:dyDescent="0.25">
      <c r="B88" s="296" t="s">
        <v>1255</v>
      </c>
      <c r="C88" s="296"/>
      <c r="D88" s="296"/>
      <c r="E88" s="296"/>
      <c r="F88" s="296"/>
      <c r="G88" s="296"/>
      <c r="H88" s="296"/>
    </row>
    <row r="89" spans="2:8" ht="43.5" customHeight="1" x14ac:dyDescent="0.25">
      <c r="B89" s="294" t="s">
        <v>1256</v>
      </c>
      <c r="C89" s="294"/>
      <c r="D89" s="294"/>
      <c r="E89" s="294"/>
      <c r="F89" s="294"/>
      <c r="G89" s="294"/>
      <c r="H89" s="294"/>
    </row>
    <row r="91" spans="2:8" ht="15" customHeight="1" x14ac:dyDescent="0.25">
      <c r="B91" s="150" t="s">
        <v>1257</v>
      </c>
    </row>
  </sheetData>
  <mergeCells count="46">
    <mergeCell ref="B1:H1"/>
    <mergeCell ref="B2:H2"/>
    <mergeCell ref="B4:H4"/>
    <mergeCell ref="D5:H5"/>
    <mergeCell ref="D6:H6"/>
    <mergeCell ref="D7:H7"/>
    <mergeCell ref="D8:H8"/>
    <mergeCell ref="B10:H10"/>
    <mergeCell ref="B11:H11"/>
    <mergeCell ref="B13:H13"/>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H35"/>
    <mergeCell ref="C36:H36"/>
    <mergeCell ref="C37:H37"/>
    <mergeCell ref="C38:H38"/>
    <mergeCell ref="C39:H39"/>
    <mergeCell ref="C40:H40"/>
    <mergeCell ref="C41:H41"/>
    <mergeCell ref="B44:H44"/>
    <mergeCell ref="B46:H46"/>
    <mergeCell ref="D47:H47"/>
    <mergeCell ref="D48:H48"/>
    <mergeCell ref="B89:H89"/>
    <mergeCell ref="B50:H50"/>
    <mergeCell ref="B56:H56"/>
    <mergeCell ref="B67:H67"/>
    <mergeCell ref="B82:H82"/>
    <mergeCell ref="B88:H88"/>
  </mergeCells>
  <dataValidations count="3">
    <dataValidation type="list" sqref="C47" xr:uid="{00000000-0002-0000-0D00-000000000000}">
      <formula1>"A,B,C,D,E"</formula1>
      <formula2>0</formula2>
    </dataValidation>
    <dataValidation type="list" sqref="C48" xr:uid="{00000000-0002-0000-0D00-000001000000}">
      <formula1>"Yes,No"</formula1>
      <formula2>0</formula2>
    </dataValidation>
    <dataValidation type="list" sqref="G68:G80 G57:G65 G52:G53" xr:uid="{00000000-0002-0000-0D00-000002000000}">
      <formula1>"Yes,No,Allowance"</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44"/>
  <sheetViews>
    <sheetView showGridLines="0" topLeftCell="A22" zoomScaleNormal="100" workbookViewId="0">
      <selection activeCell="D44" sqref="D44:F44"/>
    </sheetView>
  </sheetViews>
  <sheetFormatPr defaultColWidth="8.7109375" defaultRowHeight="15" x14ac:dyDescent="0.25"/>
  <cols>
    <col min="1" max="1" width="3" customWidth="1"/>
    <col min="2" max="2" width="45.7109375" customWidth="1"/>
    <col min="3" max="3" width="18" customWidth="1"/>
    <col min="4" max="4" width="16" customWidth="1"/>
    <col min="5" max="5" width="14" customWidth="1"/>
    <col min="6" max="6" width="60.7109375" customWidth="1"/>
  </cols>
  <sheetData>
    <row r="1" spans="2:6" ht="50.1" customHeight="1" x14ac:dyDescent="0.25">
      <c r="B1" s="263" t="s">
        <v>1258</v>
      </c>
      <c r="C1" s="263"/>
      <c r="D1" s="263"/>
      <c r="E1" s="263"/>
      <c r="F1" s="263"/>
    </row>
    <row r="2" spans="2:6" ht="36" customHeight="1" x14ac:dyDescent="0.25">
      <c r="B2" s="307" t="s">
        <v>1259</v>
      </c>
      <c r="C2" s="307"/>
      <c r="D2" s="307"/>
      <c r="E2" s="307"/>
      <c r="F2" s="307"/>
    </row>
    <row r="3" spans="2:6" ht="21.75" customHeight="1" x14ac:dyDescent="0.25">
      <c r="B3" s="311" t="str">
        <f>"Project:  " &amp; ASSUMPTIONS!C3 &amp; "   |   " &amp; TEXT(ASSUMPTIONS!C4,"mm/dd/yyyy") &amp; "   |   Phase: " &amp; ASSUMPTIONS!C5</f>
        <v>Project:  M-Well Community Health Campus   |   01/00/1900   |   Phase: ROM / Conceptual</v>
      </c>
      <c r="C3" s="311"/>
      <c r="D3" s="311"/>
      <c r="E3" s="311"/>
      <c r="F3" s="311"/>
    </row>
    <row r="5" spans="2:6" ht="19.5" customHeight="1" x14ac:dyDescent="0.25">
      <c r="B5" s="151" t="s">
        <v>1260</v>
      </c>
      <c r="C5" s="151" t="s">
        <v>1261</v>
      </c>
      <c r="D5" s="151" t="s">
        <v>1194</v>
      </c>
      <c r="E5" s="151" t="s">
        <v>1262</v>
      </c>
      <c r="F5" s="151" t="s">
        <v>56</v>
      </c>
    </row>
    <row r="6" spans="2:6" ht="19.5" customHeight="1" x14ac:dyDescent="0.25">
      <c r="B6" s="264" t="s">
        <v>1263</v>
      </c>
      <c r="C6" s="264"/>
      <c r="D6" s="264"/>
      <c r="E6" s="264"/>
      <c r="F6" s="264"/>
    </row>
    <row r="7" spans="2:6" ht="32.1" customHeight="1" x14ac:dyDescent="0.25">
      <c r="B7" s="71" t="s">
        <v>1264</v>
      </c>
      <c r="C7" s="21">
        <f>'BID SUMMARY'!C5</f>
        <v>5411956.7295000004</v>
      </c>
      <c r="D7" s="152">
        <f>IFERROR(C7/C13,0)</f>
        <v>0.6151407848492767</v>
      </c>
      <c r="E7" s="153">
        <f>IFERROR(C7/C36,0)</f>
        <v>0.4837914155322664</v>
      </c>
      <c r="F7" s="134" t="s">
        <v>1265</v>
      </c>
    </row>
    <row r="8" spans="2:6" ht="32.1" customHeight="1" x14ac:dyDescent="0.25">
      <c r="B8" s="33" t="s">
        <v>1266</v>
      </c>
      <c r="C8" s="21">
        <f>'BID SUMMARY'!C6</f>
        <v>473719.5</v>
      </c>
      <c r="D8" s="154">
        <f>IFERROR(C8/C13,0)</f>
        <v>5.3844514949647274E-2</v>
      </c>
      <c r="E8" s="155">
        <f>IFERROR(C8/C36,0)</f>
        <v>4.2347239441326998E-2</v>
      </c>
      <c r="F8" s="133" t="s">
        <v>1267</v>
      </c>
    </row>
    <row r="9" spans="2:6" ht="32.1" customHeight="1" x14ac:dyDescent="0.25">
      <c r="B9" s="71" t="s">
        <v>114</v>
      </c>
      <c r="C9" s="21">
        <f>'BID SUMMARY'!C8</f>
        <v>470854.09836000006</v>
      </c>
      <c r="D9" s="152">
        <f>IFERROR(C9/C13,0)</f>
        <v>5.3518823983913923E-2</v>
      </c>
      <c r="E9" s="153">
        <f>IFERROR(C9/C36,0)</f>
        <v>4.2091092397887477E-2</v>
      </c>
      <c r="F9" s="134" t="s">
        <v>1268</v>
      </c>
    </row>
    <row r="10" spans="2:6" ht="32.1" customHeight="1" x14ac:dyDescent="0.25">
      <c r="B10" s="33" t="s">
        <v>898</v>
      </c>
      <c r="C10" s="21">
        <f>'BID SUMMARY'!C9</f>
        <v>635653.03278600005</v>
      </c>
      <c r="D10" s="154">
        <f>IFERROR(C10/C13,0)</f>
        <v>7.2250412378283793E-2</v>
      </c>
      <c r="E10" s="155">
        <f>IFERROR(C10/C36,0)</f>
        <v>5.6822974737148091E-2</v>
      </c>
      <c r="F10" s="133" t="s">
        <v>1269</v>
      </c>
    </row>
    <row r="11" spans="2:6" ht="32.1" customHeight="1" x14ac:dyDescent="0.25">
      <c r="B11" s="71" t="s">
        <v>116</v>
      </c>
      <c r="C11" s="21">
        <f>'BID SUMMARY'!C10</f>
        <v>2097655.0081937998</v>
      </c>
      <c r="D11" s="152">
        <f>IFERROR(C11/C13,0)</f>
        <v>0.23842636084833646</v>
      </c>
      <c r="E11" s="153">
        <f>IFERROR(C11/C36,0)</f>
        <v>0.18751581663258865</v>
      </c>
      <c r="F11" s="134" t="s">
        <v>1270</v>
      </c>
    </row>
    <row r="12" spans="2:6" ht="32.1" customHeight="1" x14ac:dyDescent="0.25">
      <c r="B12" s="33" t="s">
        <v>117</v>
      </c>
      <c r="C12" s="21">
        <f>'BID SUMMARY'!C11</f>
        <v>181796.76737679602</v>
      </c>
      <c r="D12" s="154">
        <f>IFERROR(C12/C13,0)</f>
        <v>2.0663617940189165E-2</v>
      </c>
      <c r="E12" s="155">
        <f>IFERROR(C12/C36,0)</f>
        <v>1.6251370774824355E-2</v>
      </c>
      <c r="F12" s="133" t="s">
        <v>1271</v>
      </c>
    </row>
    <row r="13" spans="2:6" ht="25.5" customHeight="1" x14ac:dyDescent="0.25">
      <c r="B13" s="156" t="s">
        <v>1272</v>
      </c>
      <c r="C13" s="157">
        <f>'BID SUMMARY'!C12</f>
        <v>8797915.6362165958</v>
      </c>
      <c r="D13" s="158">
        <v>1</v>
      </c>
      <c r="E13" s="159">
        <f>IFERROR(C13/C36,0)</f>
        <v>0.78647267007471489</v>
      </c>
      <c r="F13" s="160"/>
    </row>
    <row r="15" spans="2:6" ht="19.5" customHeight="1" x14ac:dyDescent="0.25">
      <c r="B15" s="265" t="s">
        <v>1273</v>
      </c>
      <c r="C15" s="265"/>
      <c r="D15" s="265"/>
      <c r="E15" s="265"/>
      <c r="F15" s="265"/>
    </row>
    <row r="16" spans="2:6" ht="32.1" customHeight="1" x14ac:dyDescent="0.25">
      <c r="B16" s="33" t="s">
        <v>1274</v>
      </c>
      <c r="C16" s="21">
        <f>'SOFT COSTS'!F54</f>
        <v>690636.37744300277</v>
      </c>
      <c r="D16" s="155">
        <f>IFERROR(C16/C13,0)</f>
        <v>7.85E-2</v>
      </c>
      <c r="E16" s="155">
        <f>IFERROR(C16/C36,0)</f>
        <v>6.1738104600865124E-2</v>
      </c>
      <c r="F16" s="133" t="s">
        <v>1275</v>
      </c>
    </row>
    <row r="17" spans="2:6" ht="32.1" customHeight="1" x14ac:dyDescent="0.25">
      <c r="B17" s="71" t="s">
        <v>1206</v>
      </c>
      <c r="C17" s="21">
        <f>'SOFT COSTS'!F57</f>
        <v>131968.73454324892</v>
      </c>
      <c r="D17" s="153">
        <f>IFERROR(C17/C13,0)</f>
        <v>1.4999999999999998E-2</v>
      </c>
      <c r="E17" s="153">
        <f>IFERROR(C17/C36,0)</f>
        <v>1.1797090051120724E-2</v>
      </c>
      <c r="F17" s="134" t="s">
        <v>1276</v>
      </c>
    </row>
    <row r="18" spans="2:6" ht="32.1" customHeight="1" x14ac:dyDescent="0.25">
      <c r="B18" s="33" t="s">
        <v>1208</v>
      </c>
      <c r="C18" s="21">
        <f>'SOFT COSTS'!F58</f>
        <v>158362.48145189873</v>
      </c>
      <c r="D18" s="155">
        <f>IFERROR(C18/C13,0)</f>
        <v>1.7999999999999999E-2</v>
      </c>
      <c r="E18" s="155">
        <f>IFERROR(C18/C36,0)</f>
        <v>1.4156508061344868E-2</v>
      </c>
      <c r="F18" s="133" t="s">
        <v>1276</v>
      </c>
    </row>
    <row r="19" spans="2:6" ht="32.1" customHeight="1" x14ac:dyDescent="0.25">
      <c r="B19" s="71" t="s">
        <v>1210</v>
      </c>
      <c r="C19" s="21">
        <f>'SOFT COSTS'!F59</f>
        <v>131968.73454324892</v>
      </c>
      <c r="D19" s="153">
        <f>IFERROR(C19/C13,0)</f>
        <v>1.4999999999999998E-2</v>
      </c>
      <c r="E19" s="153">
        <f>IFERROR(C19/C36,0)</f>
        <v>1.1797090051120724E-2</v>
      </c>
      <c r="F19" s="134" t="s">
        <v>1276</v>
      </c>
    </row>
    <row r="20" spans="2:6" ht="32.1" customHeight="1" x14ac:dyDescent="0.25">
      <c r="B20" s="33" t="s">
        <v>1212</v>
      </c>
      <c r="C20" s="21">
        <f>'SOFT COSTS'!F60</f>
        <v>87979.156362165959</v>
      </c>
      <c r="D20" s="155">
        <f>IFERROR(C20/C13,0)</f>
        <v>0.01</v>
      </c>
      <c r="E20" s="155">
        <f>IFERROR(C20/C36,0)</f>
        <v>7.8647267007471502E-3</v>
      </c>
      <c r="F20" s="133" t="s">
        <v>1276</v>
      </c>
    </row>
    <row r="21" spans="2:6" ht="32.1" customHeight="1" x14ac:dyDescent="0.25">
      <c r="B21" s="71" t="s">
        <v>1214</v>
      </c>
      <c r="C21" s="21">
        <f>'SOFT COSTS'!F61</f>
        <v>70383.325089732767</v>
      </c>
      <c r="D21" s="153">
        <f>IFERROR(C21/C13,0)</f>
        <v>8.0000000000000002E-3</v>
      </c>
      <c r="E21" s="153">
        <f>IFERROR(C21/C36,0)</f>
        <v>6.2917813605977198E-3</v>
      </c>
      <c r="F21" s="134" t="s">
        <v>1276</v>
      </c>
    </row>
    <row r="22" spans="2:6" ht="32.1" customHeight="1" x14ac:dyDescent="0.25">
      <c r="B22" s="33" t="s">
        <v>1216</v>
      </c>
      <c r="C22" s="21">
        <f>'SOFT COSTS'!F62</f>
        <v>105574.98763459915</v>
      </c>
      <c r="D22" s="155">
        <f>IFERROR(C22/C13,0)</f>
        <v>1.2E-2</v>
      </c>
      <c r="E22" s="155">
        <f>IFERROR(C22/C36,0)</f>
        <v>9.4376720408965789E-3</v>
      </c>
      <c r="F22" s="133" t="s">
        <v>1277</v>
      </c>
    </row>
    <row r="23" spans="2:6" ht="32.1" customHeight="1" x14ac:dyDescent="0.25">
      <c r="B23" s="71" t="s">
        <v>1218</v>
      </c>
      <c r="C23" s="21">
        <f>'SOFT COSTS'!F63</f>
        <v>43989.578181082979</v>
      </c>
      <c r="D23" s="153">
        <f>IFERROR(C23/C13,0)</f>
        <v>5.0000000000000001E-3</v>
      </c>
      <c r="E23" s="153">
        <f>IFERROR(C23/C36,0)</f>
        <v>3.9323633503735751E-3</v>
      </c>
      <c r="F23" s="134" t="s">
        <v>1278</v>
      </c>
    </row>
    <row r="24" spans="2:6" ht="32.1" customHeight="1" x14ac:dyDescent="0.25">
      <c r="B24" s="33" t="s">
        <v>1279</v>
      </c>
      <c r="C24" s="21">
        <f>'SOFT COSTS'!F85</f>
        <v>439895.78181082977</v>
      </c>
      <c r="D24" s="155">
        <f>IFERROR(C24/C13,0)</f>
        <v>4.9999999999999996E-2</v>
      </c>
      <c r="E24" s="155">
        <f>IFERROR(C24/C36,0)</f>
        <v>3.9323633503735744E-2</v>
      </c>
      <c r="F24" s="133" t="s">
        <v>1280</v>
      </c>
    </row>
    <row r="25" spans="2:6" ht="25.5" customHeight="1" x14ac:dyDescent="0.25">
      <c r="B25" s="161" t="s">
        <v>915</v>
      </c>
      <c r="C25" s="162">
        <f>'SOFT COSTS'!F86</f>
        <v>1948738.3134219758</v>
      </c>
      <c r="D25" s="147">
        <f>IFERROR(C25/C13,0)</f>
        <v>0.22149999999999997</v>
      </c>
      <c r="E25" s="163">
        <f>IFERROR(C25/C36,0)</f>
        <v>0.17420369642154934</v>
      </c>
      <c r="F25" s="148"/>
    </row>
    <row r="27" spans="2:6" ht="19.5" customHeight="1" x14ac:dyDescent="0.25">
      <c r="B27" s="267" t="s">
        <v>1281</v>
      </c>
      <c r="C27" s="267"/>
      <c r="D27" s="267"/>
      <c r="E27" s="267"/>
      <c r="F27" s="267"/>
    </row>
    <row r="28" spans="2:6" ht="32.1" customHeight="1" x14ac:dyDescent="0.25">
      <c r="B28" s="33" t="s">
        <v>1282</v>
      </c>
      <c r="C28" s="164">
        <f>IFERROR(D28*C13,0)</f>
        <v>439895.78181082982</v>
      </c>
      <c r="D28" s="165">
        <v>0.05</v>
      </c>
      <c r="E28" s="166">
        <f>IFERROR(C28/C36,0)</f>
        <v>3.9323633503735751E-2</v>
      </c>
      <c r="F28" s="243" t="s">
        <v>1283</v>
      </c>
    </row>
    <row r="29" spans="2:6" ht="32.1" customHeight="1" x14ac:dyDescent="0.25">
      <c r="B29" s="71" t="s">
        <v>1284</v>
      </c>
      <c r="C29" s="167">
        <f>IFERROR(D29*C13,0)</f>
        <v>0</v>
      </c>
      <c r="D29" s="165">
        <v>0</v>
      </c>
      <c r="E29" s="166">
        <f>IFERROR(C29/C36,0)</f>
        <v>0</v>
      </c>
      <c r="F29" s="244" t="s">
        <v>1285</v>
      </c>
    </row>
    <row r="30" spans="2:6" ht="32.1" customHeight="1" x14ac:dyDescent="0.25">
      <c r="B30" s="33" t="s">
        <v>1286</v>
      </c>
      <c r="C30" s="164">
        <f>IFERROR(D30*C13,0)</f>
        <v>0</v>
      </c>
      <c r="D30" s="165">
        <v>0</v>
      </c>
      <c r="E30" s="166">
        <f>IFERROR(C30/C36,0)</f>
        <v>0</v>
      </c>
      <c r="F30" s="243" t="s">
        <v>1287</v>
      </c>
    </row>
    <row r="31" spans="2:6" ht="32.1" customHeight="1" x14ac:dyDescent="0.25">
      <c r="B31" s="71" t="s">
        <v>1288</v>
      </c>
      <c r="C31" s="167">
        <f>IFERROR(D31*C13,0)</f>
        <v>0</v>
      </c>
      <c r="D31" s="165">
        <v>0</v>
      </c>
      <c r="E31" s="166">
        <f>IFERROR(C31/C36,0)</f>
        <v>0</v>
      </c>
      <c r="F31" s="244" t="s">
        <v>1289</v>
      </c>
    </row>
    <row r="32" spans="2:6" ht="32.1" customHeight="1" x14ac:dyDescent="0.25">
      <c r="B32" s="33" t="s">
        <v>1290</v>
      </c>
      <c r="C32" s="164">
        <f>IFERROR(D32*C13,0)</f>
        <v>0</v>
      </c>
      <c r="D32" s="165">
        <v>0</v>
      </c>
      <c r="E32" s="166">
        <f>IFERROR(C32/C36,0)</f>
        <v>0</v>
      </c>
      <c r="F32" s="243" t="s">
        <v>1291</v>
      </c>
    </row>
    <row r="33" spans="2:6" ht="32.1" customHeight="1" x14ac:dyDescent="0.25">
      <c r="B33" s="71" t="s">
        <v>1292</v>
      </c>
      <c r="C33" s="167">
        <f>IFERROR(D33*C13,0)</f>
        <v>0</v>
      </c>
      <c r="D33" s="165">
        <v>0</v>
      </c>
      <c r="E33" s="166">
        <f>IFERROR(C33/C36,0)</f>
        <v>0</v>
      </c>
      <c r="F33" s="244" t="s">
        <v>1293</v>
      </c>
    </row>
    <row r="34" spans="2:6" ht="21.75" customHeight="1" x14ac:dyDescent="0.25">
      <c r="B34" s="168" t="s">
        <v>1294</v>
      </c>
      <c r="C34" s="169">
        <f>C28+C29+C30+C31+C32+C33</f>
        <v>439895.78181082982</v>
      </c>
      <c r="D34" s="170">
        <f>IFERROR(C34/C13,0)</f>
        <v>0.05</v>
      </c>
      <c r="E34" s="171">
        <f>IFERROR(C34/C36,0)</f>
        <v>3.9323633503735751E-2</v>
      </c>
      <c r="F34" s="144"/>
    </row>
    <row r="36" spans="2:6" ht="33.75" customHeight="1" x14ac:dyDescent="0.3">
      <c r="B36" s="172" t="s">
        <v>919</v>
      </c>
      <c r="C36" s="173">
        <f>C13+C25+C34</f>
        <v>11186549.731449401</v>
      </c>
      <c r="D36" s="174">
        <v>1</v>
      </c>
      <c r="E36" s="148"/>
      <c r="F36" s="148"/>
    </row>
    <row r="38" spans="2:6" ht="19.5" customHeight="1" x14ac:dyDescent="0.25">
      <c r="B38" s="309" t="s">
        <v>1295</v>
      </c>
      <c r="C38" s="309"/>
      <c r="D38" s="309"/>
      <c r="E38" s="309"/>
      <c r="F38" s="309"/>
    </row>
    <row r="39" spans="2:6" ht="19.5" customHeight="1" x14ac:dyDescent="0.25">
      <c r="B39" s="2" t="s">
        <v>1296</v>
      </c>
      <c r="C39" s="175">
        <f>C36</f>
        <v>11186549.731449401</v>
      </c>
      <c r="D39" s="310"/>
      <c r="E39" s="310"/>
      <c r="F39" s="310"/>
    </row>
    <row r="40" spans="2:6" ht="19.5" customHeight="1" x14ac:dyDescent="0.25">
      <c r="B40" s="71" t="s">
        <v>1297</v>
      </c>
      <c r="C40" s="176">
        <f>'BID SUMMARY'!C12</f>
        <v>8797915.6362165958</v>
      </c>
      <c r="D40" s="308"/>
      <c r="E40" s="308"/>
      <c r="F40" s="308"/>
    </row>
    <row r="41" spans="2:6" ht="19.5" customHeight="1" x14ac:dyDescent="0.25">
      <c r="B41" s="33" t="s">
        <v>1298</v>
      </c>
      <c r="C41" s="177">
        <f>'SOFT COSTS'!F86</f>
        <v>1948738.3134219758</v>
      </c>
      <c r="D41" s="305"/>
      <c r="E41" s="305"/>
      <c r="F41" s="305"/>
    </row>
    <row r="42" spans="2:6" ht="27.75" customHeight="1" x14ac:dyDescent="0.25">
      <c r="B42" s="71" t="s">
        <v>1299</v>
      </c>
      <c r="C42" s="178">
        <f>IFERROR('SOFT COSTS'!F86/'BID SUMMARY'!C12,0)</f>
        <v>0.22149999999999997</v>
      </c>
      <c r="D42" s="308" t="s">
        <v>1300</v>
      </c>
      <c r="E42" s="308"/>
      <c r="F42" s="308"/>
    </row>
    <row r="43" spans="2:6" ht="27.75" customHeight="1" x14ac:dyDescent="0.25">
      <c r="B43" s="33" t="s">
        <v>1301</v>
      </c>
      <c r="C43" s="179">
        <f>IFERROR(C36/ASSUMPTIONS!C9,0)</f>
        <v>407.49489040687018</v>
      </c>
      <c r="D43" s="305" t="s">
        <v>1302</v>
      </c>
      <c r="E43" s="305"/>
      <c r="F43" s="305"/>
    </row>
    <row r="44" spans="2:6" ht="27.75" customHeight="1" x14ac:dyDescent="0.25">
      <c r="B44" s="71" t="s">
        <v>1303</v>
      </c>
      <c r="C44" s="180">
        <f>'BID SUMMARY'!C14</f>
        <v>320.48359450009457</v>
      </c>
      <c r="D44" s="308" t="s">
        <v>1304</v>
      </c>
      <c r="E44" s="308"/>
      <c r="F44" s="308"/>
    </row>
  </sheetData>
  <mergeCells count="13">
    <mergeCell ref="B1:F1"/>
    <mergeCell ref="B2:F2"/>
    <mergeCell ref="B3:F3"/>
    <mergeCell ref="B6:F6"/>
    <mergeCell ref="B15:F15"/>
    <mergeCell ref="D42:F42"/>
    <mergeCell ref="D43:F43"/>
    <mergeCell ref="D44:F44"/>
    <mergeCell ref="B27:F27"/>
    <mergeCell ref="B38:F38"/>
    <mergeCell ref="D39:F39"/>
    <mergeCell ref="D40:F40"/>
    <mergeCell ref="D41:F4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M4Di.Oi™  ALDi™  FeasOps™</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34AB7"/>
  </sheetPr>
  <dimension ref="B1:J128"/>
  <sheetViews>
    <sheetView showGridLines="0" zoomScaleNormal="100" workbookViewId="0">
      <selection activeCell="I82" sqref="I82"/>
    </sheetView>
  </sheetViews>
  <sheetFormatPr defaultColWidth="8.7109375" defaultRowHeight="15" x14ac:dyDescent="0.25"/>
  <cols>
    <col min="1" max="1" width="2" customWidth="1"/>
    <col min="2" max="2" width="13.7109375" customWidth="1"/>
    <col min="3" max="3" width="31.7109375" customWidth="1"/>
    <col min="4" max="4" width="40.7109375" customWidth="1"/>
    <col min="5" max="5" width="24.7109375" customWidth="1"/>
    <col min="6" max="6" width="23.7109375" customWidth="1"/>
    <col min="7" max="7" width="32.7109375" customWidth="1"/>
    <col min="8" max="8" width="20.7109375" customWidth="1"/>
    <col min="9" max="9" width="24.7109375" customWidth="1"/>
    <col min="10" max="10" width="39.28515625" customWidth="1"/>
  </cols>
  <sheetData>
    <row r="1" spans="2:10" ht="6" customHeight="1" x14ac:dyDescent="0.25"/>
    <row r="2" spans="2:10" ht="36" customHeight="1" x14ac:dyDescent="0.25">
      <c r="B2" s="318" t="s">
        <v>1305</v>
      </c>
      <c r="C2" s="318"/>
      <c r="D2" s="318"/>
      <c r="E2" s="318"/>
      <c r="F2" s="318"/>
      <c r="G2" s="318"/>
      <c r="H2" s="318"/>
      <c r="I2" s="318"/>
    </row>
    <row r="3" spans="2:10" ht="19.5" customHeight="1" x14ac:dyDescent="0.25">
      <c r="B3" s="319" t="s">
        <v>1306</v>
      </c>
      <c r="C3" s="319"/>
      <c r="D3" s="319"/>
      <c r="E3" s="319"/>
      <c r="F3" s="319"/>
      <c r="G3" s="319"/>
      <c r="H3" s="319"/>
      <c r="I3" s="319"/>
    </row>
    <row r="4" spans="2:10" ht="30" customHeight="1" x14ac:dyDescent="0.25">
      <c r="B4" s="320" t="str">
        <f>ASSUMPTIONS!C3&amp;"   |   "&amp;ASSUMPTIONS!C2&amp;"   |   Phase: "&amp;ASSUMPTIONS!C5</f>
        <v>M-Well Community Health Campus   |   Value   |   Phase: ROM / Conceptual</v>
      </c>
      <c r="C4" s="320"/>
      <c r="D4" s="320"/>
      <c r="E4" s="320"/>
      <c r="F4" s="320"/>
      <c r="G4" s="320"/>
      <c r="H4" s="320"/>
      <c r="I4" s="320"/>
    </row>
    <row r="5" spans="2:10" ht="18" customHeight="1" x14ac:dyDescent="0.25">
      <c r="B5" s="181"/>
    </row>
    <row r="6" spans="2:10" ht="19.5" customHeight="1" x14ac:dyDescent="0.25">
      <c r="B6" s="315" t="s">
        <v>1307</v>
      </c>
      <c r="C6" s="315"/>
      <c r="D6" s="315"/>
      <c r="E6" s="315"/>
      <c r="F6" s="315"/>
      <c r="G6" s="315"/>
      <c r="H6" s="315"/>
      <c r="I6" s="315"/>
    </row>
    <row r="7" spans="2:10" ht="42" customHeight="1" x14ac:dyDescent="0.25">
      <c r="B7" s="316" t="s">
        <v>1308</v>
      </c>
      <c r="C7" s="316"/>
      <c r="D7" s="316"/>
      <c r="E7" s="316"/>
      <c r="F7" s="316"/>
      <c r="G7" s="316"/>
      <c r="H7" s="316"/>
      <c r="I7" s="316"/>
    </row>
    <row r="8" spans="2:10" ht="7.5" customHeight="1" x14ac:dyDescent="0.25"/>
    <row r="9" spans="2:10" ht="19.5" customHeight="1" x14ac:dyDescent="0.25">
      <c r="B9" s="315" t="s">
        <v>1309</v>
      </c>
      <c r="C9" s="315"/>
      <c r="D9" s="315"/>
      <c r="E9" s="315"/>
      <c r="F9" s="315"/>
      <c r="G9" s="315"/>
      <c r="H9" s="315"/>
      <c r="I9" s="315"/>
    </row>
    <row r="10" spans="2:10" ht="27.75" customHeight="1" x14ac:dyDescent="0.25">
      <c r="B10" s="182" t="s">
        <v>160</v>
      </c>
      <c r="C10" s="182" t="s">
        <v>845</v>
      </c>
      <c r="D10" s="182" t="s">
        <v>1022</v>
      </c>
      <c r="E10" s="182" t="s">
        <v>1310</v>
      </c>
      <c r="F10" s="182" t="s">
        <v>1311</v>
      </c>
      <c r="G10" s="182" t="s">
        <v>1312</v>
      </c>
      <c r="H10" s="182" t="s">
        <v>1313</v>
      </c>
      <c r="I10" s="182" t="s">
        <v>1026</v>
      </c>
      <c r="J10" s="182" t="s">
        <v>56</v>
      </c>
    </row>
    <row r="11" spans="2:10" ht="39.75" customHeight="1" x14ac:dyDescent="0.25">
      <c r="B11" s="48" t="s">
        <v>1314</v>
      </c>
      <c r="C11" s="247" t="s">
        <v>1315</v>
      </c>
      <c r="D11" s="61" t="s">
        <v>1316</v>
      </c>
      <c r="E11" s="61" t="s">
        <v>1317</v>
      </c>
      <c r="F11" s="61" t="s">
        <v>1318</v>
      </c>
      <c r="G11" s="184">
        <v>18000</v>
      </c>
      <c r="H11" s="184">
        <v>28000</v>
      </c>
      <c r="I11" s="59" t="s">
        <v>1319</v>
      </c>
    </row>
    <row r="12" spans="2:10" ht="39.75" customHeight="1" x14ac:dyDescent="0.25">
      <c r="B12" s="38" t="s">
        <v>1320</v>
      </c>
      <c r="C12" s="248" t="s">
        <v>1321</v>
      </c>
      <c r="D12" s="55" t="s">
        <v>1322</v>
      </c>
      <c r="E12" s="55" t="s">
        <v>1323</v>
      </c>
      <c r="F12" s="55" t="s">
        <v>1318</v>
      </c>
      <c r="G12" s="186">
        <v>12000</v>
      </c>
      <c r="H12" s="186">
        <v>22000</v>
      </c>
      <c r="I12" s="59" t="s">
        <v>1319</v>
      </c>
    </row>
    <row r="13" spans="2:10" ht="39.75" customHeight="1" x14ac:dyDescent="0.25">
      <c r="B13" s="48" t="s">
        <v>1324</v>
      </c>
      <c r="C13" s="247" t="s">
        <v>1325</v>
      </c>
      <c r="D13" s="61" t="s">
        <v>1326</v>
      </c>
      <c r="E13" s="61" t="s">
        <v>1327</v>
      </c>
      <c r="F13" s="61" t="s">
        <v>1328</v>
      </c>
      <c r="G13" s="184">
        <v>8000</v>
      </c>
      <c r="H13" s="184">
        <v>15000</v>
      </c>
      <c r="I13" s="53" t="s">
        <v>690</v>
      </c>
    </row>
    <row r="14" spans="2:10" ht="39.75" customHeight="1" x14ac:dyDescent="0.25">
      <c r="B14" s="38" t="s">
        <v>1329</v>
      </c>
      <c r="C14" s="248" t="s">
        <v>1330</v>
      </c>
      <c r="D14" s="55" t="s">
        <v>1331</v>
      </c>
      <c r="E14" s="55" t="s">
        <v>1332</v>
      </c>
      <c r="F14" s="55" t="s">
        <v>1333</v>
      </c>
      <c r="G14" s="186">
        <v>25000</v>
      </c>
      <c r="H14" s="186">
        <v>55000</v>
      </c>
      <c r="I14" s="53" t="s">
        <v>690</v>
      </c>
    </row>
    <row r="15" spans="2:10" ht="39.75" customHeight="1" x14ac:dyDescent="0.25">
      <c r="B15" s="48" t="s">
        <v>1334</v>
      </c>
      <c r="C15" s="247" t="s">
        <v>1335</v>
      </c>
      <c r="D15" s="61" t="s">
        <v>1336</v>
      </c>
      <c r="E15" s="61" t="s">
        <v>1337</v>
      </c>
      <c r="F15" s="61" t="s">
        <v>1333</v>
      </c>
      <c r="G15" s="184">
        <v>12000</v>
      </c>
      <c r="H15" s="184">
        <v>28000</v>
      </c>
      <c r="I15" s="53" t="s">
        <v>690</v>
      </c>
    </row>
    <row r="16" spans="2:10" ht="39.75" customHeight="1" x14ac:dyDescent="0.25">
      <c r="B16" s="38" t="s">
        <v>1338</v>
      </c>
      <c r="C16" s="248" t="s">
        <v>1339</v>
      </c>
      <c r="D16" s="55" t="s">
        <v>1340</v>
      </c>
      <c r="E16" s="55" t="s">
        <v>1341</v>
      </c>
      <c r="F16" s="55" t="s">
        <v>1333</v>
      </c>
      <c r="G16" s="186">
        <v>0</v>
      </c>
      <c r="H16" s="186">
        <v>35000</v>
      </c>
      <c r="I16" s="187" t="s">
        <v>1342</v>
      </c>
    </row>
    <row r="17" spans="2:10" ht="21.75" customHeight="1" x14ac:dyDescent="0.25">
      <c r="B17" s="63"/>
      <c r="C17" s="277" t="s">
        <v>1343</v>
      </c>
      <c r="D17" s="277"/>
      <c r="E17" s="277"/>
      <c r="F17" s="277"/>
      <c r="G17" s="188">
        <f>G13+G14+G15+G16</f>
        <v>45000</v>
      </c>
      <c r="H17" s="188">
        <f>H13+H14+H15+H16</f>
        <v>133000</v>
      </c>
      <c r="I17" s="63"/>
    </row>
    <row r="19" spans="2:10" ht="19.5" customHeight="1" x14ac:dyDescent="0.25">
      <c r="B19" s="315" t="s">
        <v>1344</v>
      </c>
      <c r="C19" s="315"/>
      <c r="D19" s="315"/>
      <c r="E19" s="315"/>
      <c r="F19" s="315"/>
      <c r="G19" s="315"/>
      <c r="H19" s="315"/>
      <c r="I19" s="315"/>
    </row>
    <row r="20" spans="2:10" ht="36" customHeight="1" x14ac:dyDescent="0.25">
      <c r="B20" s="316" t="s">
        <v>1345</v>
      </c>
      <c r="C20" s="316"/>
      <c r="D20" s="316"/>
      <c r="E20" s="316"/>
      <c r="F20" s="316"/>
      <c r="G20" s="316"/>
      <c r="H20" s="316"/>
      <c r="I20" s="316"/>
    </row>
    <row r="21" spans="2:10" ht="27.75" customHeight="1" x14ac:dyDescent="0.25">
      <c r="B21" s="182" t="s">
        <v>160</v>
      </c>
      <c r="C21" s="182" t="s">
        <v>1346</v>
      </c>
      <c r="D21" s="182" t="s">
        <v>566</v>
      </c>
      <c r="E21" s="182" t="s">
        <v>1347</v>
      </c>
      <c r="F21" s="182" t="s">
        <v>1348</v>
      </c>
      <c r="G21" s="182" t="s">
        <v>1349</v>
      </c>
      <c r="H21" s="182" t="s">
        <v>1350</v>
      </c>
      <c r="I21" s="182" t="s">
        <v>1351</v>
      </c>
      <c r="J21" s="182" t="s">
        <v>1352</v>
      </c>
    </row>
    <row r="22" spans="2:10" ht="32.1" customHeight="1" x14ac:dyDescent="0.25">
      <c r="B22" s="60" t="s">
        <v>1353</v>
      </c>
      <c r="C22" s="45" t="s">
        <v>4</v>
      </c>
      <c r="D22" s="47" t="s">
        <v>1354</v>
      </c>
      <c r="E22" s="61" t="s">
        <v>1355</v>
      </c>
      <c r="F22" s="189">
        <v>260</v>
      </c>
      <c r="G22" s="190" t="s">
        <v>1356</v>
      </c>
      <c r="H22" s="191" t="s">
        <v>124</v>
      </c>
      <c r="I22" s="192" t="s">
        <v>1357</v>
      </c>
    </row>
    <row r="23" spans="2:10" ht="32.1" customHeight="1" x14ac:dyDescent="0.25">
      <c r="B23" s="54" t="s">
        <v>1358</v>
      </c>
      <c r="C23" s="41" t="s">
        <v>4</v>
      </c>
      <c r="D23" s="37" t="s">
        <v>1354</v>
      </c>
      <c r="E23" s="55" t="s">
        <v>1355</v>
      </c>
      <c r="F23" s="193">
        <v>260</v>
      </c>
      <c r="G23" s="194" t="s">
        <v>1356</v>
      </c>
      <c r="H23" s="191" t="s">
        <v>124</v>
      </c>
      <c r="I23" s="192" t="s">
        <v>1359</v>
      </c>
    </row>
    <row r="24" spans="2:10" ht="32.1" customHeight="1" x14ac:dyDescent="0.25">
      <c r="B24" s="60" t="s">
        <v>1360</v>
      </c>
      <c r="C24" s="45" t="s">
        <v>4</v>
      </c>
      <c r="D24" s="47" t="s">
        <v>1354</v>
      </c>
      <c r="E24" s="61" t="s">
        <v>1355</v>
      </c>
      <c r="F24" s="189">
        <v>260</v>
      </c>
      <c r="G24" s="190" t="s">
        <v>1356</v>
      </c>
      <c r="H24" s="191" t="s">
        <v>124</v>
      </c>
      <c r="I24" s="192" t="s">
        <v>1361</v>
      </c>
    </row>
    <row r="25" spans="2:10" ht="32.1" customHeight="1" x14ac:dyDescent="0.25">
      <c r="B25" s="54" t="s">
        <v>1362</v>
      </c>
      <c r="C25" s="41" t="s">
        <v>4</v>
      </c>
      <c r="D25" s="37" t="s">
        <v>1354</v>
      </c>
      <c r="E25" s="55" t="s">
        <v>1355</v>
      </c>
      <c r="F25" s="193">
        <v>260</v>
      </c>
      <c r="G25" s="194" t="s">
        <v>1356</v>
      </c>
      <c r="H25" s="191" t="s">
        <v>124</v>
      </c>
      <c r="I25" s="192" t="s">
        <v>1363</v>
      </c>
    </row>
    <row r="26" spans="2:10" ht="32.1" customHeight="1" x14ac:dyDescent="0.25">
      <c r="B26" s="60" t="s">
        <v>1364</v>
      </c>
      <c r="C26" s="45" t="s">
        <v>4</v>
      </c>
      <c r="D26" s="47" t="s">
        <v>1365</v>
      </c>
      <c r="E26" s="61" t="s">
        <v>1366</v>
      </c>
      <c r="F26" s="189">
        <v>220</v>
      </c>
      <c r="G26" s="190" t="s">
        <v>1356</v>
      </c>
      <c r="H26" s="191" t="s">
        <v>124</v>
      </c>
      <c r="I26" s="192" t="s">
        <v>1367</v>
      </c>
    </row>
    <row r="27" spans="2:10" ht="32.1" customHeight="1" x14ac:dyDescent="0.25">
      <c r="B27" s="54" t="s">
        <v>1368</v>
      </c>
      <c r="C27" s="41" t="s">
        <v>4</v>
      </c>
      <c r="D27" s="37" t="s">
        <v>1365</v>
      </c>
      <c r="E27" s="55" t="s">
        <v>1366</v>
      </c>
      <c r="F27" s="193">
        <v>220</v>
      </c>
      <c r="G27" s="194" t="s">
        <v>1356</v>
      </c>
      <c r="H27" s="191" t="s">
        <v>124</v>
      </c>
      <c r="I27" s="192" t="s">
        <v>1369</v>
      </c>
    </row>
    <row r="28" spans="2:10" ht="32.1" customHeight="1" x14ac:dyDescent="0.25">
      <c r="B28" s="60" t="s">
        <v>1370</v>
      </c>
      <c r="C28" s="45" t="s">
        <v>4</v>
      </c>
      <c r="D28" s="47" t="s">
        <v>1365</v>
      </c>
      <c r="E28" s="61" t="s">
        <v>1366</v>
      </c>
      <c r="F28" s="189">
        <v>220</v>
      </c>
      <c r="G28" s="190" t="s">
        <v>1356</v>
      </c>
      <c r="H28" s="191" t="s">
        <v>124</v>
      </c>
      <c r="I28" s="192" t="s">
        <v>1371</v>
      </c>
    </row>
    <row r="29" spans="2:10" ht="32.1" customHeight="1" x14ac:dyDescent="0.25">
      <c r="B29" s="54" t="s">
        <v>1372</v>
      </c>
      <c r="C29" s="41" t="s">
        <v>4</v>
      </c>
      <c r="D29" s="37" t="s">
        <v>1365</v>
      </c>
      <c r="E29" s="55" t="s">
        <v>1366</v>
      </c>
      <c r="F29" s="193">
        <v>220</v>
      </c>
      <c r="G29" s="194" t="s">
        <v>1356</v>
      </c>
      <c r="H29" s="191" t="s">
        <v>124</v>
      </c>
      <c r="I29" s="192" t="s">
        <v>1373</v>
      </c>
    </row>
    <row r="30" spans="2:10" ht="32.1" customHeight="1" x14ac:dyDescent="0.25">
      <c r="B30" s="60" t="s">
        <v>1374</v>
      </c>
      <c r="C30" s="45" t="s">
        <v>4</v>
      </c>
      <c r="D30" s="47" t="s">
        <v>1375</v>
      </c>
      <c r="E30" s="61" t="s">
        <v>1376</v>
      </c>
      <c r="F30" s="189">
        <v>200</v>
      </c>
      <c r="G30" s="190" t="s">
        <v>1356</v>
      </c>
      <c r="H30" s="191" t="s">
        <v>124</v>
      </c>
      <c r="I30" s="192" t="s">
        <v>1377</v>
      </c>
    </row>
    <row r="31" spans="2:10" ht="32.1" customHeight="1" x14ac:dyDescent="0.25">
      <c r="B31" s="54" t="s">
        <v>1378</v>
      </c>
      <c r="C31" s="41" t="s">
        <v>4</v>
      </c>
      <c r="D31" s="37" t="s">
        <v>1375</v>
      </c>
      <c r="E31" s="55" t="s">
        <v>1376</v>
      </c>
      <c r="F31" s="193">
        <v>200</v>
      </c>
      <c r="G31" s="194" t="s">
        <v>1356</v>
      </c>
      <c r="H31" s="191" t="s">
        <v>124</v>
      </c>
      <c r="I31" s="192" t="s">
        <v>1379</v>
      </c>
    </row>
    <row r="32" spans="2:10" ht="32.1" customHeight="1" x14ac:dyDescent="0.25">
      <c r="B32" s="60" t="s">
        <v>1380</v>
      </c>
      <c r="C32" s="45" t="s">
        <v>4</v>
      </c>
      <c r="D32" s="47" t="s">
        <v>1381</v>
      </c>
      <c r="E32" s="61" t="s">
        <v>1366</v>
      </c>
      <c r="F32" s="189">
        <v>180</v>
      </c>
      <c r="G32" s="190" t="s">
        <v>1356</v>
      </c>
      <c r="H32" s="191" t="s">
        <v>124</v>
      </c>
      <c r="I32" s="192" t="s">
        <v>1382</v>
      </c>
    </row>
    <row r="33" spans="2:9" ht="32.1" customHeight="1" x14ac:dyDescent="0.25">
      <c r="B33" s="54" t="s">
        <v>1383</v>
      </c>
      <c r="C33" s="41" t="s">
        <v>4</v>
      </c>
      <c r="D33" s="37" t="s">
        <v>1381</v>
      </c>
      <c r="E33" s="55" t="s">
        <v>1366</v>
      </c>
      <c r="F33" s="193">
        <v>180</v>
      </c>
      <c r="G33" s="194" t="s">
        <v>1356</v>
      </c>
      <c r="H33" s="191" t="s">
        <v>124</v>
      </c>
      <c r="I33" s="192" t="s">
        <v>1384</v>
      </c>
    </row>
    <row r="34" spans="2:9" ht="32.1" customHeight="1" x14ac:dyDescent="0.25">
      <c r="B34" s="60" t="s">
        <v>1385</v>
      </c>
      <c r="C34" s="45" t="s">
        <v>4</v>
      </c>
      <c r="D34" s="47" t="s">
        <v>1381</v>
      </c>
      <c r="E34" s="61" t="s">
        <v>1366</v>
      </c>
      <c r="F34" s="189">
        <v>180</v>
      </c>
      <c r="G34" s="190" t="s">
        <v>1356</v>
      </c>
      <c r="H34" s="191" t="s">
        <v>124</v>
      </c>
      <c r="I34" s="192" t="s">
        <v>1386</v>
      </c>
    </row>
    <row r="35" spans="2:9" ht="32.1" customHeight="1" x14ac:dyDescent="0.25">
      <c r="B35" s="54" t="s">
        <v>1387</v>
      </c>
      <c r="C35" s="41" t="s">
        <v>4</v>
      </c>
      <c r="D35" s="37" t="s">
        <v>1381</v>
      </c>
      <c r="E35" s="55" t="s">
        <v>1366</v>
      </c>
      <c r="F35" s="193">
        <v>180</v>
      </c>
      <c r="G35" s="194" t="s">
        <v>1356</v>
      </c>
      <c r="H35" s="191" t="s">
        <v>124</v>
      </c>
      <c r="I35" s="192" t="s">
        <v>1388</v>
      </c>
    </row>
    <row r="36" spans="2:9" ht="32.1" customHeight="1" x14ac:dyDescent="0.25">
      <c r="B36" s="60" t="s">
        <v>1389</v>
      </c>
      <c r="C36" s="45" t="s">
        <v>4</v>
      </c>
      <c r="D36" s="47" t="s">
        <v>1381</v>
      </c>
      <c r="E36" s="61" t="s">
        <v>1366</v>
      </c>
      <c r="F36" s="189">
        <v>180</v>
      </c>
      <c r="G36" s="190" t="s">
        <v>1356</v>
      </c>
      <c r="H36" s="191" t="s">
        <v>124</v>
      </c>
      <c r="I36" s="192" t="s">
        <v>1390</v>
      </c>
    </row>
    <row r="37" spans="2:9" ht="32.1" customHeight="1" x14ac:dyDescent="0.25">
      <c r="B37" s="54" t="s">
        <v>1391</v>
      </c>
      <c r="C37" s="41" t="s">
        <v>4</v>
      </c>
      <c r="D37" s="37" t="s">
        <v>1392</v>
      </c>
      <c r="E37" s="55" t="s">
        <v>1393</v>
      </c>
      <c r="F37" s="193">
        <v>120</v>
      </c>
      <c r="G37" s="194" t="s">
        <v>1356</v>
      </c>
      <c r="H37" s="191" t="s">
        <v>124</v>
      </c>
      <c r="I37" s="192" t="s">
        <v>1394</v>
      </c>
    </row>
    <row r="38" spans="2:9" ht="32.1" customHeight="1" x14ac:dyDescent="0.25">
      <c r="B38" s="60" t="s">
        <v>1395</v>
      </c>
      <c r="C38" s="45" t="s">
        <v>4</v>
      </c>
      <c r="D38" s="47" t="s">
        <v>1392</v>
      </c>
      <c r="E38" s="61" t="s">
        <v>1393</v>
      </c>
      <c r="F38" s="189">
        <v>120</v>
      </c>
      <c r="G38" s="190" t="s">
        <v>1356</v>
      </c>
      <c r="H38" s="191" t="s">
        <v>124</v>
      </c>
      <c r="I38" s="192" t="s">
        <v>1396</v>
      </c>
    </row>
    <row r="39" spans="2:9" ht="32.1" customHeight="1" x14ac:dyDescent="0.25">
      <c r="B39" s="54" t="s">
        <v>1397</v>
      </c>
      <c r="C39" s="41" t="s">
        <v>4</v>
      </c>
      <c r="D39" s="37" t="s">
        <v>1398</v>
      </c>
      <c r="E39" s="55" t="s">
        <v>1399</v>
      </c>
      <c r="F39" s="193">
        <v>80</v>
      </c>
      <c r="G39" s="194" t="s">
        <v>1320</v>
      </c>
      <c r="H39" s="191" t="s">
        <v>124</v>
      </c>
      <c r="I39" s="192" t="s">
        <v>1400</v>
      </c>
    </row>
    <row r="40" spans="2:9" ht="32.1" customHeight="1" x14ac:dyDescent="0.25">
      <c r="B40" s="60" t="s">
        <v>1401</v>
      </c>
      <c r="C40" s="45" t="s">
        <v>4</v>
      </c>
      <c r="D40" s="47" t="s">
        <v>1402</v>
      </c>
      <c r="E40" s="61" t="s">
        <v>1403</v>
      </c>
      <c r="F40" s="189">
        <v>1200</v>
      </c>
      <c r="G40" s="190" t="s">
        <v>1356</v>
      </c>
      <c r="H40" s="191" t="s">
        <v>124</v>
      </c>
      <c r="I40" s="192" t="s">
        <v>1404</v>
      </c>
    </row>
    <row r="41" spans="2:9" ht="32.1" customHeight="1" x14ac:dyDescent="0.25">
      <c r="B41" s="54" t="s">
        <v>1405</v>
      </c>
      <c r="C41" s="41" t="s">
        <v>4</v>
      </c>
      <c r="D41" s="37" t="s">
        <v>1406</v>
      </c>
      <c r="E41" s="55" t="s">
        <v>1407</v>
      </c>
      <c r="F41" s="193">
        <v>350</v>
      </c>
      <c r="G41" s="194" t="s">
        <v>1356</v>
      </c>
      <c r="H41" s="191" t="s">
        <v>124</v>
      </c>
      <c r="I41" s="192" t="s">
        <v>765</v>
      </c>
    </row>
    <row r="42" spans="2:9" ht="32.1" customHeight="1" x14ac:dyDescent="0.25">
      <c r="B42" s="60" t="s">
        <v>1408</v>
      </c>
      <c r="C42" s="45" t="s">
        <v>4</v>
      </c>
      <c r="D42" s="47" t="s">
        <v>1409</v>
      </c>
      <c r="E42" s="61" t="s">
        <v>1410</v>
      </c>
      <c r="F42" s="189">
        <v>280</v>
      </c>
      <c r="G42" s="190" t="s">
        <v>1356</v>
      </c>
      <c r="H42" s="191" t="s">
        <v>124</v>
      </c>
      <c r="I42" s="192" t="s">
        <v>1411</v>
      </c>
    </row>
    <row r="43" spans="2:9" ht="32.1" customHeight="1" x14ac:dyDescent="0.25">
      <c r="B43" s="54" t="s">
        <v>1412</v>
      </c>
      <c r="C43" s="41" t="s">
        <v>4</v>
      </c>
      <c r="D43" s="37" t="s">
        <v>1413</v>
      </c>
      <c r="E43" s="55" t="s">
        <v>1414</v>
      </c>
      <c r="F43" s="193">
        <v>450</v>
      </c>
      <c r="G43" s="194" t="s">
        <v>1356</v>
      </c>
      <c r="H43" s="191" t="s">
        <v>124</v>
      </c>
      <c r="I43" s="192" t="s">
        <v>1415</v>
      </c>
    </row>
    <row r="44" spans="2:9" ht="32.1" customHeight="1" x14ac:dyDescent="0.25">
      <c r="B44" s="60" t="s">
        <v>1416</v>
      </c>
      <c r="C44" s="45" t="s">
        <v>4</v>
      </c>
      <c r="D44" s="47" t="s">
        <v>1417</v>
      </c>
      <c r="E44" s="61" t="s">
        <v>1418</v>
      </c>
      <c r="F44" s="189">
        <v>380</v>
      </c>
      <c r="G44" s="190" t="s">
        <v>1356</v>
      </c>
      <c r="H44" s="191" t="s">
        <v>124</v>
      </c>
      <c r="I44" s="192" t="s">
        <v>1419</v>
      </c>
    </row>
    <row r="45" spans="2:9" ht="32.1" customHeight="1" x14ac:dyDescent="0.25">
      <c r="B45" s="54" t="s">
        <v>1420</v>
      </c>
      <c r="C45" s="41" t="s">
        <v>4</v>
      </c>
      <c r="D45" s="37" t="s">
        <v>1421</v>
      </c>
      <c r="E45" s="55" t="s">
        <v>1422</v>
      </c>
      <c r="F45" s="193">
        <v>120</v>
      </c>
      <c r="G45" s="194" t="s">
        <v>1356</v>
      </c>
      <c r="H45" s="45" t="s">
        <v>179</v>
      </c>
      <c r="I45" s="192" t="s">
        <v>1423</v>
      </c>
    </row>
    <row r="46" spans="2:9" ht="32.1" customHeight="1" x14ac:dyDescent="0.25">
      <c r="B46" s="60" t="s">
        <v>1424</v>
      </c>
      <c r="C46" s="45" t="s">
        <v>4</v>
      </c>
      <c r="D46" s="47" t="s">
        <v>1425</v>
      </c>
      <c r="E46" s="61" t="s">
        <v>1426</v>
      </c>
      <c r="F46" s="189">
        <v>180</v>
      </c>
      <c r="G46" s="190" t="s">
        <v>1356</v>
      </c>
      <c r="H46" s="45" t="s">
        <v>179</v>
      </c>
      <c r="I46" s="192" t="s">
        <v>1427</v>
      </c>
    </row>
    <row r="47" spans="2:9" ht="32.1" customHeight="1" x14ac:dyDescent="0.25">
      <c r="B47" s="54" t="s">
        <v>1428</v>
      </c>
      <c r="C47" s="41" t="s">
        <v>4</v>
      </c>
      <c r="D47" s="37" t="s">
        <v>621</v>
      </c>
      <c r="E47" s="55" t="s">
        <v>1429</v>
      </c>
      <c r="F47" s="193">
        <v>90</v>
      </c>
      <c r="G47" s="194" t="s">
        <v>1356</v>
      </c>
      <c r="H47" s="191" t="s">
        <v>124</v>
      </c>
      <c r="I47" s="192" t="s">
        <v>621</v>
      </c>
    </row>
    <row r="48" spans="2:9" ht="32.1" customHeight="1" x14ac:dyDescent="0.25">
      <c r="B48" s="60" t="s">
        <v>1430</v>
      </c>
      <c r="C48" s="45" t="s">
        <v>4</v>
      </c>
      <c r="D48" s="47" t="s">
        <v>1431</v>
      </c>
      <c r="E48" s="61" t="s">
        <v>1432</v>
      </c>
      <c r="F48" s="189">
        <v>120</v>
      </c>
      <c r="G48" s="190" t="s">
        <v>1356</v>
      </c>
      <c r="H48" s="45" t="s">
        <v>179</v>
      </c>
      <c r="I48" s="192" t="s">
        <v>1433</v>
      </c>
    </row>
    <row r="49" spans="2:9" ht="32.1" customHeight="1" x14ac:dyDescent="0.25">
      <c r="B49" s="54" t="s">
        <v>1434</v>
      </c>
      <c r="C49" s="41" t="s">
        <v>4</v>
      </c>
      <c r="D49" s="37" t="s">
        <v>1435</v>
      </c>
      <c r="E49" s="55" t="s">
        <v>1436</v>
      </c>
      <c r="F49" s="193">
        <v>80</v>
      </c>
      <c r="G49" s="194" t="s">
        <v>1356</v>
      </c>
      <c r="H49" s="45" t="s">
        <v>179</v>
      </c>
      <c r="I49" s="192" t="s">
        <v>1437</v>
      </c>
    </row>
    <row r="50" spans="2:9" ht="32.1" customHeight="1" x14ac:dyDescent="0.25">
      <c r="B50" s="60" t="s">
        <v>1438</v>
      </c>
      <c r="C50" s="45" t="s">
        <v>4</v>
      </c>
      <c r="D50" s="47" t="s">
        <v>1439</v>
      </c>
      <c r="E50" s="61" t="s">
        <v>1440</v>
      </c>
      <c r="F50" s="189">
        <v>100</v>
      </c>
      <c r="G50" s="190" t="s">
        <v>1356</v>
      </c>
      <c r="H50" s="45" t="s">
        <v>179</v>
      </c>
      <c r="I50" s="192" t="s">
        <v>1441</v>
      </c>
    </row>
    <row r="51" spans="2:9" ht="32.1" customHeight="1" x14ac:dyDescent="0.25">
      <c r="B51" s="54" t="s">
        <v>1442</v>
      </c>
      <c r="C51" s="41" t="s">
        <v>4</v>
      </c>
      <c r="D51" s="37" t="s">
        <v>1443</v>
      </c>
      <c r="E51" s="55" t="s">
        <v>1444</v>
      </c>
      <c r="F51" s="193">
        <v>80</v>
      </c>
      <c r="G51" s="194" t="s">
        <v>1320</v>
      </c>
      <c r="H51" s="191" t="s">
        <v>124</v>
      </c>
      <c r="I51" s="192" t="s">
        <v>1445</v>
      </c>
    </row>
    <row r="52" spans="2:9" ht="32.1" customHeight="1" x14ac:dyDescent="0.25">
      <c r="B52" s="60" t="s">
        <v>1446</v>
      </c>
      <c r="C52" s="45" t="s">
        <v>4</v>
      </c>
      <c r="D52" s="47" t="s">
        <v>1447</v>
      </c>
      <c r="E52" s="61" t="s">
        <v>1448</v>
      </c>
      <c r="F52" s="189">
        <v>160</v>
      </c>
      <c r="G52" s="190" t="s">
        <v>1449</v>
      </c>
      <c r="H52" s="191" t="s">
        <v>124</v>
      </c>
      <c r="I52" s="192" t="s">
        <v>1450</v>
      </c>
    </row>
    <row r="53" spans="2:9" ht="32.1" customHeight="1" x14ac:dyDescent="0.25">
      <c r="B53" s="54" t="s">
        <v>1451</v>
      </c>
      <c r="C53" s="41" t="s">
        <v>4</v>
      </c>
      <c r="D53" s="37" t="s">
        <v>1452</v>
      </c>
      <c r="E53" s="55" t="s">
        <v>1448</v>
      </c>
      <c r="F53" s="193">
        <v>140</v>
      </c>
      <c r="G53" s="194" t="s">
        <v>1449</v>
      </c>
      <c r="H53" s="191" t="s">
        <v>124</v>
      </c>
      <c r="I53" s="192" t="s">
        <v>1453</v>
      </c>
    </row>
    <row r="54" spans="2:9" ht="32.1" customHeight="1" x14ac:dyDescent="0.25">
      <c r="B54" s="60" t="s">
        <v>1454</v>
      </c>
      <c r="C54" s="45" t="s">
        <v>4</v>
      </c>
      <c r="D54" s="47" t="s">
        <v>1455</v>
      </c>
      <c r="E54" s="61" t="s">
        <v>1456</v>
      </c>
      <c r="F54" s="189">
        <v>320</v>
      </c>
      <c r="G54" s="190" t="s">
        <v>1356</v>
      </c>
      <c r="H54" s="45" t="s">
        <v>179</v>
      </c>
      <c r="I54" s="192" t="s">
        <v>1457</v>
      </c>
    </row>
    <row r="55" spans="2:9" ht="32.1" customHeight="1" x14ac:dyDescent="0.25">
      <c r="B55" s="54" t="s">
        <v>1458</v>
      </c>
      <c r="C55" s="41" t="s">
        <v>4</v>
      </c>
      <c r="D55" s="37" t="s">
        <v>1459</v>
      </c>
      <c r="E55" s="55" t="s">
        <v>1460</v>
      </c>
      <c r="F55" s="193">
        <v>60</v>
      </c>
      <c r="G55" s="194" t="s">
        <v>1449</v>
      </c>
      <c r="H55" s="45" t="s">
        <v>179</v>
      </c>
      <c r="I55" s="192" t="s">
        <v>1461</v>
      </c>
    </row>
    <row r="56" spans="2:9" ht="32.1" customHeight="1" x14ac:dyDescent="0.25">
      <c r="B56" s="60" t="s">
        <v>1462</v>
      </c>
      <c r="C56" s="45" t="s">
        <v>7</v>
      </c>
      <c r="D56" s="47" t="s">
        <v>1354</v>
      </c>
      <c r="E56" s="61" t="s">
        <v>1355</v>
      </c>
      <c r="F56" s="189">
        <v>260</v>
      </c>
      <c r="G56" s="190" t="s">
        <v>1356</v>
      </c>
      <c r="H56" s="191" t="s">
        <v>124</v>
      </c>
      <c r="I56" s="192" t="s">
        <v>1463</v>
      </c>
    </row>
    <row r="57" spans="2:9" ht="32.1" customHeight="1" x14ac:dyDescent="0.25">
      <c r="B57" s="54" t="s">
        <v>1464</v>
      </c>
      <c r="C57" s="41" t="s">
        <v>7</v>
      </c>
      <c r="D57" s="37" t="s">
        <v>1354</v>
      </c>
      <c r="E57" s="55" t="s">
        <v>1355</v>
      </c>
      <c r="F57" s="193">
        <v>260</v>
      </c>
      <c r="G57" s="194" t="s">
        <v>1356</v>
      </c>
      <c r="H57" s="191" t="s">
        <v>124</v>
      </c>
      <c r="I57" s="192" t="s">
        <v>1465</v>
      </c>
    </row>
    <row r="58" spans="2:9" ht="32.1" customHeight="1" x14ac:dyDescent="0.25">
      <c r="B58" s="60" t="s">
        <v>1466</v>
      </c>
      <c r="C58" s="45" t="s">
        <v>7</v>
      </c>
      <c r="D58" s="47" t="s">
        <v>1354</v>
      </c>
      <c r="E58" s="61" t="s">
        <v>1355</v>
      </c>
      <c r="F58" s="189">
        <v>260</v>
      </c>
      <c r="G58" s="190" t="s">
        <v>1356</v>
      </c>
      <c r="H58" s="191" t="s">
        <v>124</v>
      </c>
      <c r="I58" s="192" t="s">
        <v>1467</v>
      </c>
    </row>
    <row r="59" spans="2:9" ht="32.1" customHeight="1" x14ac:dyDescent="0.25">
      <c r="B59" s="54" t="s">
        <v>1468</v>
      </c>
      <c r="C59" s="41" t="s">
        <v>7</v>
      </c>
      <c r="D59" s="37" t="s">
        <v>1365</v>
      </c>
      <c r="E59" s="55" t="s">
        <v>1366</v>
      </c>
      <c r="F59" s="193">
        <v>220</v>
      </c>
      <c r="G59" s="194" t="s">
        <v>1356</v>
      </c>
      <c r="H59" s="191" t="s">
        <v>124</v>
      </c>
      <c r="I59" s="192" t="s">
        <v>1469</v>
      </c>
    </row>
    <row r="60" spans="2:9" ht="32.1" customHeight="1" x14ac:dyDescent="0.25">
      <c r="B60" s="60" t="s">
        <v>1470</v>
      </c>
      <c r="C60" s="45" t="s">
        <v>7</v>
      </c>
      <c r="D60" s="47" t="s">
        <v>1365</v>
      </c>
      <c r="E60" s="61" t="s">
        <v>1366</v>
      </c>
      <c r="F60" s="189">
        <v>220</v>
      </c>
      <c r="G60" s="190" t="s">
        <v>1356</v>
      </c>
      <c r="H60" s="191" t="s">
        <v>124</v>
      </c>
      <c r="I60" s="192" t="s">
        <v>1471</v>
      </c>
    </row>
    <row r="61" spans="2:9" ht="32.1" customHeight="1" x14ac:dyDescent="0.25">
      <c r="B61" s="54" t="s">
        <v>1472</v>
      </c>
      <c r="C61" s="41" t="s">
        <v>7</v>
      </c>
      <c r="D61" s="37" t="s">
        <v>1365</v>
      </c>
      <c r="E61" s="55" t="s">
        <v>1366</v>
      </c>
      <c r="F61" s="193">
        <v>220</v>
      </c>
      <c r="G61" s="194" t="s">
        <v>1356</v>
      </c>
      <c r="H61" s="191" t="s">
        <v>124</v>
      </c>
      <c r="I61" s="192" t="s">
        <v>1473</v>
      </c>
    </row>
    <row r="62" spans="2:9" ht="32.1" customHeight="1" x14ac:dyDescent="0.25">
      <c r="B62" s="60" t="s">
        <v>1474</v>
      </c>
      <c r="C62" s="45" t="s">
        <v>7</v>
      </c>
      <c r="D62" s="47" t="s">
        <v>1365</v>
      </c>
      <c r="E62" s="61" t="s">
        <v>1366</v>
      </c>
      <c r="F62" s="189">
        <v>220</v>
      </c>
      <c r="G62" s="190" t="s">
        <v>1356</v>
      </c>
      <c r="H62" s="191" t="s">
        <v>124</v>
      </c>
      <c r="I62" s="192" t="s">
        <v>1475</v>
      </c>
    </row>
    <row r="63" spans="2:9" ht="32.1" customHeight="1" x14ac:dyDescent="0.25">
      <c r="B63" s="54" t="s">
        <v>1476</v>
      </c>
      <c r="C63" s="41" t="s">
        <v>7</v>
      </c>
      <c r="D63" s="37" t="s">
        <v>1375</v>
      </c>
      <c r="E63" s="55" t="s">
        <v>1376</v>
      </c>
      <c r="F63" s="193">
        <v>200</v>
      </c>
      <c r="G63" s="194" t="s">
        <v>1356</v>
      </c>
      <c r="H63" s="191" t="s">
        <v>124</v>
      </c>
      <c r="I63" s="192" t="s">
        <v>1477</v>
      </c>
    </row>
    <row r="64" spans="2:9" ht="32.1" customHeight="1" x14ac:dyDescent="0.25">
      <c r="B64" s="60" t="s">
        <v>1478</v>
      </c>
      <c r="C64" s="45" t="s">
        <v>7</v>
      </c>
      <c r="D64" s="47" t="s">
        <v>1375</v>
      </c>
      <c r="E64" s="61" t="s">
        <v>1376</v>
      </c>
      <c r="F64" s="189">
        <v>200</v>
      </c>
      <c r="G64" s="190" t="s">
        <v>1356</v>
      </c>
      <c r="H64" s="191" t="s">
        <v>124</v>
      </c>
      <c r="I64" s="192" t="s">
        <v>1479</v>
      </c>
    </row>
    <row r="65" spans="2:9" ht="32.1" customHeight="1" x14ac:dyDescent="0.25">
      <c r="B65" s="54" t="s">
        <v>1480</v>
      </c>
      <c r="C65" s="41" t="s">
        <v>7</v>
      </c>
      <c r="D65" s="37" t="s">
        <v>1381</v>
      </c>
      <c r="E65" s="55" t="s">
        <v>1366</v>
      </c>
      <c r="F65" s="193">
        <v>180</v>
      </c>
      <c r="G65" s="194" t="s">
        <v>1356</v>
      </c>
      <c r="H65" s="191" t="s">
        <v>124</v>
      </c>
      <c r="I65" s="192" t="s">
        <v>1481</v>
      </c>
    </row>
    <row r="66" spans="2:9" ht="32.1" customHeight="1" x14ac:dyDescent="0.25">
      <c r="B66" s="60" t="s">
        <v>1482</v>
      </c>
      <c r="C66" s="45" t="s">
        <v>7</v>
      </c>
      <c r="D66" s="47" t="s">
        <v>1381</v>
      </c>
      <c r="E66" s="61" t="s">
        <v>1366</v>
      </c>
      <c r="F66" s="189">
        <v>180</v>
      </c>
      <c r="G66" s="190" t="s">
        <v>1356</v>
      </c>
      <c r="H66" s="191" t="s">
        <v>124</v>
      </c>
      <c r="I66" s="192" t="s">
        <v>1483</v>
      </c>
    </row>
    <row r="67" spans="2:9" ht="32.1" customHeight="1" x14ac:dyDescent="0.25">
      <c r="B67" s="54" t="s">
        <v>1484</v>
      </c>
      <c r="C67" s="41" t="s">
        <v>7</v>
      </c>
      <c r="D67" s="37" t="s">
        <v>1381</v>
      </c>
      <c r="E67" s="55" t="s">
        <v>1366</v>
      </c>
      <c r="F67" s="193">
        <v>180</v>
      </c>
      <c r="G67" s="194" t="s">
        <v>1356</v>
      </c>
      <c r="H67" s="191" t="s">
        <v>124</v>
      </c>
      <c r="I67" s="192" t="s">
        <v>1485</v>
      </c>
    </row>
    <row r="68" spans="2:9" ht="32.1" customHeight="1" x14ac:dyDescent="0.25">
      <c r="B68" s="60" t="s">
        <v>1486</v>
      </c>
      <c r="C68" s="45" t="s">
        <v>7</v>
      </c>
      <c r="D68" s="47" t="s">
        <v>1381</v>
      </c>
      <c r="E68" s="61" t="s">
        <v>1366</v>
      </c>
      <c r="F68" s="189">
        <v>180</v>
      </c>
      <c r="G68" s="190" t="s">
        <v>1356</v>
      </c>
      <c r="H68" s="191" t="s">
        <v>124</v>
      </c>
      <c r="I68" s="192" t="s">
        <v>1487</v>
      </c>
    </row>
    <row r="69" spans="2:9" ht="32.1" customHeight="1" x14ac:dyDescent="0.25">
      <c r="B69" s="54" t="s">
        <v>1488</v>
      </c>
      <c r="C69" s="41" t="s">
        <v>7</v>
      </c>
      <c r="D69" s="37" t="s">
        <v>1392</v>
      </c>
      <c r="E69" s="55" t="s">
        <v>1393</v>
      </c>
      <c r="F69" s="193">
        <v>120</v>
      </c>
      <c r="G69" s="194" t="s">
        <v>1356</v>
      </c>
      <c r="H69" s="191" t="s">
        <v>124</v>
      </c>
      <c r="I69" s="192" t="s">
        <v>1489</v>
      </c>
    </row>
    <row r="70" spans="2:9" ht="32.1" customHeight="1" x14ac:dyDescent="0.25">
      <c r="B70" s="60" t="s">
        <v>1490</v>
      </c>
      <c r="C70" s="45" t="s">
        <v>7</v>
      </c>
      <c r="D70" s="47" t="s">
        <v>1392</v>
      </c>
      <c r="E70" s="61" t="s">
        <v>1393</v>
      </c>
      <c r="F70" s="189">
        <v>120</v>
      </c>
      <c r="G70" s="190" t="s">
        <v>1356</v>
      </c>
      <c r="H70" s="191" t="s">
        <v>124</v>
      </c>
      <c r="I70" s="192" t="s">
        <v>1491</v>
      </c>
    </row>
    <row r="71" spans="2:9" ht="32.1" customHeight="1" x14ac:dyDescent="0.25">
      <c r="B71" s="54" t="s">
        <v>1492</v>
      </c>
      <c r="C71" s="41" t="s">
        <v>7</v>
      </c>
      <c r="D71" s="37" t="s">
        <v>1400</v>
      </c>
      <c r="E71" s="55" t="s">
        <v>1399</v>
      </c>
      <c r="F71" s="193">
        <v>80</v>
      </c>
      <c r="G71" s="194" t="s">
        <v>1320</v>
      </c>
      <c r="H71" s="191" t="s">
        <v>124</v>
      </c>
      <c r="I71" s="192" t="s">
        <v>1400</v>
      </c>
    </row>
    <row r="72" spans="2:9" ht="32.1" customHeight="1" x14ac:dyDescent="0.25">
      <c r="B72" s="60" t="s">
        <v>1493</v>
      </c>
      <c r="C72" s="45" t="s">
        <v>7</v>
      </c>
      <c r="D72" s="47" t="s">
        <v>1409</v>
      </c>
      <c r="E72" s="61" t="s">
        <v>1410</v>
      </c>
      <c r="F72" s="189">
        <v>280</v>
      </c>
      <c r="G72" s="190" t="s">
        <v>1356</v>
      </c>
      <c r="H72" s="191" t="s">
        <v>124</v>
      </c>
      <c r="I72" s="192" t="s">
        <v>1411</v>
      </c>
    </row>
    <row r="73" spans="2:9" ht="32.1" customHeight="1" x14ac:dyDescent="0.25">
      <c r="B73" s="54" t="s">
        <v>1494</v>
      </c>
      <c r="C73" s="41" t="s">
        <v>7</v>
      </c>
      <c r="D73" s="37" t="s">
        <v>1495</v>
      </c>
      <c r="E73" s="55" t="s">
        <v>1414</v>
      </c>
      <c r="F73" s="193">
        <v>420</v>
      </c>
      <c r="G73" s="194" t="s">
        <v>1356</v>
      </c>
      <c r="H73" s="191" t="s">
        <v>124</v>
      </c>
      <c r="I73" s="192" t="s">
        <v>1496</v>
      </c>
    </row>
    <row r="74" spans="2:9" ht="32.1" customHeight="1" x14ac:dyDescent="0.25">
      <c r="B74" s="60" t="s">
        <v>1497</v>
      </c>
      <c r="C74" s="45" t="s">
        <v>7</v>
      </c>
      <c r="D74" s="47" t="s">
        <v>1498</v>
      </c>
      <c r="E74" s="61" t="s">
        <v>1499</v>
      </c>
      <c r="F74" s="189">
        <v>220</v>
      </c>
      <c r="G74" s="190" t="s">
        <v>1356</v>
      </c>
      <c r="H74" s="191" t="s">
        <v>124</v>
      </c>
      <c r="I74" s="192" t="s">
        <v>1500</v>
      </c>
    </row>
    <row r="75" spans="2:9" ht="32.1" customHeight="1" x14ac:dyDescent="0.25">
      <c r="B75" s="54" t="s">
        <v>1501</v>
      </c>
      <c r="C75" s="41" t="s">
        <v>7</v>
      </c>
      <c r="D75" s="37" t="s">
        <v>1502</v>
      </c>
      <c r="E75" s="55" t="s">
        <v>1503</v>
      </c>
      <c r="F75" s="193">
        <v>240</v>
      </c>
      <c r="G75" s="194" t="s">
        <v>1356</v>
      </c>
      <c r="H75" s="45" t="s">
        <v>179</v>
      </c>
      <c r="I75" s="192" t="s">
        <v>1504</v>
      </c>
    </row>
    <row r="76" spans="2:9" ht="32.1" customHeight="1" x14ac:dyDescent="0.25">
      <c r="B76" s="60" t="s">
        <v>1505</v>
      </c>
      <c r="C76" s="45" t="s">
        <v>7</v>
      </c>
      <c r="D76" s="47" t="s">
        <v>621</v>
      </c>
      <c r="E76" s="61" t="s">
        <v>1429</v>
      </c>
      <c r="F76" s="189">
        <v>90</v>
      </c>
      <c r="G76" s="190" t="s">
        <v>1356</v>
      </c>
      <c r="H76" s="191" t="s">
        <v>124</v>
      </c>
      <c r="I76" s="192" t="s">
        <v>621</v>
      </c>
    </row>
    <row r="77" spans="2:9" ht="32.1" customHeight="1" x14ac:dyDescent="0.25">
      <c r="B77" s="54" t="s">
        <v>1506</v>
      </c>
      <c r="C77" s="41" t="s">
        <v>7</v>
      </c>
      <c r="D77" s="37" t="s">
        <v>1431</v>
      </c>
      <c r="E77" s="55" t="s">
        <v>1432</v>
      </c>
      <c r="F77" s="193">
        <v>100</v>
      </c>
      <c r="G77" s="194" t="s">
        <v>1356</v>
      </c>
      <c r="H77" s="45" t="s">
        <v>179</v>
      </c>
      <c r="I77" s="192" t="s">
        <v>1433</v>
      </c>
    </row>
    <row r="78" spans="2:9" ht="32.1" customHeight="1" x14ac:dyDescent="0.25">
      <c r="B78" s="60" t="s">
        <v>1507</v>
      </c>
      <c r="C78" s="45" t="s">
        <v>7</v>
      </c>
      <c r="D78" s="47" t="s">
        <v>1508</v>
      </c>
      <c r="E78" s="61" t="s">
        <v>1509</v>
      </c>
      <c r="F78" s="189">
        <v>80</v>
      </c>
      <c r="G78" s="190" t="s">
        <v>1320</v>
      </c>
      <c r="H78" s="191" t="s">
        <v>124</v>
      </c>
      <c r="I78" s="192" t="s">
        <v>1445</v>
      </c>
    </row>
    <row r="79" spans="2:9" ht="32.1" customHeight="1" x14ac:dyDescent="0.25">
      <c r="B79" s="54" t="s">
        <v>1510</v>
      </c>
      <c r="C79" s="41" t="s">
        <v>7</v>
      </c>
      <c r="D79" s="37" t="s">
        <v>1447</v>
      </c>
      <c r="E79" s="55" t="s">
        <v>1448</v>
      </c>
      <c r="F79" s="193">
        <v>160</v>
      </c>
      <c r="G79" s="194" t="s">
        <v>1449</v>
      </c>
      <c r="H79" s="191" t="s">
        <v>124</v>
      </c>
      <c r="I79" s="192" t="s">
        <v>1450</v>
      </c>
    </row>
    <row r="80" spans="2:9" ht="32.1" customHeight="1" x14ac:dyDescent="0.25">
      <c r="B80" s="60" t="s">
        <v>1511</v>
      </c>
      <c r="C80" s="45" t="s">
        <v>7</v>
      </c>
      <c r="D80" s="47" t="s">
        <v>1452</v>
      </c>
      <c r="E80" s="61" t="s">
        <v>1448</v>
      </c>
      <c r="F80" s="189">
        <v>140</v>
      </c>
      <c r="G80" s="190" t="s">
        <v>1449</v>
      </c>
      <c r="H80" s="191" t="s">
        <v>124</v>
      </c>
      <c r="I80" s="192" t="s">
        <v>1453</v>
      </c>
    </row>
    <row r="81" spans="2:9" ht="32.1" customHeight="1" x14ac:dyDescent="0.25">
      <c r="B81" s="54" t="s">
        <v>1512</v>
      </c>
      <c r="C81" s="41" t="s">
        <v>7</v>
      </c>
      <c r="D81" s="37" t="s">
        <v>1513</v>
      </c>
      <c r="E81" s="55" t="s">
        <v>1514</v>
      </c>
      <c r="F81" s="193">
        <v>200</v>
      </c>
      <c r="G81" s="194" t="s">
        <v>1356</v>
      </c>
      <c r="H81" s="45" t="s">
        <v>179</v>
      </c>
      <c r="I81" s="192" t="s">
        <v>1457</v>
      </c>
    </row>
    <row r="82" spans="2:9" ht="32.1" customHeight="1" x14ac:dyDescent="0.25">
      <c r="B82" s="60" t="s">
        <v>1515</v>
      </c>
      <c r="C82" s="45" t="s">
        <v>1516</v>
      </c>
      <c r="D82" s="47" t="s">
        <v>1517</v>
      </c>
      <c r="E82" s="61" t="s">
        <v>1518</v>
      </c>
      <c r="F82" s="195"/>
      <c r="G82" s="190" t="s">
        <v>1519</v>
      </c>
      <c r="H82" s="191" t="s">
        <v>124</v>
      </c>
      <c r="I82" s="253" t="s">
        <v>58</v>
      </c>
    </row>
    <row r="83" spans="2:9" ht="32.1" customHeight="1" x14ac:dyDescent="0.25">
      <c r="B83" s="54" t="s">
        <v>1520</v>
      </c>
      <c r="C83" s="41" t="s">
        <v>1516</v>
      </c>
      <c r="D83" s="37" t="s">
        <v>1521</v>
      </c>
      <c r="E83" s="55" t="s">
        <v>1522</v>
      </c>
      <c r="F83" s="196"/>
      <c r="G83" s="194" t="s">
        <v>1519</v>
      </c>
      <c r="H83" s="45" t="s">
        <v>179</v>
      </c>
      <c r="I83" s="192" t="s">
        <v>1523</v>
      </c>
    </row>
    <row r="84" spans="2:9" ht="32.1" customHeight="1" x14ac:dyDescent="0.25">
      <c r="B84" s="60" t="s">
        <v>1524</v>
      </c>
      <c r="C84" s="45" t="s">
        <v>1516</v>
      </c>
      <c r="D84" s="47" t="s">
        <v>1525</v>
      </c>
      <c r="E84" s="61" t="s">
        <v>1526</v>
      </c>
      <c r="F84" s="195"/>
      <c r="G84" s="190" t="s">
        <v>1334</v>
      </c>
      <c r="H84" s="45" t="s">
        <v>179</v>
      </c>
      <c r="I84" s="192" t="s">
        <v>1527</v>
      </c>
    </row>
    <row r="85" spans="2:9" ht="32.1" customHeight="1" x14ac:dyDescent="0.25">
      <c r="B85" s="54" t="s">
        <v>1528</v>
      </c>
      <c r="C85" s="41" t="s">
        <v>1516</v>
      </c>
      <c r="D85" s="37" t="s">
        <v>1529</v>
      </c>
      <c r="E85" s="55" t="s">
        <v>1530</v>
      </c>
      <c r="F85" s="196"/>
      <c r="G85" s="194" t="s">
        <v>1334</v>
      </c>
      <c r="H85" s="191" t="s">
        <v>124</v>
      </c>
      <c r="I85" s="192" t="s">
        <v>1531</v>
      </c>
    </row>
    <row r="86" spans="2:9" ht="32.1" customHeight="1" x14ac:dyDescent="0.25">
      <c r="B86" s="60" t="s">
        <v>1532</v>
      </c>
      <c r="C86" s="45" t="s">
        <v>1516</v>
      </c>
      <c r="D86" s="47" t="s">
        <v>1533</v>
      </c>
      <c r="E86" s="61" t="s">
        <v>1534</v>
      </c>
      <c r="F86" s="195"/>
      <c r="G86" s="190" t="s">
        <v>1329</v>
      </c>
      <c r="H86" s="191" t="s">
        <v>124</v>
      </c>
      <c r="I86" s="192" t="s">
        <v>1535</v>
      </c>
    </row>
    <row r="87" spans="2:9" ht="32.1" customHeight="1" x14ac:dyDescent="0.25">
      <c r="B87" s="54" t="s">
        <v>1536</v>
      </c>
      <c r="C87" s="41" t="s">
        <v>1516</v>
      </c>
      <c r="D87" s="37" t="s">
        <v>1537</v>
      </c>
      <c r="E87" s="55" t="s">
        <v>1538</v>
      </c>
      <c r="F87" s="196"/>
      <c r="G87" s="194" t="s">
        <v>1329</v>
      </c>
      <c r="H87" s="191" t="s">
        <v>124</v>
      </c>
      <c r="I87" s="192" t="s">
        <v>1539</v>
      </c>
    </row>
    <row r="88" spans="2:9" ht="32.1" customHeight="1" x14ac:dyDescent="0.25">
      <c r="B88" s="60" t="s">
        <v>1540</v>
      </c>
      <c r="C88" s="45" t="s">
        <v>1516</v>
      </c>
      <c r="D88" s="47" t="s">
        <v>1541</v>
      </c>
      <c r="E88" s="61" t="s">
        <v>1542</v>
      </c>
      <c r="F88" s="195"/>
      <c r="G88" s="190" t="s">
        <v>1329</v>
      </c>
      <c r="H88" s="191" t="s">
        <v>124</v>
      </c>
      <c r="I88" s="192" t="s">
        <v>1543</v>
      </c>
    </row>
    <row r="89" spans="2:9" ht="19.5" customHeight="1" x14ac:dyDescent="0.25">
      <c r="B89" s="63"/>
      <c r="C89" s="277" t="s">
        <v>1544</v>
      </c>
      <c r="D89" s="277"/>
      <c r="E89" s="277"/>
      <c r="F89" s="277"/>
      <c r="G89" s="277"/>
      <c r="H89" s="63"/>
      <c r="I89" s="63"/>
    </row>
    <row r="91" spans="2:9" ht="19.5" customHeight="1" x14ac:dyDescent="0.25">
      <c r="B91" s="315" t="s">
        <v>1545</v>
      </c>
      <c r="C91" s="315"/>
      <c r="D91" s="315"/>
      <c r="E91" s="315"/>
      <c r="F91" s="315"/>
      <c r="G91" s="315"/>
      <c r="H91" s="315"/>
      <c r="I91" s="315"/>
    </row>
    <row r="92" spans="2:9" ht="24" customHeight="1" x14ac:dyDescent="0.25">
      <c r="B92" s="182" t="s">
        <v>160</v>
      </c>
      <c r="C92" s="182" t="s">
        <v>845</v>
      </c>
      <c r="D92" s="182" t="s">
        <v>1546</v>
      </c>
      <c r="E92" s="182" t="s">
        <v>1547</v>
      </c>
      <c r="F92" s="182" t="s">
        <v>1117</v>
      </c>
      <c r="G92" s="182" t="s">
        <v>1086</v>
      </c>
      <c r="H92" s="182" t="s">
        <v>56</v>
      </c>
    </row>
    <row r="93" spans="2:9" ht="42" customHeight="1" x14ac:dyDescent="0.25">
      <c r="B93" s="212" t="s">
        <v>1548</v>
      </c>
      <c r="C93" s="249" t="s">
        <v>1549</v>
      </c>
      <c r="D93" s="197" t="s">
        <v>1550</v>
      </c>
      <c r="E93" s="198" t="s">
        <v>1551</v>
      </c>
      <c r="F93" s="198" t="s">
        <v>1552</v>
      </c>
      <c r="G93" s="61" t="s">
        <v>1553</v>
      </c>
      <c r="H93" s="47"/>
      <c r="I93" s="47"/>
    </row>
    <row r="94" spans="2:9" ht="42" customHeight="1" x14ac:dyDescent="0.25">
      <c r="B94" s="213" t="s">
        <v>1554</v>
      </c>
      <c r="C94" s="40" t="s">
        <v>1555</v>
      </c>
      <c r="D94" s="199" t="s">
        <v>1550</v>
      </c>
      <c r="E94" s="200" t="s">
        <v>1556</v>
      </c>
      <c r="F94" s="200" t="s">
        <v>1557</v>
      </c>
      <c r="G94" s="55" t="s">
        <v>1558</v>
      </c>
      <c r="H94" s="37"/>
      <c r="I94" s="37"/>
    </row>
    <row r="95" spans="2:9" ht="42" customHeight="1" x14ac:dyDescent="0.25">
      <c r="B95" s="212" t="s">
        <v>1559</v>
      </c>
      <c r="C95" s="50" t="s">
        <v>1560</v>
      </c>
      <c r="D95" s="197" t="s">
        <v>1561</v>
      </c>
      <c r="E95" s="198" t="s">
        <v>1562</v>
      </c>
      <c r="F95" s="198" t="s">
        <v>1563</v>
      </c>
      <c r="G95" s="61" t="s">
        <v>1564</v>
      </c>
      <c r="H95" s="47"/>
      <c r="I95" s="47"/>
    </row>
    <row r="96" spans="2:9" ht="42" customHeight="1" x14ac:dyDescent="0.25">
      <c r="B96" s="213" t="s">
        <v>1565</v>
      </c>
      <c r="C96" s="40" t="s">
        <v>1560</v>
      </c>
      <c r="D96" s="199" t="s">
        <v>1566</v>
      </c>
      <c r="E96" s="200" t="s">
        <v>1567</v>
      </c>
      <c r="F96" s="200" t="s">
        <v>1568</v>
      </c>
      <c r="G96" s="55" t="s">
        <v>1569</v>
      </c>
      <c r="H96" s="37"/>
      <c r="I96" s="37"/>
    </row>
    <row r="97" spans="2:10" ht="42" customHeight="1" x14ac:dyDescent="0.25">
      <c r="B97" s="212" t="s">
        <v>1570</v>
      </c>
      <c r="C97" s="50" t="s">
        <v>1560</v>
      </c>
      <c r="D97" s="197" t="s">
        <v>1571</v>
      </c>
      <c r="E97" s="198" t="s">
        <v>1556</v>
      </c>
      <c r="F97" s="198" t="s">
        <v>1552</v>
      </c>
      <c r="G97" s="61" t="s">
        <v>1572</v>
      </c>
      <c r="H97" s="47"/>
      <c r="I97" s="47"/>
    </row>
    <row r="98" spans="2:10" ht="42" customHeight="1" x14ac:dyDescent="0.25">
      <c r="B98" s="213" t="s">
        <v>1573</v>
      </c>
      <c r="C98" s="40" t="s">
        <v>1574</v>
      </c>
      <c r="D98" s="199" t="s">
        <v>1575</v>
      </c>
      <c r="E98" s="200" t="s">
        <v>1576</v>
      </c>
      <c r="F98" s="200" t="s">
        <v>1577</v>
      </c>
      <c r="G98" s="55" t="s">
        <v>1578</v>
      </c>
      <c r="H98" s="37"/>
      <c r="I98" s="37"/>
    </row>
    <row r="99" spans="2:10" ht="21.75" customHeight="1" x14ac:dyDescent="0.25">
      <c r="B99" s="63"/>
      <c r="C99" s="277" t="s">
        <v>1579</v>
      </c>
      <c r="D99" s="277"/>
      <c r="E99" s="201" t="s">
        <v>1580</v>
      </c>
      <c r="F99" s="201" t="s">
        <v>1581</v>
      </c>
      <c r="G99" s="63"/>
      <c r="H99" s="63"/>
      <c r="I99" s="63"/>
    </row>
    <row r="101" spans="2:10" ht="19.5" customHeight="1" x14ac:dyDescent="0.25">
      <c r="B101" s="315" t="s">
        <v>1582</v>
      </c>
      <c r="C101" s="315"/>
      <c r="D101" s="315"/>
      <c r="E101" s="315"/>
      <c r="F101" s="315"/>
      <c r="G101" s="315"/>
      <c r="H101" s="315"/>
      <c r="I101" s="315"/>
    </row>
    <row r="102" spans="2:10" ht="39.75" customHeight="1" x14ac:dyDescent="0.25">
      <c r="B102" s="316" t="s">
        <v>1583</v>
      </c>
      <c r="C102" s="316"/>
      <c r="D102" s="316"/>
      <c r="E102" s="316"/>
      <c r="F102" s="316"/>
      <c r="G102" s="316"/>
      <c r="H102" s="316"/>
      <c r="I102" s="316"/>
    </row>
    <row r="103" spans="2:10" ht="24" customHeight="1" x14ac:dyDescent="0.25">
      <c r="B103" s="182" t="s">
        <v>160</v>
      </c>
      <c r="C103" s="182" t="s">
        <v>1584</v>
      </c>
      <c r="D103" s="182" t="s">
        <v>1585</v>
      </c>
      <c r="E103" s="182" t="s">
        <v>1586</v>
      </c>
      <c r="F103" s="182" t="s">
        <v>1587</v>
      </c>
      <c r="G103" s="182" t="s">
        <v>1588</v>
      </c>
      <c r="H103" s="182" t="s">
        <v>1589</v>
      </c>
      <c r="I103" s="182" t="s">
        <v>1026</v>
      </c>
    </row>
    <row r="104" spans="2:10" ht="51.95" customHeight="1" x14ac:dyDescent="0.25">
      <c r="B104" s="202" t="s">
        <v>1590</v>
      </c>
      <c r="C104" s="203" t="s">
        <v>1591</v>
      </c>
      <c r="D104" s="204" t="s">
        <v>1592</v>
      </c>
      <c r="E104" s="250" t="s">
        <v>1593</v>
      </c>
      <c r="F104" s="204" t="s">
        <v>1594</v>
      </c>
      <c r="G104" s="204" t="s">
        <v>1595</v>
      </c>
      <c r="H104" s="252" t="s">
        <v>1596</v>
      </c>
      <c r="I104" s="205"/>
    </row>
    <row r="105" spans="2:10" ht="51.95" customHeight="1" x14ac:dyDescent="0.25">
      <c r="B105" s="206" t="s">
        <v>1597</v>
      </c>
      <c r="C105" s="185" t="s">
        <v>1598</v>
      </c>
      <c r="D105" s="55" t="s">
        <v>1599</v>
      </c>
      <c r="E105" s="251" t="s">
        <v>1600</v>
      </c>
      <c r="F105" s="55" t="s">
        <v>1601</v>
      </c>
      <c r="G105" s="55" t="s">
        <v>1602</v>
      </c>
      <c r="H105" s="207" t="s">
        <v>1603</v>
      </c>
      <c r="I105" s="37"/>
    </row>
    <row r="106" spans="2:10" ht="51.95" customHeight="1" x14ac:dyDescent="0.25">
      <c r="B106" s="208" t="s">
        <v>1604</v>
      </c>
      <c r="C106" s="183" t="s">
        <v>1605</v>
      </c>
      <c r="D106" s="61" t="s">
        <v>1606</v>
      </c>
      <c r="E106" s="249" t="s">
        <v>1607</v>
      </c>
      <c r="F106" s="61" t="s">
        <v>1608</v>
      </c>
      <c r="G106" s="61" t="s">
        <v>1609</v>
      </c>
      <c r="H106" s="207" t="s">
        <v>1603</v>
      </c>
      <c r="I106" s="47"/>
    </row>
    <row r="108" spans="2:10" ht="27.75" customHeight="1" x14ac:dyDescent="0.25">
      <c r="B108" s="317" t="s">
        <v>1610</v>
      </c>
      <c r="C108" s="317"/>
      <c r="D108" s="317"/>
      <c r="E108" s="209" t="s">
        <v>1611</v>
      </c>
      <c r="F108" s="316" t="s">
        <v>1612</v>
      </c>
      <c r="G108" s="316"/>
      <c r="H108" s="316"/>
      <c r="I108" s="316"/>
    </row>
    <row r="110" spans="2:10" ht="19.5" customHeight="1" x14ac:dyDescent="0.25">
      <c r="B110" s="315" t="s">
        <v>1613</v>
      </c>
      <c r="C110" s="315"/>
      <c r="D110" s="315"/>
      <c r="E110" s="315"/>
      <c r="F110" s="315"/>
      <c r="G110" s="315"/>
      <c r="H110" s="315"/>
      <c r="I110" s="315"/>
    </row>
    <row r="111" spans="2:10" ht="31.5" customHeight="1" x14ac:dyDescent="0.25">
      <c r="B111" s="316" t="s">
        <v>1614</v>
      </c>
      <c r="C111" s="316"/>
      <c r="D111" s="316"/>
      <c r="E111" s="316"/>
      <c r="F111" s="316"/>
      <c r="G111" s="316"/>
      <c r="H111" s="316"/>
      <c r="I111" s="316"/>
    </row>
    <row r="112" spans="2:10" ht="27.75" customHeight="1" x14ac:dyDescent="0.25">
      <c r="B112" s="182" t="s">
        <v>160</v>
      </c>
      <c r="C112" s="182" t="s">
        <v>1615</v>
      </c>
      <c r="D112" s="182" t="s">
        <v>163</v>
      </c>
      <c r="E112" s="182" t="s">
        <v>845</v>
      </c>
      <c r="F112" s="182" t="s">
        <v>1022</v>
      </c>
      <c r="G112" s="182" t="s">
        <v>1023</v>
      </c>
      <c r="H112" s="182" t="s">
        <v>1616</v>
      </c>
      <c r="I112" s="182" t="s">
        <v>1025</v>
      </c>
      <c r="J112" s="182" t="s">
        <v>1026</v>
      </c>
    </row>
    <row r="113" spans="2:9" ht="37.5" customHeight="1" x14ac:dyDescent="0.25">
      <c r="B113" s="49" t="s">
        <v>1063</v>
      </c>
      <c r="C113" s="45" t="s">
        <v>560</v>
      </c>
      <c r="D113" s="50" t="s">
        <v>1064</v>
      </c>
      <c r="E113" s="247" t="s">
        <v>1065</v>
      </c>
      <c r="F113" s="210">
        <v>10000</v>
      </c>
      <c r="G113" s="61" t="s">
        <v>1066</v>
      </c>
      <c r="H113" s="45" t="s">
        <v>124</v>
      </c>
      <c r="I113" s="53" t="s">
        <v>856</v>
      </c>
    </row>
    <row r="114" spans="2:9" ht="37.5" customHeight="1" x14ac:dyDescent="0.25">
      <c r="B114" s="39" t="s">
        <v>1068</v>
      </c>
      <c r="C114" s="41" t="s">
        <v>368</v>
      </c>
      <c r="D114" s="40" t="s">
        <v>1064</v>
      </c>
      <c r="E114" s="248" t="s">
        <v>1069</v>
      </c>
      <c r="F114" s="210">
        <v>38000</v>
      </c>
      <c r="G114" s="55" t="s">
        <v>1070</v>
      </c>
      <c r="H114" s="41" t="s">
        <v>124</v>
      </c>
      <c r="I114" s="53" t="s">
        <v>856</v>
      </c>
    </row>
    <row r="115" spans="2:9" ht="37.5" customHeight="1" x14ac:dyDescent="0.25">
      <c r="B115" s="49" t="s">
        <v>1071</v>
      </c>
      <c r="C115" s="45" t="s">
        <v>560</v>
      </c>
      <c r="D115" s="50" t="s">
        <v>1064</v>
      </c>
      <c r="E115" s="247" t="s">
        <v>1072</v>
      </c>
      <c r="F115" s="210">
        <v>18000</v>
      </c>
      <c r="G115" s="61" t="s">
        <v>1073</v>
      </c>
      <c r="H115" s="45" t="s">
        <v>124</v>
      </c>
      <c r="I115" s="53" t="s">
        <v>856</v>
      </c>
    </row>
    <row r="116" spans="2:9" ht="37.5" customHeight="1" x14ac:dyDescent="0.25">
      <c r="B116" s="39" t="s">
        <v>1074</v>
      </c>
      <c r="C116" s="41" t="s">
        <v>560</v>
      </c>
      <c r="D116" s="40" t="s">
        <v>1064</v>
      </c>
      <c r="E116" s="248" t="s">
        <v>1075</v>
      </c>
      <c r="F116" s="210">
        <v>0</v>
      </c>
      <c r="G116" s="55" t="s">
        <v>1076</v>
      </c>
      <c r="H116" s="41" t="s">
        <v>124</v>
      </c>
      <c r="I116" s="53" t="s">
        <v>856</v>
      </c>
    </row>
    <row r="117" spans="2:9" ht="21.75" customHeight="1" x14ac:dyDescent="0.25">
      <c r="B117" s="63"/>
      <c r="C117" s="277" t="s">
        <v>1617</v>
      </c>
      <c r="D117" s="277"/>
      <c r="E117" s="277"/>
      <c r="F117" s="64">
        <f>SUM(F113:F116)</f>
        <v>66000</v>
      </c>
      <c r="G117" s="63"/>
      <c r="H117" s="63"/>
      <c r="I117" s="63"/>
    </row>
    <row r="119" spans="2:9" ht="19.5" customHeight="1" x14ac:dyDescent="0.25">
      <c r="B119" s="315" t="s">
        <v>1618</v>
      </c>
      <c r="C119" s="315"/>
      <c r="D119" s="315"/>
      <c r="E119" s="315"/>
      <c r="F119" s="315"/>
      <c r="G119" s="315"/>
      <c r="H119" s="315"/>
      <c r="I119" s="315"/>
    </row>
    <row r="120" spans="2:9" ht="19.5" customHeight="1" x14ac:dyDescent="0.25">
      <c r="B120" s="211" t="s">
        <v>160</v>
      </c>
      <c r="C120" s="211" t="s">
        <v>1619</v>
      </c>
      <c r="D120" s="211" t="s">
        <v>1620</v>
      </c>
    </row>
    <row r="121" spans="2:9" ht="51.75" customHeight="1" x14ac:dyDescent="0.25">
      <c r="B121" s="212" t="s">
        <v>1621</v>
      </c>
      <c r="C121" s="314" t="s">
        <v>1622</v>
      </c>
      <c r="D121" s="314"/>
      <c r="E121" s="314"/>
      <c r="F121" s="314"/>
      <c r="G121" s="314"/>
      <c r="H121" s="314"/>
      <c r="I121" s="314"/>
    </row>
    <row r="122" spans="2:9" ht="51.75" customHeight="1" x14ac:dyDescent="0.25">
      <c r="B122" s="213" t="s">
        <v>1623</v>
      </c>
      <c r="C122" s="313" t="s">
        <v>1624</v>
      </c>
      <c r="D122" s="313"/>
      <c r="E122" s="313"/>
      <c r="F122" s="313"/>
      <c r="G122" s="313"/>
      <c r="H122" s="313"/>
      <c r="I122" s="313"/>
    </row>
    <row r="123" spans="2:9" ht="51.75" customHeight="1" x14ac:dyDescent="0.25">
      <c r="B123" s="212" t="s">
        <v>1625</v>
      </c>
      <c r="C123" s="314" t="s">
        <v>1626</v>
      </c>
      <c r="D123" s="314"/>
      <c r="E123" s="314"/>
      <c r="F123" s="314"/>
      <c r="G123" s="314"/>
      <c r="H123" s="314"/>
      <c r="I123" s="314"/>
    </row>
    <row r="124" spans="2:9" ht="51.75" customHeight="1" x14ac:dyDescent="0.25">
      <c r="B124" s="213" t="s">
        <v>1627</v>
      </c>
      <c r="C124" s="313" t="s">
        <v>1628</v>
      </c>
      <c r="D124" s="313"/>
      <c r="E124" s="313"/>
      <c r="F124" s="313"/>
      <c r="G124" s="313"/>
      <c r="H124" s="313"/>
      <c r="I124" s="313"/>
    </row>
    <row r="125" spans="2:9" ht="51.75" customHeight="1" x14ac:dyDescent="0.25">
      <c r="B125" s="212" t="s">
        <v>1629</v>
      </c>
      <c r="C125" s="314" t="s">
        <v>1630</v>
      </c>
      <c r="D125" s="314"/>
      <c r="E125" s="314"/>
      <c r="F125" s="314"/>
      <c r="G125" s="314"/>
      <c r="H125" s="314"/>
      <c r="I125" s="314"/>
    </row>
    <row r="126" spans="2:9" ht="51.75" customHeight="1" x14ac:dyDescent="0.25">
      <c r="B126" s="213" t="s">
        <v>1631</v>
      </c>
      <c r="C126" s="313" t="s">
        <v>1632</v>
      </c>
      <c r="D126" s="313"/>
      <c r="E126" s="313"/>
      <c r="F126" s="313"/>
      <c r="G126" s="313"/>
      <c r="H126" s="313"/>
      <c r="I126" s="313"/>
    </row>
    <row r="128" spans="2:9" ht="18" customHeight="1" x14ac:dyDescent="0.25">
      <c r="B128" s="312" t="s">
        <v>1633</v>
      </c>
      <c r="C128" s="312"/>
      <c r="D128" s="312"/>
      <c r="E128" s="312"/>
      <c r="F128" s="312"/>
      <c r="G128" s="312"/>
      <c r="H128" s="312"/>
      <c r="I128" s="312"/>
    </row>
  </sheetData>
  <mergeCells count="27">
    <mergeCell ref="B2:I2"/>
    <mergeCell ref="B3:I3"/>
    <mergeCell ref="B4:I4"/>
    <mergeCell ref="B6:I6"/>
    <mergeCell ref="B7:I7"/>
    <mergeCell ref="B9:I9"/>
    <mergeCell ref="C17:F17"/>
    <mergeCell ref="B19:I19"/>
    <mergeCell ref="B20:I20"/>
    <mergeCell ref="C89:G89"/>
    <mergeCell ref="B91:I91"/>
    <mergeCell ref="C99:D99"/>
    <mergeCell ref="B101:I101"/>
    <mergeCell ref="B102:I102"/>
    <mergeCell ref="B108:D108"/>
    <mergeCell ref="F108:I108"/>
    <mergeCell ref="B110:I110"/>
    <mergeCell ref="B111:I111"/>
    <mergeCell ref="C117:E117"/>
    <mergeCell ref="B119:I119"/>
    <mergeCell ref="C121:I121"/>
    <mergeCell ref="B128:I128"/>
    <mergeCell ref="C122:I122"/>
    <mergeCell ref="C123:I123"/>
    <mergeCell ref="C124:I124"/>
    <mergeCell ref="C125:I125"/>
    <mergeCell ref="C126:I126"/>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I28"/>
  <sheetViews>
    <sheetView showGridLines="0" zoomScaleNormal="100" workbookViewId="0">
      <selection activeCell="L9" sqref="L9"/>
    </sheetView>
  </sheetViews>
  <sheetFormatPr defaultColWidth="8.7109375" defaultRowHeight="15" x14ac:dyDescent="0.25"/>
  <cols>
    <col min="1" max="1" width="3" customWidth="1"/>
    <col min="2" max="2" width="9.7109375" customWidth="1"/>
    <col min="3" max="3" width="20.7109375" customWidth="1"/>
    <col min="4" max="4" width="9.7109375" style="221" customWidth="1"/>
    <col min="5" max="5" width="30.7109375" customWidth="1"/>
    <col min="6" max="6" width="44.7109375" customWidth="1"/>
    <col min="7" max="7" width="20" customWidth="1"/>
    <col min="8" max="9" width="14" customWidth="1"/>
  </cols>
  <sheetData>
    <row r="1" spans="2:9" ht="39.950000000000003" customHeight="1" x14ac:dyDescent="0.25">
      <c r="B1" s="263" t="s">
        <v>1634</v>
      </c>
      <c r="C1" s="263"/>
      <c r="D1" s="263"/>
      <c r="E1" s="263"/>
      <c r="F1" s="263"/>
      <c r="G1" s="263"/>
      <c r="H1" s="263"/>
      <c r="I1" s="263"/>
    </row>
    <row r="2" spans="2:9" ht="30" customHeight="1" x14ac:dyDescent="0.25">
      <c r="B2" s="322" t="s">
        <v>1635</v>
      </c>
      <c r="C2" s="322"/>
      <c r="D2" s="322"/>
      <c r="E2" s="322"/>
      <c r="F2" s="322"/>
      <c r="G2" s="322"/>
      <c r="H2" s="322"/>
      <c r="I2" s="322"/>
    </row>
    <row r="3" spans="2:9" ht="39.950000000000003" customHeight="1" x14ac:dyDescent="0.25">
      <c r="B3" s="92" t="s">
        <v>1636</v>
      </c>
      <c r="C3" s="92" t="s">
        <v>1637</v>
      </c>
      <c r="D3" s="92" t="s">
        <v>1638</v>
      </c>
      <c r="E3" s="92" t="s">
        <v>1022</v>
      </c>
      <c r="F3" s="92" t="s">
        <v>1639</v>
      </c>
      <c r="G3" s="92" t="s">
        <v>1640</v>
      </c>
      <c r="H3" s="92" t="s">
        <v>1641</v>
      </c>
      <c r="I3" s="92" t="s">
        <v>1642</v>
      </c>
    </row>
    <row r="4" spans="2:9" ht="32.1" customHeight="1" x14ac:dyDescent="0.25">
      <c r="B4" s="214" t="s">
        <v>1643</v>
      </c>
      <c r="C4" s="93" t="s">
        <v>5</v>
      </c>
      <c r="D4" s="254" t="s">
        <v>1644</v>
      </c>
      <c r="E4" s="93" t="s">
        <v>1645</v>
      </c>
      <c r="F4" s="236" t="s">
        <v>1646</v>
      </c>
      <c r="G4" s="17">
        <f>ASSUMPTIONS!C12</f>
        <v>1</v>
      </c>
      <c r="H4" s="108" t="s">
        <v>1647</v>
      </c>
      <c r="I4" s="215"/>
    </row>
    <row r="5" spans="2:9" ht="32.1" customHeight="1" x14ac:dyDescent="0.25">
      <c r="B5" s="216" t="s">
        <v>1648</v>
      </c>
      <c r="C5" s="94" t="s">
        <v>8</v>
      </c>
      <c r="D5" s="255" t="s">
        <v>1649</v>
      </c>
      <c r="E5" s="94" t="s">
        <v>1650</v>
      </c>
      <c r="F5" s="237" t="s">
        <v>1651</v>
      </c>
      <c r="G5" s="90">
        <f>'REGIONAL FACTORS'!I3</f>
        <v>26.172000000000001</v>
      </c>
      <c r="H5" s="108" t="s">
        <v>1647</v>
      </c>
      <c r="I5" s="217"/>
    </row>
    <row r="6" spans="2:9" ht="32.1" customHeight="1" x14ac:dyDescent="0.25">
      <c r="B6" s="214" t="s">
        <v>1652</v>
      </c>
      <c r="C6" s="93" t="s">
        <v>8</v>
      </c>
      <c r="D6" s="254" t="s">
        <v>1653</v>
      </c>
      <c r="E6" s="93" t="s">
        <v>1654</v>
      </c>
      <c r="F6" s="236" t="s">
        <v>1655</v>
      </c>
      <c r="G6" s="90">
        <f>'REGIONAL FACTORS'!I4</f>
        <v>26.029999999999998</v>
      </c>
      <c r="H6" s="108" t="s">
        <v>1647</v>
      </c>
      <c r="I6" s="215"/>
    </row>
    <row r="7" spans="2:9" ht="32.1" customHeight="1" x14ac:dyDescent="0.25">
      <c r="B7" s="216" t="s">
        <v>1656</v>
      </c>
      <c r="C7" s="94" t="s">
        <v>11</v>
      </c>
      <c r="D7" s="255" t="s">
        <v>1657</v>
      </c>
      <c r="E7" s="94" t="s">
        <v>1658</v>
      </c>
      <c r="F7" s="237" t="s">
        <v>1659</v>
      </c>
      <c r="G7" s="90">
        <f>'UNIT PRICE LIBRARY'!K3</f>
        <v>0</v>
      </c>
      <c r="H7" s="108" t="s">
        <v>1647</v>
      </c>
      <c r="I7" s="217"/>
    </row>
    <row r="8" spans="2:9" ht="32.1" customHeight="1" x14ac:dyDescent="0.25">
      <c r="B8" s="214" t="s">
        <v>1660</v>
      </c>
      <c r="C8" s="93" t="s">
        <v>14</v>
      </c>
      <c r="D8" s="254" t="s">
        <v>1661</v>
      </c>
      <c r="E8" s="93" t="s">
        <v>1662</v>
      </c>
      <c r="F8" s="236" t="s">
        <v>1663</v>
      </c>
      <c r="G8" s="90">
        <f>TAKEOFF!L3</f>
        <v>0</v>
      </c>
      <c r="H8" s="108" t="s">
        <v>1647</v>
      </c>
      <c r="I8" s="215"/>
    </row>
    <row r="9" spans="2:9" ht="32.1" customHeight="1" x14ac:dyDescent="0.25">
      <c r="B9" s="216" t="s">
        <v>1664</v>
      </c>
      <c r="C9" s="94" t="s">
        <v>14</v>
      </c>
      <c r="D9" s="255" t="s">
        <v>1665</v>
      </c>
      <c r="E9" s="94" t="s">
        <v>1666</v>
      </c>
      <c r="F9" s="237" t="s">
        <v>1667</v>
      </c>
      <c r="G9" s="21">
        <f>TAKEOFF!M3</f>
        <v>0</v>
      </c>
      <c r="H9" s="108" t="s">
        <v>1647</v>
      </c>
      <c r="I9" s="217"/>
    </row>
    <row r="10" spans="2:9" ht="32.1" customHeight="1" x14ac:dyDescent="0.25">
      <c r="B10" s="214" t="s">
        <v>1668</v>
      </c>
      <c r="C10" s="93" t="s">
        <v>20</v>
      </c>
      <c r="D10" s="254" t="s">
        <v>1669</v>
      </c>
      <c r="E10" s="93" t="s">
        <v>1670</v>
      </c>
      <c r="F10" s="236" t="s">
        <v>1671</v>
      </c>
      <c r="G10" s="21">
        <f>'FLOOR SUMMARY'!C3</f>
        <v>2451138.75</v>
      </c>
      <c r="H10" s="108" t="s">
        <v>1647</v>
      </c>
      <c r="I10" s="215"/>
    </row>
    <row r="11" spans="2:9" ht="32.1" customHeight="1" x14ac:dyDescent="0.25">
      <c r="B11" s="216" t="s">
        <v>1672</v>
      </c>
      <c r="C11" s="94" t="s">
        <v>20</v>
      </c>
      <c r="D11" s="255" t="s">
        <v>1673</v>
      </c>
      <c r="E11" s="94" t="s">
        <v>1674</v>
      </c>
      <c r="F11" s="237" t="s">
        <v>1675</v>
      </c>
      <c r="G11" s="21">
        <f>'FLOOR SUMMARY'!I8</f>
        <v>181796.76737679605</v>
      </c>
      <c r="H11" s="108" t="s">
        <v>1647</v>
      </c>
      <c r="I11" s="217"/>
    </row>
    <row r="12" spans="2:9" ht="32.1" customHeight="1" x14ac:dyDescent="0.25">
      <c r="B12" s="214" t="s">
        <v>1676</v>
      </c>
      <c r="C12" s="93" t="s">
        <v>23</v>
      </c>
      <c r="D12" s="254" t="s">
        <v>1677</v>
      </c>
      <c r="E12" s="93" t="s">
        <v>118</v>
      </c>
      <c r="F12" s="236" t="s">
        <v>1678</v>
      </c>
      <c r="G12" s="21">
        <f>'BID SUMMARY'!C12</f>
        <v>8797915.6362165958</v>
      </c>
      <c r="H12" s="108" t="s">
        <v>1647</v>
      </c>
      <c r="I12" s="215"/>
    </row>
    <row r="13" spans="2:9" ht="32.1" customHeight="1" x14ac:dyDescent="0.25">
      <c r="B13" s="216" t="s">
        <v>1679</v>
      </c>
      <c r="C13" s="94" t="s">
        <v>23</v>
      </c>
      <c r="D13" s="255" t="s">
        <v>1680</v>
      </c>
      <c r="E13" s="94" t="s">
        <v>1681</v>
      </c>
      <c r="F13" s="237" t="s">
        <v>1682</v>
      </c>
      <c r="G13" s="90">
        <f>'BID SUMMARY'!C14</f>
        <v>320.48359450009457</v>
      </c>
      <c r="H13" s="108" t="s">
        <v>1647</v>
      </c>
      <c r="I13" s="217"/>
    </row>
    <row r="14" spans="2:9" ht="32.1" customHeight="1" x14ac:dyDescent="0.25">
      <c r="B14" s="214" t="s">
        <v>1683</v>
      </c>
      <c r="C14" s="93" t="s">
        <v>32</v>
      </c>
      <c r="D14" s="254" t="s">
        <v>1684</v>
      </c>
      <c r="E14" s="93" t="s">
        <v>1685</v>
      </c>
      <c r="F14" s="236" t="s">
        <v>1686</v>
      </c>
      <c r="G14" s="218">
        <f>'OWNER SELECTIONS'!M12</f>
        <v>0</v>
      </c>
      <c r="H14" s="108" t="s">
        <v>1647</v>
      </c>
      <c r="I14" s="215"/>
    </row>
    <row r="15" spans="2:9" ht="32.1" customHeight="1" x14ac:dyDescent="0.25">
      <c r="B15" s="216" t="s">
        <v>1687</v>
      </c>
      <c r="C15" s="94" t="s">
        <v>26</v>
      </c>
      <c r="D15" s="255" t="s">
        <v>1688</v>
      </c>
      <c r="E15" s="94" t="s">
        <v>1689</v>
      </c>
      <c r="F15" s="237" t="s">
        <v>1690</v>
      </c>
      <c r="G15" s="90">
        <f>'SF BENCHMARK'!C6</f>
        <v>320.48359450009457</v>
      </c>
      <c r="H15" s="108" t="s">
        <v>1647</v>
      </c>
      <c r="I15" s="217"/>
    </row>
    <row r="16" spans="2:9" ht="32.1" customHeight="1" x14ac:dyDescent="0.25">
      <c r="B16" s="214" t="s">
        <v>1691</v>
      </c>
      <c r="C16" s="93" t="s">
        <v>26</v>
      </c>
      <c r="D16" s="254" t="s">
        <v>1692</v>
      </c>
      <c r="E16" s="93" t="s">
        <v>1693</v>
      </c>
      <c r="F16" s="236" t="s">
        <v>1694</v>
      </c>
      <c r="G16" s="218" t="str">
        <f>'SF BENCHMARK'!F6</f>
        <v>Within historical range</v>
      </c>
      <c r="H16" s="108" t="s">
        <v>1647</v>
      </c>
      <c r="I16" s="215"/>
    </row>
    <row r="17" spans="2:9" ht="32.1" customHeight="1" x14ac:dyDescent="0.25">
      <c r="B17" s="216" t="s">
        <v>1695</v>
      </c>
      <c r="C17" s="94" t="s">
        <v>29</v>
      </c>
      <c r="D17" s="255" t="s">
        <v>1696</v>
      </c>
      <c r="E17" s="94" t="s">
        <v>1697</v>
      </c>
      <c r="F17" s="237" t="s">
        <v>1698</v>
      </c>
      <c r="G17" s="90">
        <f>'HISTORICAL DB'!H4</f>
        <v>177.77777777777777</v>
      </c>
      <c r="H17" s="108" t="s">
        <v>1647</v>
      </c>
      <c r="I17" s="217"/>
    </row>
    <row r="18" spans="2:9" ht="32.1" customHeight="1" x14ac:dyDescent="0.25">
      <c r="B18" s="214" t="s">
        <v>1699</v>
      </c>
      <c r="C18" s="93" t="s">
        <v>35</v>
      </c>
      <c r="D18" s="254" t="s">
        <v>1700</v>
      </c>
      <c r="E18" s="93" t="s">
        <v>1701</v>
      </c>
      <c r="F18" s="236" t="s">
        <v>1702</v>
      </c>
      <c r="G18" s="218">
        <f>'ALLOWANCE LOG'!F12</f>
        <v>0</v>
      </c>
      <c r="H18" s="108" t="s">
        <v>1647</v>
      </c>
      <c r="I18" s="215"/>
    </row>
    <row r="21" spans="2:9" ht="19.5" customHeight="1" x14ac:dyDescent="0.25">
      <c r="B21" s="264" t="s">
        <v>1703</v>
      </c>
      <c r="C21" s="264"/>
      <c r="D21" s="264"/>
      <c r="E21" s="264"/>
      <c r="F21" s="264"/>
      <c r="G21" s="264"/>
      <c r="H21" s="264"/>
      <c r="I21" s="264"/>
    </row>
    <row r="22" spans="2:9" ht="15.75" customHeight="1" x14ac:dyDescent="0.25">
      <c r="B22" s="321" t="s">
        <v>1704</v>
      </c>
      <c r="C22" s="321"/>
      <c r="D22" s="321"/>
      <c r="E22" s="321"/>
      <c r="F22" s="321"/>
      <c r="G22" s="321"/>
      <c r="H22" s="321"/>
      <c r="I22" s="321"/>
    </row>
    <row r="23" spans="2:9" ht="15.75" customHeight="1" x14ac:dyDescent="0.25">
      <c r="B23" s="321" t="s">
        <v>1705</v>
      </c>
      <c r="C23" s="321"/>
      <c r="D23" s="321"/>
      <c r="E23" s="321"/>
      <c r="F23" s="321"/>
      <c r="G23" s="321"/>
      <c r="H23" s="321"/>
      <c r="I23" s="321"/>
    </row>
    <row r="24" spans="2:9" ht="15.75" customHeight="1" x14ac:dyDescent="0.25">
      <c r="B24" s="321" t="s">
        <v>1706</v>
      </c>
      <c r="C24" s="321"/>
      <c r="D24" s="321"/>
      <c r="E24" s="321"/>
      <c r="F24" s="321"/>
      <c r="G24" s="321"/>
      <c r="H24" s="321"/>
      <c r="I24" s="321"/>
    </row>
    <row r="25" spans="2:9" ht="15.75" customHeight="1" x14ac:dyDescent="0.25">
      <c r="B25" s="321" t="s">
        <v>1707</v>
      </c>
      <c r="C25" s="321"/>
      <c r="D25" s="321"/>
      <c r="E25" s="321"/>
      <c r="F25" s="321"/>
      <c r="G25" s="321"/>
      <c r="H25" s="321"/>
      <c r="I25" s="321"/>
    </row>
    <row r="26" spans="2:9" ht="15.75" customHeight="1" x14ac:dyDescent="0.25">
      <c r="B26" s="321" t="s">
        <v>1708</v>
      </c>
      <c r="C26" s="321"/>
      <c r="D26" s="321"/>
      <c r="E26" s="321"/>
      <c r="F26" s="321"/>
      <c r="G26" s="321"/>
      <c r="H26" s="321"/>
      <c r="I26" s="321"/>
    </row>
    <row r="27" spans="2:9" ht="15.75" customHeight="1" x14ac:dyDescent="0.25">
      <c r="B27" s="321" t="s">
        <v>1709</v>
      </c>
      <c r="C27" s="321"/>
      <c r="D27" s="321"/>
      <c r="E27" s="321"/>
      <c r="F27" s="321"/>
      <c r="G27" s="321"/>
      <c r="H27" s="321"/>
      <c r="I27" s="321"/>
    </row>
    <row r="28" spans="2:9" ht="15.75" customHeight="1" x14ac:dyDescent="0.25">
      <c r="B28" s="321" t="s">
        <v>1710</v>
      </c>
      <c r="C28" s="321"/>
      <c r="D28" s="321"/>
      <c r="E28" s="321"/>
      <c r="F28" s="321"/>
      <c r="G28" s="321"/>
      <c r="H28" s="321"/>
      <c r="I28" s="321"/>
    </row>
  </sheetData>
  <mergeCells count="10">
    <mergeCell ref="B1:I1"/>
    <mergeCell ref="B2:I2"/>
    <mergeCell ref="B21:I21"/>
    <mergeCell ref="B22:I22"/>
    <mergeCell ref="B23:I23"/>
    <mergeCell ref="B24:I24"/>
    <mergeCell ref="B25:I25"/>
    <mergeCell ref="B26:I26"/>
    <mergeCell ref="B27:I27"/>
    <mergeCell ref="B28:I28"/>
  </mergeCells>
  <dataValidations count="1">
    <dataValidation type="list" sqref="H4:H18" xr:uid="{00000000-0002-0000-1000-000000000000}">
      <formula1>"Pass,Fail — See Notes,Review,Not Checked"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ASSUMPTIONS</vt:lpstr>
      <vt:lpstr>REGIONAL FACTORS</vt:lpstr>
      <vt:lpstr>UNIT PRICE LIBRARY</vt:lpstr>
      <vt:lpstr>TAKEOFF</vt:lpstr>
      <vt:lpstr>EQUIPMENT ALLOWANCES</vt:lpstr>
      <vt:lpstr>FLOOR SUMMARY</vt:lpstr>
      <vt:lpstr>BID SUMMARY</vt:lpstr>
      <vt:lpstr>SF BENCHMARK</vt:lpstr>
      <vt:lpstr>HISTORICAL DB</vt:lpstr>
      <vt:lpstr>OWNER SELECTIONS</vt:lpstr>
      <vt:lpstr>ALLOWANCE LOG</vt:lpstr>
      <vt:lpstr>CLARIFICATIONS</vt:lpstr>
      <vt:lpstr>SOFT COSTS</vt:lpstr>
      <vt:lpstr>TOTAL PROJECT BUDGET</vt:lpstr>
      <vt:lpstr>SIGNAGE PROGRAM</vt:lpstr>
      <vt:lpstr>TAB 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Ainsworth</cp:lastModifiedBy>
  <cp:revision>0</cp:revision>
  <dcterms:created xsi:type="dcterms:W3CDTF">2026-03-14T17:33:29Z</dcterms:created>
  <dcterms:modified xsi:type="dcterms:W3CDTF">2026-03-31T13:36:17Z</dcterms:modified>
  <dc:language>en-US</dc:language>
</cp:coreProperties>
</file>