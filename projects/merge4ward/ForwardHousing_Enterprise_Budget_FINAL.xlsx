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Sources and U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<sst xmlns="http://schemas.openxmlformats.org/spreadsheetml/2006/main" count="153" uniqueCount="134">
  <si>
    <t xml:space="preserve">Forward Housing by Merge4Ward  ·  L.E.E.P., Inc.</t>
  </si>
  <si>
    <t xml:space="preserve">Wells Fargo / Enterprise Housing Affordability Breakthrough Challenge — 2026 Cycle</t>
  </si>
  <si>
    <t xml:space="preserve">BUDGET — Design &amp; Construction Category  |  Lead Applicant: L.E.E.P., Inc.  |  Grant Period: 24 Months  |  Total Request: $2,000,000</t>
  </si>
  <si>
    <t xml:space="preserve">Budget Line Item</t>
  </si>
  <si>
    <t xml:space="preserve">Description / Justification</t>
  </si>
  <si>
    <t xml:space="preserve">Qty</t>
  </si>
  <si>
    <t xml:space="preserve">Unit</t>
  </si>
  <si>
    <t xml:space="preserve">Year 1 ($)</t>
  </si>
  <si>
    <t xml:space="preserve">Year 2 ($)</t>
  </si>
  <si>
    <t xml:space="preserve">Total ($)</t>
  </si>
  <si>
    <t xml:space="preserve">A  PERSONNEL &amp; PROGRAM MANAGEMENT</t>
  </si>
  <si>
    <t xml:space="preserve">Personnel reflects proportional FTE time of Merge4Ward / M4D principals and program staff dedicated to Forward Housing grant-funded activities. Rates consistent with Mid-Atlantic nonprofit / small-firm professional compensation.</t>
  </si>
  <si>
    <t xml:space="preserve">Trevor Knight — Program Director</t>
  </si>
  <si>
    <t xml:space="preserve">0.4 FTE. Client relationships, CDFI outreach, Forward Housing partner development, WHA coordination.</t>
  </si>
  <si>
    <t xml:space="preserve">FTE/yr</t>
  </si>
  <si>
    <t xml:space="preserve">David Ainsworth, AIA — Technical Lead</t>
  </si>
  <si>
    <t xml:space="preserve">0.3 FTE. CLT/SIP system specification, AHJ coordination, technical documentation library, OI Tool ROM.</t>
  </si>
  <si>
    <t xml:space="preserve">Travis Davis — Visualization &amp; Documentation</t>
  </si>
  <si>
    <t xml:space="preserve">0.3 FTE. Forward Housing construction drawings, CLT/SIP design guide, Academy technical materials.</t>
  </si>
  <si>
    <t xml:space="preserve">Leo Lynch — Grants &amp; Financial Management</t>
  </si>
  <si>
    <t xml:space="preserve">0.2 FTE. Grant reporting, sub-award management, financial controls, CDFI compliance.</t>
  </si>
  <si>
    <t xml:space="preserve">Gwenevere Motley — Community Development</t>
  </si>
  <si>
    <t xml:space="preserve">0.3 FTE. L.E.E.P. community relationships, homebuyer outreach, site control, Delaware state relationships.</t>
  </si>
  <si>
    <t xml:space="preserve">Program Coordinator (new hire, Year 2)</t>
  </si>
  <si>
    <t xml:space="preserve">0.6 FTE, Year 2. Replication site coordination, apprenticeship program administration, reporting.</t>
  </si>
  <si>
    <t xml:space="preserve">L.E.E.P. Administrative Overhead</t>
  </si>
  <si>
    <t xml:space="preserve">Grant administration, financial management, compliance oversight as lead applicant entity.</t>
  </si>
  <si>
    <t xml:space="preserve">lump sum</t>
  </si>
  <si>
    <t xml:space="preserve">A  PERSONNEL SUBTOTAL</t>
  </si>
  <si>
    <t xml:space="preserve">B  MULTI-SITE REPLICATION — PREDEVELOPMENT &amp; DESIGN</t>
  </si>
  <si>
    <t xml:space="preserve">Section B covers predevelopment, design, permitting, and partial construction subsidy for Forward Housing replication sites beyond the Claymont Hybrid demonstration project (AE24-002). Claymont construction costs are funded separately and are not included in this budget.</t>
  </si>
  <si>
    <t xml:space="preserve">Site 2 — FeasOps P1–P3 Predevelopment</t>
  </si>
  <si>
    <t xml:space="preserve">Zoning analysis, ROM estimate, test fit, full feasibility package. Second Forward Housing site.</t>
  </si>
  <si>
    <t xml:space="preserve">site</t>
  </si>
  <si>
    <t xml:space="preserve">Site 3 — FeasOps P1–P3 Predevelopment</t>
  </si>
  <si>
    <t xml:space="preserve">Third replication site. Includes application of Claymont technical documentation library.</t>
  </si>
  <si>
    <t xml:space="preserve">Site 4 — FeasOps P1–P2 Predevelopment</t>
  </si>
  <si>
    <t xml:space="preserve">Fourth site — Year 2. P1+P2 feasibility to establish pipeline for Year 3 construction.</t>
  </si>
  <si>
    <t xml:space="preserve">Site 5 — FeasOps P1 Feasibility</t>
  </si>
  <si>
    <t xml:space="preserve">Year 2 pipeline development. Site identification and first ROM.</t>
  </si>
  <si>
    <t xml:space="preserve">Architectural Design — Site 2 (SD through CDs)</t>
  </si>
  <si>
    <t xml:space="preserve">Full design services for second Forward Housing project. M4D as lead, Aubyn as AOR.</t>
  </si>
  <si>
    <t xml:space="preserve">project</t>
  </si>
  <si>
    <t xml:space="preserve">Architectural Design — Site 3 (SD through CDs)</t>
  </si>
  <si>
    <t xml:space="preserve">Third Forward Housing project design. Template system reduces cost from Site 2.</t>
  </si>
  <si>
    <t xml:space="preserve">Permitting &amp; AHJ Coordination — Sites 2–3</t>
  </si>
  <si>
    <t xml:space="preserve">Permit application fees, AHJ coordination, CLT/SIP specialist peer review (structural).</t>
  </si>
  <si>
    <t xml:space="preserve">sites</t>
  </si>
  <si>
    <t xml:space="preserve">Construction Subsidy — Site 2 (partial hard cost support)</t>
  </si>
  <si>
    <t xml:space="preserve">Partial construction subsidy to close affordability gap. CLT/SIP freight premium offset.</t>
  </si>
  <si>
    <t xml:space="preserve">Construction Subsidy — Site 3 (partial hard cost support)</t>
  </si>
  <si>
    <t xml:space="preserve">Reduced subsidy vs. Site 2 as system efficiencies improve. Targets $220K–$250K sale price.</t>
  </si>
  <si>
    <t xml:space="preserve">Homebuyer Preparation &amp; Counseling — Sites 2–3</t>
  </si>
  <si>
    <t xml:space="preserve">HUD-certified homebuyer counseling for Forward Housing purchasers. Partnership with CCCS.</t>
  </si>
  <si>
    <t xml:space="preserve">program</t>
  </si>
  <si>
    <t xml:space="preserve">B  REPLICATION SUBTOTAL</t>
  </si>
  <si>
    <t xml:space="preserve">C  MID-ATLANTIC CLT/SIP MANUFACTURING MARKET STUDY</t>
  </si>
  <si>
    <t xml:space="preserve">Phase 1 — Regional Demand Analysis</t>
  </si>
  <si>
    <t xml:space="preserve">CLT/SIP project demand quantification across DE/PA/NJ/MD. Pipeline analysis, supply chain gap.</t>
  </si>
  <si>
    <t xml:space="preserve">phase</t>
  </si>
  <si>
    <t xml:space="preserve">Phase 2 — Site Selection &amp; Pro Forma</t>
  </si>
  <si>
    <t xml:space="preserve">I-95 corridor site identification, manufacturing facility pro forma, NMTC capital stack model.</t>
  </si>
  <si>
    <t xml:space="preserve">Industry Advisory Panel (3 sessions)</t>
  </si>
  <si>
    <t xml:space="preserve">CLT manufacturers, mass timber engineers, Delaware DEDO, workforce development advisors.</t>
  </si>
  <si>
    <t xml:space="preserve">sessions</t>
  </si>
  <si>
    <t xml:space="preserve">University Research Partnership MOU</t>
  </si>
  <si>
    <t xml:space="preserve">U of Delaware or Delaware State. Federal grant co-PI pathway. DOE/NSF/USDA eligibility.</t>
  </si>
  <si>
    <t xml:space="preserve">agreement</t>
  </si>
  <si>
    <t xml:space="preserve">Legal — Manufacturing Entity Structure</t>
  </si>
  <si>
    <t xml:space="preserve">Attorney review: nonprofit/for-profit structure, NMTC sponsor eligibility, workforce subsidiary.</t>
  </si>
  <si>
    <t xml:space="preserve">EDA Grant Application (Year 2)</t>
  </si>
  <si>
    <t xml:space="preserve">Professional grant writing for EDA Build to Scale or Public Works application.</t>
  </si>
  <si>
    <t xml:space="preserve">C  MANUFACTURING STUDY SUBTOTAL</t>
  </si>
  <si>
    <t xml:space="preserve">D  FORWARD HOUSING CONSTRUCTION APPRENTICESHIP PROGRAM</t>
  </si>
  <si>
    <t xml:space="preserve">DelTech Partnership Development</t>
  </si>
  <si>
    <t xml:space="preserve">MOU with Delaware Technical and Community College. CLT/SIP module curriculum integration.</t>
  </si>
  <si>
    <t xml:space="preserve">Curriculum Development — CLT/SIP Assembly</t>
  </si>
  <si>
    <t xml:space="preserve">Course design: CLT panel handling, connection hardware installation, SIP envelope sequencing.</t>
  </si>
  <si>
    <t xml:space="preserve">module</t>
  </si>
  <si>
    <t xml:space="preserve">Cohort 1 Delivery (15 participants, Year 2)</t>
  </si>
  <si>
    <t xml:space="preserve">First apprenticeship cohort. Materials, instructor costs, safety certification, tools.</t>
  </si>
  <si>
    <t xml:space="preserve">participants</t>
  </si>
  <si>
    <t xml:space="preserve">Apprentice Stipends — Cohort 1</t>
  </si>
  <si>
    <t xml:space="preserve">Stipends to reduce participation barriers for workers from underserved communities.</t>
  </si>
  <si>
    <t xml:space="preserve">Program Coordinator — Apprenticeship Track</t>
  </si>
  <si>
    <t xml:space="preserve">Partial-year coordination for program launch, employer outreach, placement support.</t>
  </si>
  <si>
    <t xml:space="preserve">position</t>
  </si>
  <si>
    <t xml:space="preserve">Employer Partnership Development</t>
  </si>
  <si>
    <t xml:space="preserve">Outreach to GCs and CLT erection crews for apprenticeship-to-hire pipeline.</t>
  </si>
  <si>
    <t xml:space="preserve">yr</t>
  </si>
  <si>
    <t xml:space="preserve">D  APPRENTICESHIP SUBTOTAL</t>
  </si>
  <si>
    <t xml:space="preserve">E  TECHNICAL DOCUMENTATION &amp; IP LIBRARY</t>
  </si>
  <si>
    <t xml:space="preserve">CLT/SIP Technical Library — Phase 1 Expansion</t>
  </si>
  <si>
    <t xml:space="preserve">Structural detail expansion beyond Claymont: multi-story variants, wider lot widths, roof options.</t>
  </si>
  <si>
    <t xml:space="preserve">Peer Review — Structural Engineer (EOR Seat)</t>
  </si>
  <si>
    <t xml:space="preserve">Independent structural engineer review of expanded Forward Housing CLT/SIP detail library.</t>
  </si>
  <si>
    <t xml:space="preserve">review</t>
  </si>
  <si>
    <t xml:space="preserve">Forward Housing Design Guide Publication</t>
  </si>
  <si>
    <t xml:space="preserve">Illustrated design guide for CDFIs, developers, and AHJ reviewers. Print + digital.</t>
  </si>
  <si>
    <t xml:space="preserve">publication</t>
  </si>
  <si>
    <t xml:space="preserve">OI Tool CLT/SIP Unit Price Library Expansion</t>
  </si>
  <si>
    <t xml:space="preserve">Add CLT/SIP erection, connection hardware, MEP manifold, factory logistics to M4Di OI Tool.</t>
  </si>
  <si>
    <t xml:space="preserve">IP Protection — Trademark &amp; Documentation</t>
  </si>
  <si>
    <t xml:space="preserve">Forward Housing trademark, system documentation for IP protection. Attorney fees.</t>
  </si>
  <si>
    <t xml:space="preserve">E  TECHNICAL DOCUMENTATION SUBTOTAL</t>
  </si>
  <si>
    <t xml:space="preserve">F  CONTINGENCY</t>
  </si>
  <si>
    <t xml:space="preserve">Program Contingency (5%)</t>
  </si>
  <si>
    <t xml:space="preserve">Reserve for construction cost escalation, scope changes, site conditions, or additional AHJ requirements.</t>
  </si>
  <si>
    <t xml:space="preserve">of total</t>
  </si>
  <si>
    <t xml:space="preserve">F  CONTINGENCY SUBTOTAL</t>
  </si>
  <si>
    <t xml:space="preserve">TOTAL GRANT REQUEST</t>
  </si>
  <si>
    <t xml:space="preserve">FORWARD HOUSING BY MERGE4WARD — SOURCES AND USES TABLE</t>
  </si>
  <si>
    <t xml:space="preserve">Wells Fargo / Enterprise Housing Affordability Breakthrough Challenge | Lead Applicant: L.E.E.P., Inc.</t>
  </si>
  <si>
    <t xml:space="preserve">Source / Use Category</t>
  </si>
  <si>
    <t xml:space="preserve">Year 1</t>
  </si>
  <si>
    <t xml:space="preserve">Year 2</t>
  </si>
  <si>
    <t xml:space="preserve">Total</t>
  </si>
  <si>
    <t xml:space="preserve">SOURCES</t>
  </si>
  <si>
    <t xml:space="preserve">Wells Fargo / Enterprise Grant</t>
  </si>
  <si>
    <t xml:space="preserve">L.E.E.P., Inc. — Gwen Motley In-Kind</t>
  </si>
  <si>
    <t xml:space="preserve">Merge 4 Design LLC — Principal In-Kind (design services)</t>
  </si>
  <si>
    <t xml:space="preserve">Aubyn Architecture LLC — AOR In-Kind (permit coordination)</t>
  </si>
  <si>
    <t xml:space="preserve">Delaware DHSS / DDDS — Program Support (anticipated)</t>
  </si>
  <si>
    <t xml:space="preserve">Other State/Local Grants (anticipated — DEDO, NCC)</t>
  </si>
  <si>
    <t xml:space="preserve">TOTAL SOURCES</t>
  </si>
  <si>
    <t xml:space="preserve">USES (from Budget tab)</t>
  </si>
  <si>
    <t xml:space="preserve">A — Personnel &amp; Program Management</t>
  </si>
  <si>
    <t xml:space="preserve">B — Multi-Site Replication (Predevelopment &amp; Design)</t>
  </si>
  <si>
    <t xml:space="preserve">C — CLT/SIP Manufacturing Market Study</t>
  </si>
  <si>
    <t xml:space="preserve">D — Construction Apprenticeship Program</t>
  </si>
  <si>
    <t xml:space="preserve">E — Technical Documentation &amp; IP Library</t>
  </si>
  <si>
    <t xml:space="preserve">F — Contingency (5%)</t>
  </si>
  <si>
    <t xml:space="preserve">TOTAL USES</t>
  </si>
  <si>
    <t xml:space="preserve">GRANT FUNDS BALANCE CHECK (Sources - Uses should = $0)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</si>
</sst>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7340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AA66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AA66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404"/>
        <bgColor rgb="FF333300"/>
      </patternFill>
    </fill>
    <fill>
      <patternFill patternType="solid">
        <fgColor rgb="FF196B23"/>
        <bgColor rgb="FF375623"/>
      </patternFill>
    </fill>
    <fill>
      <patternFill patternType="solid">
        <fgColor rgb="FFC0DD97"/>
        <bgColor rgb="FFCCCCCC"/>
      </patternFill>
    </fill>
    <fill>
      <patternFill patternType="solid">
        <fgColor rgb="FFEAF3DE"/>
        <bgColor rgb="FFFFF3CD"/>
      </patternFill>
    </fill>
    <fill>
      <patternFill patternType="solid">
        <fgColor rgb="FFFFF3CD"/>
        <bgColor rgb="FFEAF3DE"/>
      </patternFill>
    </fill>
    <fill>
      <patternFill patternType="solid">
        <fgColor rgb="FFFFFFFF"/>
        <bgColor rgb="FFEAF3DE"/>
      </patternFill>
    </fill>
    <fill>
      <patternFill patternType="solid">
        <fgColor rgb="FF375623"/>
        <bgColor rgb="FF196B2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3"/>
      <rgbColor rgb="FF000080"/>
      <rgbColor rgb="FFAA6600"/>
      <rgbColor rgb="FF800080"/>
      <rgbColor rgb="FF008080"/>
      <rgbColor rgb="FFCCCCCC"/>
      <rgbColor rgb="FF888888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3DE"/>
      <rgbColor rgb="FFFFFF99"/>
      <rgbColor rgb="FF99CCFF"/>
      <rgbColor rgb="FFFF99CC"/>
      <rgbColor rgb="FFCC99FF"/>
      <rgbColor rgb="FFC0DD97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73404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6" hidden="false" customHeight="true" outlineLevel="0" collapsed="false"/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.75" hidden="false" customHeight="true" outlineLevel="0" collapsed="false">
      <c r="A6" s="5" t="s">
        <v>10</v>
      </c>
      <c r="B6" s="5"/>
      <c r="C6" s="5"/>
      <c r="D6" s="5"/>
      <c r="E6" s="5"/>
      <c r="F6" s="5"/>
      <c r="G6" s="5"/>
    </row>
    <row r="7" customFormat="false" ht="27.75" hidden="false" customHeight="true" outlineLevel="0" collapsed="false">
      <c r="A7" s="6" t="s">
        <v>11</v>
      </c>
      <c r="B7" s="6"/>
      <c r="C7" s="6"/>
      <c r="D7" s="6"/>
      <c r="E7" s="6"/>
      <c r="F7" s="6"/>
      <c r="G7" s="6"/>
    </row>
    <row r="8" customFormat="false" ht="27.75" hidden="false" customHeight="true" outlineLevel="0" collapsed="false">
      <c r="A8" s="7" t="s">
        <v>12</v>
      </c>
      <c r="B8" s="8" t="s">
        <v>13</v>
      </c>
      <c r="C8" s="9" t="n">
        <v>0.4</v>
      </c>
      <c r="D8" s="10" t="s">
        <v>14</v>
      </c>
      <c r="E8" s="11" t="n">
        <v>50000</v>
      </c>
      <c r="F8" s="11" t="n">
        <v>52000</v>
      </c>
      <c r="G8" s="12" t="n">
        <f aca="false">E8+F8</f>
        <v>102000</v>
      </c>
    </row>
    <row r="9" customFormat="false" ht="27.75" hidden="false" customHeight="true" outlineLevel="0" collapsed="false">
      <c r="A9" s="13" t="s">
        <v>15</v>
      </c>
      <c r="B9" s="14" t="s">
        <v>16</v>
      </c>
      <c r="C9" s="15" t="n">
        <v>0.3</v>
      </c>
      <c r="D9" s="16" t="s">
        <v>14</v>
      </c>
      <c r="E9" s="17" t="n">
        <v>37500</v>
      </c>
      <c r="F9" s="17" t="n">
        <v>39000</v>
      </c>
      <c r="G9" s="18" t="n">
        <f aca="false">E9+F9</f>
        <v>76500</v>
      </c>
    </row>
    <row r="10" customFormat="false" ht="27.75" hidden="false" customHeight="true" outlineLevel="0" collapsed="false">
      <c r="A10" s="7" t="s">
        <v>17</v>
      </c>
      <c r="B10" s="8" t="s">
        <v>18</v>
      </c>
      <c r="C10" s="9" t="n">
        <v>0.3</v>
      </c>
      <c r="D10" s="10" t="s">
        <v>14</v>
      </c>
      <c r="E10" s="11" t="n">
        <v>37500</v>
      </c>
      <c r="F10" s="11" t="n">
        <v>39000</v>
      </c>
      <c r="G10" s="12" t="n">
        <f aca="false">E10+F10</f>
        <v>76500</v>
      </c>
    </row>
    <row r="11" customFormat="false" ht="27.75" hidden="false" customHeight="true" outlineLevel="0" collapsed="false">
      <c r="A11" s="13" t="s">
        <v>19</v>
      </c>
      <c r="B11" s="14" t="s">
        <v>20</v>
      </c>
      <c r="C11" s="15" t="n">
        <v>0.2</v>
      </c>
      <c r="D11" s="16" t="s">
        <v>14</v>
      </c>
      <c r="E11" s="17" t="n">
        <v>25000</v>
      </c>
      <c r="F11" s="17" t="n">
        <v>26000</v>
      </c>
      <c r="G11" s="18" t="n">
        <f aca="false">E11+F11</f>
        <v>51000</v>
      </c>
    </row>
    <row r="12" customFormat="false" ht="27.75" hidden="false" customHeight="true" outlineLevel="0" collapsed="false">
      <c r="A12" s="7" t="s">
        <v>21</v>
      </c>
      <c r="B12" s="8" t="s">
        <v>22</v>
      </c>
      <c r="C12" s="9" t="n">
        <v>0.3</v>
      </c>
      <c r="D12" s="10" t="s">
        <v>14</v>
      </c>
      <c r="E12" s="11" t="n">
        <v>37500</v>
      </c>
      <c r="F12" s="11" t="n">
        <v>39000</v>
      </c>
      <c r="G12" s="12" t="n">
        <f aca="false">E12+F12</f>
        <v>76500</v>
      </c>
    </row>
    <row r="13" customFormat="false" ht="27.75" hidden="false" customHeight="true" outlineLevel="0" collapsed="false">
      <c r="A13" s="13" t="s">
        <v>23</v>
      </c>
      <c r="B13" s="14" t="s">
        <v>24</v>
      </c>
      <c r="C13" s="15" t="n">
        <v>0</v>
      </c>
      <c r="D13" s="16" t="s">
        <v>14</v>
      </c>
      <c r="E13" s="17" t="n">
        <v>0</v>
      </c>
      <c r="F13" s="17" t="n">
        <v>36000</v>
      </c>
      <c r="G13" s="18" t="n">
        <f aca="false">E13+F13</f>
        <v>36000</v>
      </c>
    </row>
    <row r="14" customFormat="false" ht="27.75" hidden="false" customHeight="true" outlineLevel="0" collapsed="false">
      <c r="A14" s="7" t="s">
        <v>25</v>
      </c>
      <c r="B14" s="8" t="s">
        <v>26</v>
      </c>
      <c r="C14" s="9" t="n">
        <v>1</v>
      </c>
      <c r="D14" s="10" t="s">
        <v>27</v>
      </c>
      <c r="E14" s="11" t="n">
        <v>40000</v>
      </c>
      <c r="F14" s="11" t="n">
        <v>40000</v>
      </c>
      <c r="G14" s="12" t="n">
        <f aca="false">E14+F14</f>
        <v>80000</v>
      </c>
    </row>
    <row r="15" customFormat="false" ht="18" hidden="false" customHeight="true" outlineLevel="0" collapsed="false">
      <c r="A15" s="19" t="s">
        <v>28</v>
      </c>
      <c r="B15" s="19"/>
      <c r="C15" s="19"/>
      <c r="D15" s="20" t="n">
        <f aca="false">SUM(E8:E14)</f>
        <v>227500</v>
      </c>
      <c r="E15" s="20" t="n">
        <f aca="false">SUM(F8:F14)</f>
        <v>271000</v>
      </c>
      <c r="F15" s="20" t="n">
        <f aca="false">D15+E15</f>
        <v>498500</v>
      </c>
      <c r="G15" s="19"/>
    </row>
    <row r="16" customFormat="false" ht="15.75" hidden="false" customHeight="true" outlineLevel="0" collapsed="false">
      <c r="A16" s="5" t="s">
        <v>29</v>
      </c>
      <c r="B16" s="5"/>
      <c r="C16" s="5"/>
      <c r="D16" s="5"/>
      <c r="E16" s="5"/>
      <c r="F16" s="5"/>
      <c r="G16" s="5"/>
    </row>
    <row r="17" customFormat="false" ht="31.5" hidden="false" customHeight="true" outlineLevel="0" collapsed="false">
      <c r="A17" s="6" t="s">
        <v>30</v>
      </c>
      <c r="B17" s="6"/>
      <c r="C17" s="6"/>
      <c r="D17" s="6"/>
      <c r="E17" s="6"/>
      <c r="F17" s="6"/>
      <c r="G17" s="6"/>
    </row>
    <row r="18" customFormat="false" ht="27.75" hidden="false" customHeight="true" outlineLevel="0" collapsed="false">
      <c r="A18" s="7" t="s">
        <v>31</v>
      </c>
      <c r="B18" s="8" t="s">
        <v>32</v>
      </c>
      <c r="C18" s="9" t="n">
        <v>1</v>
      </c>
      <c r="D18" s="10" t="s">
        <v>33</v>
      </c>
      <c r="E18" s="11" t="n">
        <v>22000</v>
      </c>
      <c r="F18" s="11" t="n">
        <v>0</v>
      </c>
      <c r="G18" s="12" t="n">
        <f aca="false">E18+F18</f>
        <v>22000</v>
      </c>
    </row>
    <row r="19" customFormat="false" ht="27.75" hidden="false" customHeight="true" outlineLevel="0" collapsed="false">
      <c r="A19" s="13" t="s">
        <v>34</v>
      </c>
      <c r="B19" s="14" t="s">
        <v>35</v>
      </c>
      <c r="C19" s="15" t="n">
        <v>1</v>
      </c>
      <c r="D19" s="16" t="s">
        <v>33</v>
      </c>
      <c r="E19" s="17" t="n">
        <v>0</v>
      </c>
      <c r="F19" s="17" t="n">
        <v>22000</v>
      </c>
      <c r="G19" s="18" t="n">
        <f aca="false">E19+F19</f>
        <v>22000</v>
      </c>
    </row>
    <row r="20" customFormat="false" ht="27.75" hidden="false" customHeight="true" outlineLevel="0" collapsed="false">
      <c r="A20" s="7" t="s">
        <v>36</v>
      </c>
      <c r="B20" s="8" t="s">
        <v>37</v>
      </c>
      <c r="C20" s="9" t="n">
        <v>1</v>
      </c>
      <c r="D20" s="10" t="s">
        <v>33</v>
      </c>
      <c r="E20" s="11" t="n">
        <v>0</v>
      </c>
      <c r="F20" s="11" t="n">
        <v>14000</v>
      </c>
      <c r="G20" s="12" t="n">
        <f aca="false">E20+F20</f>
        <v>14000</v>
      </c>
    </row>
    <row r="21" customFormat="false" ht="27.75" hidden="false" customHeight="true" outlineLevel="0" collapsed="false">
      <c r="A21" s="13" t="s">
        <v>38</v>
      </c>
      <c r="B21" s="14" t="s">
        <v>39</v>
      </c>
      <c r="C21" s="15" t="n">
        <v>1</v>
      </c>
      <c r="D21" s="16" t="s">
        <v>33</v>
      </c>
      <c r="E21" s="17" t="n">
        <v>0</v>
      </c>
      <c r="F21" s="17" t="n">
        <v>8000</v>
      </c>
      <c r="G21" s="18" t="n">
        <f aca="false">E21+F21</f>
        <v>8000</v>
      </c>
    </row>
    <row r="22" customFormat="false" ht="27.75" hidden="false" customHeight="true" outlineLevel="0" collapsed="false">
      <c r="A22" s="7" t="s">
        <v>40</v>
      </c>
      <c r="B22" s="8" t="s">
        <v>41</v>
      </c>
      <c r="C22" s="9" t="n">
        <v>1</v>
      </c>
      <c r="D22" s="10" t="s">
        <v>42</v>
      </c>
      <c r="E22" s="11" t="n">
        <v>45000</v>
      </c>
      <c r="F22" s="11" t="n">
        <v>45000</v>
      </c>
      <c r="G22" s="12" t="n">
        <f aca="false">E22+F22</f>
        <v>90000</v>
      </c>
    </row>
    <row r="23" customFormat="false" ht="27.75" hidden="false" customHeight="true" outlineLevel="0" collapsed="false">
      <c r="A23" s="13" t="s">
        <v>43</v>
      </c>
      <c r="B23" s="14" t="s">
        <v>44</v>
      </c>
      <c r="C23" s="15" t="n">
        <v>1</v>
      </c>
      <c r="D23" s="16" t="s">
        <v>42</v>
      </c>
      <c r="E23" s="17" t="n">
        <v>0</v>
      </c>
      <c r="F23" s="17" t="n">
        <v>40000</v>
      </c>
      <c r="G23" s="18" t="n">
        <f aca="false">E23+F23</f>
        <v>40000</v>
      </c>
    </row>
    <row r="24" customFormat="false" ht="27.75" hidden="false" customHeight="true" outlineLevel="0" collapsed="false">
      <c r="A24" s="7" t="s">
        <v>45</v>
      </c>
      <c r="B24" s="8" t="s">
        <v>46</v>
      </c>
      <c r="C24" s="9" t="n">
        <v>2</v>
      </c>
      <c r="D24" s="10" t="s">
        <v>47</v>
      </c>
      <c r="E24" s="11" t="n">
        <v>15000</v>
      </c>
      <c r="F24" s="11" t="n">
        <v>15000</v>
      </c>
      <c r="G24" s="12" t="n">
        <f aca="false">E24+F24</f>
        <v>30000</v>
      </c>
    </row>
    <row r="25" customFormat="false" ht="27.75" hidden="false" customHeight="true" outlineLevel="0" collapsed="false">
      <c r="A25" s="13" t="s">
        <v>48</v>
      </c>
      <c r="B25" s="14" t="s">
        <v>49</v>
      </c>
      <c r="C25" s="15" t="n">
        <v>1</v>
      </c>
      <c r="D25" s="16" t="s">
        <v>42</v>
      </c>
      <c r="E25" s="17" t="n">
        <v>150000</v>
      </c>
      <c r="F25" s="17" t="n">
        <v>0</v>
      </c>
      <c r="G25" s="18" t="n">
        <f aca="false">E25+F25</f>
        <v>150000</v>
      </c>
    </row>
    <row r="26" customFormat="false" ht="27.75" hidden="false" customHeight="true" outlineLevel="0" collapsed="false">
      <c r="A26" s="7" t="s">
        <v>50</v>
      </c>
      <c r="B26" s="8" t="s">
        <v>51</v>
      </c>
      <c r="C26" s="9" t="n">
        <v>1</v>
      </c>
      <c r="D26" s="10" t="s">
        <v>42</v>
      </c>
      <c r="E26" s="11" t="n">
        <v>0</v>
      </c>
      <c r="F26" s="11" t="n">
        <v>100000</v>
      </c>
      <c r="G26" s="12" t="n">
        <f aca="false">E26+F26</f>
        <v>100000</v>
      </c>
    </row>
    <row r="27" customFormat="false" ht="27.75" hidden="false" customHeight="true" outlineLevel="0" collapsed="false">
      <c r="A27" s="13" t="s">
        <v>52</v>
      </c>
      <c r="B27" s="14" t="s">
        <v>53</v>
      </c>
      <c r="C27" s="15" t="n">
        <v>1</v>
      </c>
      <c r="D27" s="16" t="s">
        <v>54</v>
      </c>
      <c r="E27" s="17" t="n">
        <v>10000</v>
      </c>
      <c r="F27" s="17" t="n">
        <v>10000</v>
      </c>
      <c r="G27" s="18" t="n">
        <f aca="false">E27+F27</f>
        <v>20000</v>
      </c>
    </row>
    <row r="28" customFormat="false" ht="18" hidden="false" customHeight="true" outlineLevel="0" collapsed="false">
      <c r="A28" s="19" t="s">
        <v>55</v>
      </c>
      <c r="B28" s="19"/>
      <c r="C28" s="19"/>
      <c r="D28" s="20" t="n">
        <f aca="false">SUM(E18:E27)</f>
        <v>242000</v>
      </c>
      <c r="E28" s="20" t="n">
        <f aca="false">SUM(F18:F27)</f>
        <v>254000</v>
      </c>
      <c r="F28" s="20" t="n">
        <f aca="false">D28+E28</f>
        <v>496000</v>
      </c>
      <c r="G28" s="19"/>
    </row>
    <row r="29" customFormat="false" ht="15.75" hidden="false" customHeight="true" outlineLevel="0" collapsed="false">
      <c r="A29" s="5" t="s">
        <v>56</v>
      </c>
      <c r="B29" s="5"/>
      <c r="C29" s="5"/>
      <c r="D29" s="5"/>
      <c r="E29" s="5"/>
      <c r="F29" s="5"/>
      <c r="G29" s="5"/>
    </row>
    <row r="30" customFormat="false" ht="27.75" hidden="false" customHeight="true" outlineLevel="0" collapsed="false">
      <c r="A30" s="7" t="s">
        <v>57</v>
      </c>
      <c r="B30" s="8" t="s">
        <v>58</v>
      </c>
      <c r="C30" s="9" t="n">
        <v>1</v>
      </c>
      <c r="D30" s="10" t="s">
        <v>59</v>
      </c>
      <c r="E30" s="11" t="n">
        <v>35000</v>
      </c>
      <c r="F30" s="11" t="n">
        <v>0</v>
      </c>
      <c r="G30" s="12" t="n">
        <f aca="false">E30+F30</f>
        <v>35000</v>
      </c>
    </row>
    <row r="31" customFormat="false" ht="27.75" hidden="false" customHeight="true" outlineLevel="0" collapsed="false">
      <c r="A31" s="13" t="s">
        <v>60</v>
      </c>
      <c r="B31" s="14" t="s">
        <v>61</v>
      </c>
      <c r="C31" s="15" t="n">
        <v>1</v>
      </c>
      <c r="D31" s="16" t="s">
        <v>59</v>
      </c>
      <c r="E31" s="17" t="n">
        <v>0</v>
      </c>
      <c r="F31" s="17" t="n">
        <v>75000</v>
      </c>
      <c r="G31" s="18" t="n">
        <f aca="false">E31+F31</f>
        <v>75000</v>
      </c>
    </row>
    <row r="32" customFormat="false" ht="27.75" hidden="false" customHeight="true" outlineLevel="0" collapsed="false">
      <c r="A32" s="7" t="s">
        <v>62</v>
      </c>
      <c r="B32" s="8" t="s">
        <v>63</v>
      </c>
      <c r="C32" s="9" t="n">
        <v>3</v>
      </c>
      <c r="D32" s="10" t="s">
        <v>64</v>
      </c>
      <c r="E32" s="11" t="n">
        <v>6000</v>
      </c>
      <c r="F32" s="11" t="n">
        <v>6000</v>
      </c>
      <c r="G32" s="12" t="n">
        <f aca="false">E32+F32</f>
        <v>12000</v>
      </c>
    </row>
    <row r="33" customFormat="false" ht="27.75" hidden="false" customHeight="true" outlineLevel="0" collapsed="false">
      <c r="A33" s="13" t="s">
        <v>65</v>
      </c>
      <c r="B33" s="14" t="s">
        <v>66</v>
      </c>
      <c r="C33" s="15" t="n">
        <v>1</v>
      </c>
      <c r="D33" s="16" t="s">
        <v>67</v>
      </c>
      <c r="E33" s="17" t="n">
        <v>5000</v>
      </c>
      <c r="F33" s="17" t="n">
        <v>0</v>
      </c>
      <c r="G33" s="18" t="n">
        <f aca="false">E33+F33</f>
        <v>5000</v>
      </c>
    </row>
    <row r="34" customFormat="false" ht="27.75" hidden="false" customHeight="true" outlineLevel="0" collapsed="false">
      <c r="A34" s="7" t="s">
        <v>68</v>
      </c>
      <c r="B34" s="8" t="s">
        <v>69</v>
      </c>
      <c r="C34" s="9" t="n">
        <v>1</v>
      </c>
      <c r="D34" s="10" t="s">
        <v>27</v>
      </c>
      <c r="E34" s="11" t="n">
        <v>15000</v>
      </c>
      <c r="F34" s="11" t="n">
        <v>0</v>
      </c>
      <c r="G34" s="12" t="n">
        <f aca="false">E34+F34</f>
        <v>15000</v>
      </c>
    </row>
    <row r="35" customFormat="false" ht="27.75" hidden="false" customHeight="true" outlineLevel="0" collapsed="false">
      <c r="A35" s="13" t="s">
        <v>70</v>
      </c>
      <c r="B35" s="14" t="s">
        <v>71</v>
      </c>
      <c r="C35" s="15" t="n">
        <v>1</v>
      </c>
      <c r="D35" s="16" t="s">
        <v>27</v>
      </c>
      <c r="E35" s="17" t="n">
        <v>0</v>
      </c>
      <c r="F35" s="17" t="n">
        <v>20000</v>
      </c>
      <c r="G35" s="18" t="n">
        <f aca="false">E35+F35</f>
        <v>20000</v>
      </c>
    </row>
    <row r="36" customFormat="false" ht="18" hidden="false" customHeight="true" outlineLevel="0" collapsed="false">
      <c r="A36" s="19" t="s">
        <v>72</v>
      </c>
      <c r="B36" s="19"/>
      <c r="C36" s="19"/>
      <c r="D36" s="20" t="n">
        <f aca="false">SUM(E30:E35)</f>
        <v>61000</v>
      </c>
      <c r="E36" s="20" t="n">
        <f aca="false">SUM(F30:F35)</f>
        <v>101000</v>
      </c>
      <c r="F36" s="20" t="n">
        <f aca="false">D36+E36</f>
        <v>162000</v>
      </c>
      <c r="G36" s="19"/>
    </row>
    <row r="37" customFormat="false" ht="15.75" hidden="false" customHeight="true" outlineLevel="0" collapsed="false">
      <c r="A37" s="5" t="s">
        <v>73</v>
      </c>
      <c r="B37" s="5"/>
      <c r="C37" s="5"/>
      <c r="D37" s="5"/>
      <c r="E37" s="5"/>
      <c r="F37" s="5"/>
      <c r="G37" s="5"/>
    </row>
    <row r="38" customFormat="false" ht="27.75" hidden="false" customHeight="true" outlineLevel="0" collapsed="false">
      <c r="A38" s="7" t="s">
        <v>74</v>
      </c>
      <c r="B38" s="8" t="s">
        <v>75</v>
      </c>
      <c r="C38" s="9" t="n">
        <v>1</v>
      </c>
      <c r="D38" s="10" t="s">
        <v>67</v>
      </c>
      <c r="E38" s="11" t="n">
        <v>10000</v>
      </c>
      <c r="F38" s="11" t="n">
        <v>0</v>
      </c>
      <c r="G38" s="12" t="n">
        <f aca="false">E38+F38</f>
        <v>10000</v>
      </c>
    </row>
    <row r="39" customFormat="false" ht="27.75" hidden="false" customHeight="true" outlineLevel="0" collapsed="false">
      <c r="A39" s="13" t="s">
        <v>76</v>
      </c>
      <c r="B39" s="14" t="s">
        <v>77</v>
      </c>
      <c r="C39" s="15" t="n">
        <v>1</v>
      </c>
      <c r="D39" s="16" t="s">
        <v>78</v>
      </c>
      <c r="E39" s="17" t="n">
        <v>20000</v>
      </c>
      <c r="F39" s="17" t="n">
        <v>0</v>
      </c>
      <c r="G39" s="18" t="n">
        <f aca="false">E39+F39</f>
        <v>20000</v>
      </c>
    </row>
    <row r="40" customFormat="false" ht="27.75" hidden="false" customHeight="true" outlineLevel="0" collapsed="false">
      <c r="A40" s="7" t="s">
        <v>79</v>
      </c>
      <c r="B40" s="8" t="s">
        <v>80</v>
      </c>
      <c r="C40" s="9" t="n">
        <v>15</v>
      </c>
      <c r="D40" s="10" t="s">
        <v>81</v>
      </c>
      <c r="E40" s="11" t="n">
        <v>0</v>
      </c>
      <c r="F40" s="11" t="n">
        <v>45000</v>
      </c>
      <c r="G40" s="12" t="n">
        <f aca="false">E40+F40</f>
        <v>45000</v>
      </c>
    </row>
    <row r="41" customFormat="false" ht="27.75" hidden="false" customHeight="true" outlineLevel="0" collapsed="false">
      <c r="A41" s="13" t="s">
        <v>82</v>
      </c>
      <c r="B41" s="14" t="s">
        <v>83</v>
      </c>
      <c r="C41" s="15" t="n">
        <v>15</v>
      </c>
      <c r="D41" s="16" t="s">
        <v>81</v>
      </c>
      <c r="E41" s="17" t="n">
        <v>0</v>
      </c>
      <c r="F41" s="17" t="n">
        <v>22500</v>
      </c>
      <c r="G41" s="18" t="n">
        <f aca="false">E41+F41</f>
        <v>22500</v>
      </c>
    </row>
    <row r="42" customFormat="false" ht="27.75" hidden="false" customHeight="true" outlineLevel="0" collapsed="false">
      <c r="A42" s="7" t="s">
        <v>84</v>
      </c>
      <c r="B42" s="8" t="s">
        <v>85</v>
      </c>
      <c r="C42" s="9" t="n">
        <v>1</v>
      </c>
      <c r="D42" s="10" t="s">
        <v>86</v>
      </c>
      <c r="E42" s="11" t="n">
        <v>0</v>
      </c>
      <c r="F42" s="11" t="n">
        <v>15000</v>
      </c>
      <c r="G42" s="12" t="n">
        <f aca="false">E42+F42</f>
        <v>15000</v>
      </c>
    </row>
    <row r="43" customFormat="false" ht="27.75" hidden="false" customHeight="true" outlineLevel="0" collapsed="false">
      <c r="A43" s="13" t="s">
        <v>87</v>
      </c>
      <c r="B43" s="14" t="s">
        <v>88</v>
      </c>
      <c r="C43" s="15" t="n">
        <v>1</v>
      </c>
      <c r="D43" s="16" t="s">
        <v>89</v>
      </c>
      <c r="E43" s="17" t="n">
        <v>5000</v>
      </c>
      <c r="F43" s="17" t="n">
        <v>5000</v>
      </c>
      <c r="G43" s="18" t="n">
        <f aca="false">E43+F43</f>
        <v>10000</v>
      </c>
    </row>
    <row r="44" customFormat="false" ht="18" hidden="false" customHeight="true" outlineLevel="0" collapsed="false">
      <c r="A44" s="19" t="s">
        <v>90</v>
      </c>
      <c r="B44" s="19"/>
      <c r="C44" s="19"/>
      <c r="D44" s="20" t="n">
        <f aca="false">SUM(E38:E43)</f>
        <v>35000</v>
      </c>
      <c r="E44" s="20" t="n">
        <f aca="false">SUM(F38:F43)</f>
        <v>87500</v>
      </c>
      <c r="F44" s="20" t="n">
        <f aca="false">D44+E44</f>
        <v>122500</v>
      </c>
      <c r="G44" s="19"/>
    </row>
    <row r="45" customFormat="false" ht="15.75" hidden="false" customHeight="true" outlineLevel="0" collapsed="false">
      <c r="A45" s="5" t="s">
        <v>91</v>
      </c>
      <c r="B45" s="5"/>
      <c r="C45" s="5"/>
      <c r="D45" s="5"/>
      <c r="E45" s="5"/>
      <c r="F45" s="5"/>
      <c r="G45" s="5"/>
    </row>
    <row r="46" customFormat="false" ht="27.75" hidden="false" customHeight="true" outlineLevel="0" collapsed="false">
      <c r="A46" s="7" t="s">
        <v>92</v>
      </c>
      <c r="B46" s="8" t="s">
        <v>93</v>
      </c>
      <c r="C46" s="9" t="n">
        <v>1</v>
      </c>
      <c r="D46" s="10" t="s">
        <v>59</v>
      </c>
      <c r="E46" s="11" t="n">
        <v>20000</v>
      </c>
      <c r="F46" s="11" t="n">
        <v>0</v>
      </c>
      <c r="G46" s="12" t="n">
        <f aca="false">E46+F46</f>
        <v>20000</v>
      </c>
    </row>
    <row r="47" customFormat="false" ht="27.75" hidden="false" customHeight="true" outlineLevel="0" collapsed="false">
      <c r="A47" s="13" t="s">
        <v>94</v>
      </c>
      <c r="B47" s="14" t="s">
        <v>95</v>
      </c>
      <c r="C47" s="15" t="n">
        <v>1</v>
      </c>
      <c r="D47" s="16" t="s">
        <v>96</v>
      </c>
      <c r="E47" s="17" t="n">
        <v>15000</v>
      </c>
      <c r="F47" s="17" t="n">
        <v>0</v>
      </c>
      <c r="G47" s="18" t="n">
        <f aca="false">E47+F47</f>
        <v>15000</v>
      </c>
    </row>
    <row r="48" customFormat="false" ht="27.75" hidden="false" customHeight="true" outlineLevel="0" collapsed="false">
      <c r="A48" s="7" t="s">
        <v>97</v>
      </c>
      <c r="B48" s="8" t="s">
        <v>98</v>
      </c>
      <c r="C48" s="9" t="n">
        <v>1</v>
      </c>
      <c r="D48" s="10" t="s">
        <v>99</v>
      </c>
      <c r="E48" s="11" t="n">
        <v>0</v>
      </c>
      <c r="F48" s="11" t="n">
        <v>18000</v>
      </c>
      <c r="G48" s="12" t="n">
        <f aca="false">E48+F48</f>
        <v>18000</v>
      </c>
    </row>
    <row r="49" customFormat="false" ht="27.75" hidden="false" customHeight="true" outlineLevel="0" collapsed="false">
      <c r="A49" s="13" t="s">
        <v>100</v>
      </c>
      <c r="B49" s="14" t="s">
        <v>101</v>
      </c>
      <c r="C49" s="15" t="n">
        <v>1</v>
      </c>
      <c r="D49" s="16" t="s">
        <v>78</v>
      </c>
      <c r="E49" s="17" t="n">
        <v>5000</v>
      </c>
      <c r="F49" s="17" t="n">
        <v>0</v>
      </c>
      <c r="G49" s="18" t="n">
        <f aca="false">E49+F49</f>
        <v>5000</v>
      </c>
    </row>
    <row r="50" customFormat="false" ht="27.75" hidden="false" customHeight="true" outlineLevel="0" collapsed="false">
      <c r="A50" s="7" t="s">
        <v>102</v>
      </c>
      <c r="B50" s="8" t="s">
        <v>103</v>
      </c>
      <c r="C50" s="9" t="n">
        <v>1</v>
      </c>
      <c r="D50" s="10" t="s">
        <v>27</v>
      </c>
      <c r="E50" s="11" t="n">
        <v>8000</v>
      </c>
      <c r="F50" s="11" t="n">
        <v>0</v>
      </c>
      <c r="G50" s="12" t="n">
        <f aca="false">E50+F50</f>
        <v>8000</v>
      </c>
    </row>
    <row r="51" customFormat="false" ht="18" hidden="false" customHeight="true" outlineLevel="0" collapsed="false">
      <c r="A51" s="19" t="s">
        <v>104</v>
      </c>
      <c r="B51" s="19"/>
      <c r="C51" s="19"/>
      <c r="D51" s="20" t="n">
        <f aca="false">SUM(E46:E50)</f>
        <v>48000</v>
      </c>
      <c r="E51" s="20" t="n">
        <f aca="false">SUM(F46:F50)</f>
        <v>18000</v>
      </c>
      <c r="F51" s="20" t="n">
        <f aca="false">D51+E51</f>
        <v>66000</v>
      </c>
      <c r="G51" s="19"/>
    </row>
    <row r="52" customFormat="false" ht="15.75" hidden="false" customHeight="true" outlineLevel="0" collapsed="false">
      <c r="A52" s="5" t="s">
        <v>105</v>
      </c>
      <c r="B52" s="5"/>
      <c r="C52" s="5"/>
      <c r="D52" s="5"/>
      <c r="E52" s="5"/>
      <c r="F52" s="5"/>
      <c r="G52" s="5"/>
    </row>
    <row r="53" customFormat="false" ht="27.75" hidden="false" customHeight="true" outlineLevel="0" collapsed="false">
      <c r="A53" s="13" t="s">
        <v>106</v>
      </c>
      <c r="B53" s="14" t="s">
        <v>107</v>
      </c>
      <c r="C53" s="15" t="n">
        <v>0.05</v>
      </c>
      <c r="D53" s="16" t="s">
        <v>108</v>
      </c>
      <c r="E53" s="17" t="n">
        <v>50000</v>
      </c>
      <c r="F53" s="17" t="n">
        <v>50000</v>
      </c>
      <c r="G53" s="18" t="n">
        <f aca="false">E53+F53</f>
        <v>100000</v>
      </c>
    </row>
    <row r="54" customFormat="false" ht="18" hidden="false" customHeight="true" outlineLevel="0" collapsed="false">
      <c r="A54" s="19" t="s">
        <v>109</v>
      </c>
      <c r="B54" s="19"/>
      <c r="C54" s="19"/>
      <c r="D54" s="20" t="n">
        <f aca="false">SUM(E53:E53)</f>
        <v>50000</v>
      </c>
      <c r="E54" s="20" t="n">
        <f aca="false">SUM(F53:F53)</f>
        <v>50000</v>
      </c>
      <c r="F54" s="20" t="n">
        <f aca="false">D54+E54</f>
        <v>100000</v>
      </c>
      <c r="G54" s="19"/>
    </row>
    <row r="55" customFormat="false" ht="6" hidden="false" customHeight="true" outlineLevel="0" collapsed="false"/>
    <row r="56" customFormat="false" ht="21.75" hidden="false" customHeight="true" outlineLevel="0" collapsed="false">
      <c r="A56" s="21" t="s">
        <v>110</v>
      </c>
      <c r="B56" s="21"/>
      <c r="C56" s="21"/>
      <c r="D56" s="21"/>
      <c r="E56" s="22" t="n">
        <f aca="false">E15+E28+E36+E44+E51+E54</f>
        <v>781500</v>
      </c>
      <c r="F56" s="22" t="n">
        <f aca="false">F15+F28+F36+F44+F51+F54</f>
        <v>1445000</v>
      </c>
      <c r="G56" s="22" t="n">
        <f aca="false">E56+F56</f>
        <v>2226500</v>
      </c>
    </row>
  </sheetData>
  <mergeCells count="18">
    <mergeCell ref="A1:G1"/>
    <mergeCell ref="A2:G2"/>
    <mergeCell ref="A3:G3"/>
    <mergeCell ref="A6:G6"/>
    <mergeCell ref="A7:G7"/>
    <mergeCell ref="A15:C15"/>
    <mergeCell ref="A16:G16"/>
    <mergeCell ref="A17:G17"/>
    <mergeCell ref="A28:C28"/>
    <mergeCell ref="A29:G29"/>
    <mergeCell ref="A36:C36"/>
    <mergeCell ref="A37:G37"/>
    <mergeCell ref="A44:C44"/>
    <mergeCell ref="A45:G45"/>
    <mergeCell ref="A51:C51"/>
    <mergeCell ref="A52:G52"/>
    <mergeCell ref="A54:C54"/>
    <mergeCell ref="A56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2"/>
  </cols>
  <sheetData>
    <row r="1" customFormat="false" ht="19.5" hidden="false" customHeight="true" outlineLevel="0" collapsed="false">
      <c r="A1" s="23" t="s">
        <v>111</v>
      </c>
      <c r="B1" s="23"/>
      <c r="C1" s="23"/>
      <c r="D1" s="23"/>
    </row>
    <row r="2" customFormat="false" ht="15.75" hidden="false" customHeight="true" outlineLevel="0" collapsed="false">
      <c r="A2" s="24" t="s">
        <v>112</v>
      </c>
      <c r="B2" s="24"/>
      <c r="C2" s="24"/>
      <c r="D2" s="24"/>
    </row>
    <row r="3" customFormat="false" ht="18" hidden="false" customHeight="true" outlineLevel="0" collapsed="false">
      <c r="A3" s="4" t="s">
        <v>113</v>
      </c>
      <c r="B3" s="4" t="s">
        <v>114</v>
      </c>
      <c r="C3" s="4" t="s">
        <v>115</v>
      </c>
      <c r="D3" s="4" t="s">
        <v>116</v>
      </c>
    </row>
    <row r="4" customFormat="false" ht="15" hidden="false" customHeight="false" outlineLevel="0" collapsed="false">
      <c r="A4" s="5" t="s">
        <v>117</v>
      </c>
      <c r="B4" s="5"/>
      <c r="C4" s="5"/>
      <c r="D4" s="5"/>
    </row>
    <row r="5" customFormat="false" ht="18" hidden="false" customHeight="true" outlineLevel="0" collapsed="false">
      <c r="A5" s="25" t="s">
        <v>118</v>
      </c>
      <c r="B5" s="11" t="n">
        <v>1000000</v>
      </c>
      <c r="C5" s="11" t="n">
        <v>1000000</v>
      </c>
      <c r="D5" s="12" t="n">
        <f aca="false">B5+C5</f>
        <v>2000000</v>
      </c>
    </row>
    <row r="6" customFormat="false" ht="18" hidden="false" customHeight="true" outlineLevel="0" collapsed="false">
      <c r="A6" s="26" t="s">
        <v>119</v>
      </c>
      <c r="B6" s="17" t="n">
        <v>60000</v>
      </c>
      <c r="C6" s="17" t="n">
        <v>60000</v>
      </c>
      <c r="D6" s="18" t="n">
        <f aca="false">B6+C6</f>
        <v>120000</v>
      </c>
    </row>
    <row r="7" customFormat="false" ht="18" hidden="false" customHeight="true" outlineLevel="0" collapsed="false">
      <c r="A7" s="25" t="s">
        <v>120</v>
      </c>
      <c r="B7" s="11" t="n">
        <v>120000</v>
      </c>
      <c r="C7" s="11" t="n">
        <v>125000</v>
      </c>
      <c r="D7" s="12" t="n">
        <f aca="false">B7+C7</f>
        <v>245000</v>
      </c>
    </row>
    <row r="8" customFormat="false" ht="18" hidden="false" customHeight="true" outlineLevel="0" collapsed="false">
      <c r="A8" s="26" t="s">
        <v>121</v>
      </c>
      <c r="B8" s="17" t="n">
        <v>25000</v>
      </c>
      <c r="C8" s="17" t="n">
        <v>25000</v>
      </c>
      <c r="D8" s="18" t="n">
        <f aca="false">B8+C8</f>
        <v>50000</v>
      </c>
    </row>
    <row r="9" customFormat="false" ht="18" hidden="false" customHeight="true" outlineLevel="0" collapsed="false">
      <c r="A9" s="25" t="s">
        <v>122</v>
      </c>
      <c r="B9" s="11" t="n">
        <v>50000</v>
      </c>
      <c r="C9" s="11" t="n">
        <v>50000</v>
      </c>
      <c r="D9" s="12" t="n">
        <f aca="false">B9+C9</f>
        <v>100000</v>
      </c>
    </row>
    <row r="10" customFormat="false" ht="18" hidden="false" customHeight="true" outlineLevel="0" collapsed="false">
      <c r="A10" s="26" t="s">
        <v>123</v>
      </c>
      <c r="B10" s="17" t="n">
        <v>0</v>
      </c>
      <c r="C10" s="17" t="n">
        <v>75000</v>
      </c>
      <c r="D10" s="18" t="n">
        <f aca="false">B10+C10</f>
        <v>75000</v>
      </c>
    </row>
    <row r="11" customFormat="false" ht="18" hidden="false" customHeight="true" outlineLevel="0" collapsed="false">
      <c r="A11" s="19" t="s">
        <v>124</v>
      </c>
      <c r="B11" s="20" t="n">
        <f aca="false">SUM(B5:B10)</f>
        <v>1255000</v>
      </c>
      <c r="C11" s="20" t="n">
        <f aca="false">SUM(C5:C10)</f>
        <v>1335000</v>
      </c>
      <c r="D11" s="20" t="n">
        <f aca="false">B11+C11</f>
        <v>2590000</v>
      </c>
    </row>
    <row r="12" customFormat="false" ht="7.5" hidden="false" customHeight="true" outlineLevel="0" collapsed="false"/>
    <row r="13" customFormat="false" ht="15" hidden="false" customHeight="false" outlineLevel="0" collapsed="false">
      <c r="A13" s="5" t="s">
        <v>125</v>
      </c>
      <c r="B13" s="5"/>
      <c r="C13" s="5"/>
      <c r="D13" s="5"/>
    </row>
    <row r="14" customFormat="false" ht="18" hidden="false" customHeight="true" outlineLevel="0" collapsed="false">
      <c r="A14" s="26" t="s">
        <v>126</v>
      </c>
      <c r="B14" s="18" t="n">
        <f aca="false">Budget!E15</f>
        <v>271000</v>
      </c>
      <c r="C14" s="18" t="n">
        <f aca="false">Budget!F15</f>
        <v>498500</v>
      </c>
      <c r="D14" s="18" t="n">
        <f aca="false">B14+C14</f>
        <v>769500</v>
      </c>
    </row>
    <row r="15" customFormat="false" ht="18" hidden="false" customHeight="true" outlineLevel="0" collapsed="false">
      <c r="A15" s="25" t="s">
        <v>127</v>
      </c>
      <c r="B15" s="12" t="n">
        <f aca="false">Budget!E28</f>
        <v>254000</v>
      </c>
      <c r="C15" s="12" t="n">
        <f aca="false">Budget!F28</f>
        <v>496000</v>
      </c>
      <c r="D15" s="12" t="n">
        <f aca="false">B15+C15</f>
        <v>750000</v>
      </c>
    </row>
    <row r="16" customFormat="false" ht="18" hidden="false" customHeight="true" outlineLevel="0" collapsed="false">
      <c r="A16" s="26" t="s">
        <v>128</v>
      </c>
      <c r="B16" s="18" t="n">
        <f aca="false">Budget!E36</f>
        <v>101000</v>
      </c>
      <c r="C16" s="18" t="n">
        <f aca="false">Budget!F36</f>
        <v>162000</v>
      </c>
      <c r="D16" s="18" t="n">
        <f aca="false">B16+C16</f>
        <v>263000</v>
      </c>
    </row>
    <row r="17" customFormat="false" ht="18" hidden="false" customHeight="true" outlineLevel="0" collapsed="false">
      <c r="A17" s="25" t="s">
        <v>129</v>
      </c>
      <c r="B17" s="12" t="n">
        <f aca="false">Budget!E44</f>
        <v>87500</v>
      </c>
      <c r="C17" s="12" t="n">
        <f aca="false">Budget!F44</f>
        <v>122500</v>
      </c>
      <c r="D17" s="12" t="n">
        <f aca="false">B17+C17</f>
        <v>210000</v>
      </c>
    </row>
    <row r="18" customFormat="false" ht="18" hidden="false" customHeight="true" outlineLevel="0" collapsed="false">
      <c r="A18" s="26" t="s">
        <v>130</v>
      </c>
      <c r="B18" s="18" t="n">
        <f aca="false">Budget!E51</f>
        <v>18000</v>
      </c>
      <c r="C18" s="18" t="n">
        <f aca="false">Budget!F51</f>
        <v>66000</v>
      </c>
      <c r="D18" s="18" t="n">
        <f aca="false">B18+C18</f>
        <v>84000</v>
      </c>
    </row>
    <row r="19" customFormat="false" ht="18" hidden="false" customHeight="true" outlineLevel="0" collapsed="false">
      <c r="A19" s="25" t="s">
        <v>131</v>
      </c>
      <c r="B19" s="12" t="n">
        <f aca="false">Budget!E54</f>
        <v>50000</v>
      </c>
      <c r="C19" s="12" t="n">
        <f aca="false">Budget!F54</f>
        <v>100000</v>
      </c>
      <c r="D19" s="12" t="n">
        <f aca="false">B19+C19</f>
        <v>150000</v>
      </c>
    </row>
    <row r="20" customFormat="false" ht="18" hidden="false" customHeight="true" outlineLevel="0" collapsed="false">
      <c r="A20" s="19" t="s">
        <v>132</v>
      </c>
      <c r="B20" s="20" t="n">
        <f aca="false">SUM(B14:B19)</f>
        <v>781500</v>
      </c>
      <c r="C20" s="20" t="n">
        <f aca="false">SUM(C14:C19)</f>
        <v>1445000</v>
      </c>
      <c r="D20" s="20" t="n">
        <f aca="false">B20+C20</f>
        <v>2226500</v>
      </c>
    </row>
    <row r="21" customFormat="false" ht="7.5" hidden="false" customHeight="true" outlineLevel="0" collapsed="false"/>
    <row r="22" customFormat="false" ht="18" hidden="false" customHeight="true" outlineLevel="0" collapsed="false">
      <c r="A22" s="27" t="s">
        <v>133</v>
      </c>
      <c r="B22" s="27"/>
      <c r="C22" s="27"/>
      <c r="D22" s="28" t="n">
        <f aca="false">D11-D20</f>
        <v>363500</v>
      </c>
    </row>
  </sheetData>
  <mergeCells count="5">
    <mergeCell ref="A1:D1"/>
    <mergeCell ref="A2:D2"/>
    <mergeCell ref="A4:D4"/>
    <mergeCell ref="A13:D13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2026-05-05T23:44:09Z</dcterms:created>
  <dc:creator>openpyxl</dc:creator>
  <dc:description/>
  <dc:language>en-US</dc:language>
  <cp:lastModifiedBy/>
  <dcterms:modified xsi:type="dcterms:W3CDTF">2026-05-05T23:44:10Z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