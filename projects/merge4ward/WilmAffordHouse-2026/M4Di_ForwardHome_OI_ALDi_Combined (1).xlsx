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_Local\werm4d\projects\merge4ward\WilmAffordHouse-2026\"/>
    </mc:Choice>
  </mc:AlternateContent>
  <xr:revisionPtr revIDLastSave="0" documentId="13_ncr:1_{39A14E70-A9B2-4C97-A76D-5B342DFEEBDF}" xr6:coauthVersionLast="47" xr6:coauthVersionMax="47" xr10:uidLastSave="{00000000-0000-0000-0000-000000000000}"/>
  <bookViews>
    <workbookView xWindow="1410" yWindow="375" windowWidth="25245" windowHeight="14970" tabRatio="500" activeTab="3" xr2:uid="{00000000-000D-0000-FFFF-FFFF00000000}"/>
  </bookViews>
  <sheets>
    <sheet name="COVER" sheetId="1" r:id="rId1"/>
    <sheet name="ASSUMPTIONS" sheetId="2" r:id="rId2"/>
    <sheet name="BID SUMMARY" sheetId="3" r:id="rId3"/>
    <sheet name="HARD COST TAKEOFF" sheetId="4" r:id="rId4"/>
    <sheet name="SOFT COSTS" sheetId="5" r:id="rId5"/>
    <sheet name="TOTAL PROJECT BUDGET" sheetId="6" r:id="rId6"/>
    <sheet name="ALDi BUDGET TRACKER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4" l="1"/>
  <c r="E21" i="4"/>
  <c r="E26" i="4"/>
  <c r="E127" i="4"/>
  <c r="E126" i="4"/>
  <c r="E115" i="4"/>
  <c r="E109" i="4"/>
  <c r="E106" i="4"/>
  <c r="E105" i="4"/>
  <c r="E111" i="4" s="1"/>
  <c r="E100" i="4"/>
  <c r="E69" i="4"/>
  <c r="E68" i="4"/>
  <c r="E67" i="4"/>
  <c r="E66" i="4"/>
  <c r="E65" i="4"/>
  <c r="E71" i="4" s="1"/>
  <c r="E51" i="4"/>
  <c r="E54" i="4" s="1"/>
  <c r="E49" i="4"/>
  <c r="E48" i="4"/>
  <c r="E47" i="4"/>
  <c r="E41" i="4"/>
  <c r="E40" i="4"/>
  <c r="E38" i="4"/>
  <c r="D127" i="4"/>
  <c r="D126" i="4"/>
  <c r="D114" i="4"/>
  <c r="D121" i="4" s="1"/>
  <c r="D109" i="4"/>
  <c r="D106" i="4"/>
  <c r="D105" i="4"/>
  <c r="D100" i="4"/>
  <c r="D69" i="4"/>
  <c r="D68" i="4"/>
  <c r="D67" i="4"/>
  <c r="C14" i="3" s="1"/>
  <c r="C36" i="6" s="1"/>
  <c r="D66" i="4"/>
  <c r="D65" i="4"/>
  <c r="D51" i="4"/>
  <c r="D49" i="4"/>
  <c r="D48" i="4"/>
  <c r="D47" i="4"/>
  <c r="D10" i="4"/>
  <c r="D19" i="4"/>
  <c r="D20" i="4"/>
  <c r="D26" i="4"/>
  <c r="D41" i="4"/>
  <c r="D40" i="4"/>
  <c r="D38" i="4"/>
  <c r="D9" i="4" s="1"/>
  <c r="C5" i="3" s="1"/>
  <c r="C9" i="1"/>
  <c r="C13" i="2"/>
  <c r="G193" i="7"/>
  <c r="F193" i="7"/>
  <c r="E193" i="7"/>
  <c r="D193" i="7"/>
  <c r="M192" i="7"/>
  <c r="L192" i="7"/>
  <c r="K192" i="7"/>
  <c r="H192" i="7"/>
  <c r="M191" i="7"/>
  <c r="L191" i="7"/>
  <c r="K191" i="7"/>
  <c r="H191" i="7"/>
  <c r="M190" i="7"/>
  <c r="L190" i="7"/>
  <c r="K190" i="7"/>
  <c r="H190" i="7"/>
  <c r="M189" i="7"/>
  <c r="L189" i="7"/>
  <c r="K189" i="7"/>
  <c r="H189" i="7"/>
  <c r="M188" i="7"/>
  <c r="L188" i="7"/>
  <c r="K188" i="7"/>
  <c r="H188" i="7"/>
  <c r="M187" i="7"/>
  <c r="L187" i="7"/>
  <c r="K187" i="7"/>
  <c r="H187" i="7"/>
  <c r="M186" i="7"/>
  <c r="L186" i="7"/>
  <c r="K186" i="7"/>
  <c r="H186" i="7"/>
  <c r="M185" i="7"/>
  <c r="L185" i="7"/>
  <c r="K185" i="7"/>
  <c r="H185" i="7"/>
  <c r="M184" i="7"/>
  <c r="L184" i="7"/>
  <c r="K184" i="7"/>
  <c r="H184" i="7"/>
  <c r="M183" i="7"/>
  <c r="L183" i="7"/>
  <c r="K183" i="7"/>
  <c r="H183" i="7"/>
  <c r="E178" i="7"/>
  <c r="G171" i="7"/>
  <c r="F171" i="7"/>
  <c r="E171" i="7"/>
  <c r="D171" i="7"/>
  <c r="M170" i="7"/>
  <c r="L170" i="7"/>
  <c r="K170" i="7"/>
  <c r="H170" i="7"/>
  <c r="M169" i="7"/>
  <c r="L169" i="7"/>
  <c r="K169" i="7"/>
  <c r="H169" i="7"/>
  <c r="M168" i="7"/>
  <c r="L168" i="7"/>
  <c r="K168" i="7"/>
  <c r="H168" i="7"/>
  <c r="M167" i="7"/>
  <c r="L167" i="7"/>
  <c r="K167" i="7"/>
  <c r="H167" i="7"/>
  <c r="M166" i="7"/>
  <c r="L166" i="7"/>
  <c r="K166" i="7"/>
  <c r="H166" i="7"/>
  <c r="M165" i="7"/>
  <c r="L165" i="7"/>
  <c r="K165" i="7"/>
  <c r="H165" i="7"/>
  <c r="M164" i="7"/>
  <c r="L164" i="7"/>
  <c r="K164" i="7"/>
  <c r="H164" i="7"/>
  <c r="M163" i="7"/>
  <c r="L163" i="7"/>
  <c r="K163" i="7"/>
  <c r="H163" i="7"/>
  <c r="G160" i="7"/>
  <c r="F160" i="7"/>
  <c r="E160" i="7"/>
  <c r="D160" i="7"/>
  <c r="D178" i="7" s="1"/>
  <c r="M159" i="7"/>
  <c r="L159" i="7"/>
  <c r="K159" i="7"/>
  <c r="H159" i="7"/>
  <c r="M158" i="7"/>
  <c r="L158" i="7"/>
  <c r="K158" i="7"/>
  <c r="H158" i="7"/>
  <c r="M157" i="7"/>
  <c r="L157" i="7"/>
  <c r="K157" i="7"/>
  <c r="H157" i="7"/>
  <c r="M156" i="7"/>
  <c r="L156" i="7"/>
  <c r="K156" i="7"/>
  <c r="H156" i="7"/>
  <c r="M155" i="7"/>
  <c r="L155" i="7"/>
  <c r="K155" i="7"/>
  <c r="H155" i="7"/>
  <c r="M154" i="7"/>
  <c r="L154" i="7"/>
  <c r="K154" i="7"/>
  <c r="H154" i="7"/>
  <c r="M153" i="7"/>
  <c r="L153" i="7"/>
  <c r="K153" i="7"/>
  <c r="H153" i="7"/>
  <c r="M152" i="7"/>
  <c r="L152" i="7"/>
  <c r="K152" i="7"/>
  <c r="H152" i="7"/>
  <c r="M151" i="7"/>
  <c r="L151" i="7"/>
  <c r="K151" i="7"/>
  <c r="H151" i="7"/>
  <c r="M150" i="7"/>
  <c r="L150" i="7"/>
  <c r="K150" i="7"/>
  <c r="H150" i="7"/>
  <c r="M149" i="7"/>
  <c r="L149" i="7"/>
  <c r="K149" i="7"/>
  <c r="H149" i="7"/>
  <c r="M148" i="7"/>
  <c r="L148" i="7"/>
  <c r="K148" i="7"/>
  <c r="H148" i="7"/>
  <c r="M147" i="7"/>
  <c r="L147" i="7"/>
  <c r="K147" i="7"/>
  <c r="H147" i="7"/>
  <c r="M146" i="7"/>
  <c r="L146" i="7"/>
  <c r="K146" i="7"/>
  <c r="H146" i="7"/>
  <c r="M145" i="7"/>
  <c r="L145" i="7"/>
  <c r="K145" i="7"/>
  <c r="H145" i="7"/>
  <c r="M144" i="7"/>
  <c r="L144" i="7"/>
  <c r="K144" i="7"/>
  <c r="H144" i="7"/>
  <c r="M143" i="7"/>
  <c r="L143" i="7"/>
  <c r="K143" i="7"/>
  <c r="H143" i="7"/>
  <c r="M142" i="7"/>
  <c r="L142" i="7"/>
  <c r="K142" i="7"/>
  <c r="H142" i="7"/>
  <c r="M141" i="7"/>
  <c r="L141" i="7"/>
  <c r="K141" i="7"/>
  <c r="H141" i="7"/>
  <c r="F138" i="7"/>
  <c r="F173" i="7" s="1"/>
  <c r="D138" i="7"/>
  <c r="D177" i="7" s="1"/>
  <c r="G136" i="7"/>
  <c r="F136" i="7"/>
  <c r="E136" i="7"/>
  <c r="D136" i="7"/>
  <c r="M135" i="7"/>
  <c r="L135" i="7"/>
  <c r="K135" i="7"/>
  <c r="H135" i="7"/>
  <c r="M134" i="7"/>
  <c r="L134" i="7"/>
  <c r="K134" i="7"/>
  <c r="H134" i="7"/>
  <c r="M133" i="7"/>
  <c r="L133" i="7"/>
  <c r="K133" i="7"/>
  <c r="H133" i="7"/>
  <c r="M132" i="7"/>
  <c r="L132" i="7"/>
  <c r="K132" i="7"/>
  <c r="H132" i="7"/>
  <c r="M131" i="7"/>
  <c r="L131" i="7"/>
  <c r="K131" i="7"/>
  <c r="H131" i="7"/>
  <c r="M130" i="7"/>
  <c r="L130" i="7"/>
  <c r="K130" i="7"/>
  <c r="H130" i="7"/>
  <c r="G128" i="7"/>
  <c r="F128" i="7"/>
  <c r="E128" i="7"/>
  <c r="D128" i="7"/>
  <c r="M127" i="7"/>
  <c r="L127" i="7"/>
  <c r="K127" i="7"/>
  <c r="H127" i="7"/>
  <c r="M126" i="7"/>
  <c r="L126" i="7"/>
  <c r="K126" i="7"/>
  <c r="H126" i="7"/>
  <c r="M125" i="7"/>
  <c r="L125" i="7"/>
  <c r="K125" i="7"/>
  <c r="H125" i="7"/>
  <c r="G123" i="7"/>
  <c r="F123" i="7"/>
  <c r="E123" i="7"/>
  <c r="D123" i="7"/>
  <c r="M122" i="7"/>
  <c r="L122" i="7"/>
  <c r="K122" i="7"/>
  <c r="H122" i="7"/>
  <c r="M121" i="7"/>
  <c r="L121" i="7"/>
  <c r="K121" i="7"/>
  <c r="H121" i="7"/>
  <c r="M120" i="7"/>
  <c r="L120" i="7"/>
  <c r="K120" i="7"/>
  <c r="H120" i="7"/>
  <c r="M119" i="7"/>
  <c r="L119" i="7"/>
  <c r="K119" i="7"/>
  <c r="H119" i="7"/>
  <c r="M118" i="7"/>
  <c r="L118" i="7"/>
  <c r="K118" i="7"/>
  <c r="H118" i="7"/>
  <c r="M117" i="7"/>
  <c r="L117" i="7"/>
  <c r="K117" i="7"/>
  <c r="H117" i="7"/>
  <c r="G115" i="7"/>
  <c r="F115" i="7"/>
  <c r="E115" i="7"/>
  <c r="D115" i="7"/>
  <c r="M114" i="7"/>
  <c r="L114" i="7"/>
  <c r="K114" i="7"/>
  <c r="H114" i="7"/>
  <c r="M113" i="7"/>
  <c r="L113" i="7"/>
  <c r="K113" i="7"/>
  <c r="H113" i="7"/>
  <c r="M112" i="7"/>
  <c r="L112" i="7"/>
  <c r="K112" i="7"/>
  <c r="H112" i="7"/>
  <c r="M111" i="7"/>
  <c r="L111" i="7"/>
  <c r="K111" i="7"/>
  <c r="H111" i="7"/>
  <c r="M110" i="7"/>
  <c r="L110" i="7"/>
  <c r="K110" i="7"/>
  <c r="H110" i="7"/>
  <c r="M109" i="7"/>
  <c r="L109" i="7"/>
  <c r="K109" i="7"/>
  <c r="H109" i="7"/>
  <c r="M108" i="7"/>
  <c r="L108" i="7"/>
  <c r="K108" i="7"/>
  <c r="H108" i="7"/>
  <c r="G106" i="7"/>
  <c r="F106" i="7"/>
  <c r="E106" i="7"/>
  <c r="D106" i="7"/>
  <c r="M105" i="7"/>
  <c r="L105" i="7"/>
  <c r="K105" i="7"/>
  <c r="H105" i="7"/>
  <c r="M104" i="7"/>
  <c r="L104" i="7"/>
  <c r="K104" i="7"/>
  <c r="H104" i="7"/>
  <c r="M103" i="7"/>
  <c r="L103" i="7"/>
  <c r="K103" i="7"/>
  <c r="H103" i="7"/>
  <c r="M102" i="7"/>
  <c r="L102" i="7"/>
  <c r="K102" i="7"/>
  <c r="H102" i="7"/>
  <c r="M101" i="7"/>
  <c r="L101" i="7"/>
  <c r="K101" i="7"/>
  <c r="H101" i="7"/>
  <c r="M100" i="7"/>
  <c r="L100" i="7"/>
  <c r="K100" i="7"/>
  <c r="H100" i="7"/>
  <c r="M99" i="7"/>
  <c r="L99" i="7"/>
  <c r="K99" i="7"/>
  <c r="H99" i="7"/>
  <c r="G97" i="7"/>
  <c r="F97" i="7"/>
  <c r="E97" i="7"/>
  <c r="D97" i="7"/>
  <c r="M96" i="7"/>
  <c r="L96" i="7"/>
  <c r="K96" i="7"/>
  <c r="H96" i="7"/>
  <c r="M95" i="7"/>
  <c r="L95" i="7"/>
  <c r="K95" i="7"/>
  <c r="H95" i="7"/>
  <c r="M94" i="7"/>
  <c r="L94" i="7"/>
  <c r="K94" i="7"/>
  <c r="H94" i="7"/>
  <c r="M93" i="7"/>
  <c r="L93" i="7"/>
  <c r="K93" i="7"/>
  <c r="H93" i="7"/>
  <c r="M92" i="7"/>
  <c r="L92" i="7"/>
  <c r="K92" i="7"/>
  <c r="H92" i="7"/>
  <c r="M91" i="7"/>
  <c r="L91" i="7"/>
  <c r="K91" i="7"/>
  <c r="H91" i="7"/>
  <c r="G89" i="7"/>
  <c r="F89" i="7"/>
  <c r="E89" i="7"/>
  <c r="D89" i="7"/>
  <c r="M88" i="7"/>
  <c r="L88" i="7"/>
  <c r="K88" i="7"/>
  <c r="H88" i="7"/>
  <c r="M87" i="7"/>
  <c r="L87" i="7"/>
  <c r="K87" i="7"/>
  <c r="H87" i="7"/>
  <c r="G85" i="7"/>
  <c r="F85" i="7"/>
  <c r="E85" i="7"/>
  <c r="D85" i="7"/>
  <c r="M84" i="7"/>
  <c r="L84" i="7"/>
  <c r="K84" i="7"/>
  <c r="H84" i="7"/>
  <c r="G82" i="7"/>
  <c r="F82" i="7"/>
  <c r="E82" i="7"/>
  <c r="D82" i="7"/>
  <c r="M81" i="7"/>
  <c r="L81" i="7"/>
  <c r="K81" i="7"/>
  <c r="H81" i="7"/>
  <c r="M80" i="7"/>
  <c r="L80" i="7"/>
  <c r="K80" i="7"/>
  <c r="H80" i="7"/>
  <c r="G78" i="7"/>
  <c r="F78" i="7"/>
  <c r="E78" i="7"/>
  <c r="D78" i="7"/>
  <c r="M77" i="7"/>
  <c r="L77" i="7"/>
  <c r="K77" i="7"/>
  <c r="H77" i="7"/>
  <c r="M76" i="7"/>
  <c r="L76" i="7"/>
  <c r="K76" i="7"/>
  <c r="H76" i="7"/>
  <c r="M75" i="7"/>
  <c r="L75" i="7"/>
  <c r="K75" i="7"/>
  <c r="H75" i="7"/>
  <c r="M74" i="7"/>
  <c r="L74" i="7"/>
  <c r="K74" i="7"/>
  <c r="H74" i="7"/>
  <c r="M73" i="7"/>
  <c r="L73" i="7"/>
  <c r="K73" i="7"/>
  <c r="H73" i="7"/>
  <c r="G71" i="7"/>
  <c r="F71" i="7"/>
  <c r="E71" i="7"/>
  <c r="D71" i="7"/>
  <c r="M70" i="7"/>
  <c r="L70" i="7"/>
  <c r="K70" i="7"/>
  <c r="H70" i="7"/>
  <c r="M69" i="7"/>
  <c r="L69" i="7"/>
  <c r="K69" i="7"/>
  <c r="H69" i="7"/>
  <c r="M68" i="7"/>
  <c r="L68" i="7"/>
  <c r="K68" i="7"/>
  <c r="H68" i="7"/>
  <c r="M67" i="7"/>
  <c r="L67" i="7"/>
  <c r="K67" i="7"/>
  <c r="H67" i="7"/>
  <c r="M66" i="7"/>
  <c r="L66" i="7"/>
  <c r="K66" i="7"/>
  <c r="H66" i="7"/>
  <c r="M65" i="7"/>
  <c r="L65" i="7"/>
  <c r="K65" i="7"/>
  <c r="H65" i="7"/>
  <c r="G63" i="7"/>
  <c r="F63" i="7"/>
  <c r="E63" i="7"/>
  <c r="D63" i="7"/>
  <c r="M62" i="7"/>
  <c r="L62" i="7"/>
  <c r="K62" i="7"/>
  <c r="H62" i="7"/>
  <c r="M61" i="7"/>
  <c r="L61" i="7"/>
  <c r="K61" i="7"/>
  <c r="H61" i="7"/>
  <c r="M60" i="7"/>
  <c r="L60" i="7"/>
  <c r="K60" i="7"/>
  <c r="H60" i="7"/>
  <c r="M59" i="7"/>
  <c r="L59" i="7"/>
  <c r="K59" i="7"/>
  <c r="H59" i="7"/>
  <c r="M58" i="7"/>
  <c r="L58" i="7"/>
  <c r="K58" i="7"/>
  <c r="H58" i="7"/>
  <c r="M57" i="7"/>
  <c r="L57" i="7"/>
  <c r="K57" i="7"/>
  <c r="H57" i="7"/>
  <c r="G55" i="7"/>
  <c r="F55" i="7"/>
  <c r="E55" i="7"/>
  <c r="D55" i="7"/>
  <c r="M54" i="7"/>
  <c r="L54" i="7"/>
  <c r="K54" i="7"/>
  <c r="H54" i="7"/>
  <c r="M53" i="7"/>
  <c r="L53" i="7"/>
  <c r="K53" i="7"/>
  <c r="H53" i="7"/>
  <c r="M52" i="7"/>
  <c r="L52" i="7"/>
  <c r="K52" i="7"/>
  <c r="H52" i="7"/>
  <c r="M51" i="7"/>
  <c r="L51" i="7"/>
  <c r="K51" i="7"/>
  <c r="H51" i="7"/>
  <c r="M50" i="7"/>
  <c r="L50" i="7"/>
  <c r="K50" i="7"/>
  <c r="H50" i="7"/>
  <c r="G48" i="7"/>
  <c r="F48" i="7"/>
  <c r="E48" i="7"/>
  <c r="D48" i="7"/>
  <c r="M47" i="7"/>
  <c r="L47" i="7"/>
  <c r="K47" i="7"/>
  <c r="H47" i="7"/>
  <c r="M46" i="7"/>
  <c r="L46" i="7"/>
  <c r="K46" i="7"/>
  <c r="H46" i="7"/>
  <c r="M45" i="7"/>
  <c r="L45" i="7"/>
  <c r="K45" i="7"/>
  <c r="H45" i="7"/>
  <c r="M44" i="7"/>
  <c r="L44" i="7"/>
  <c r="K44" i="7"/>
  <c r="H44" i="7"/>
  <c r="M43" i="7"/>
  <c r="L43" i="7"/>
  <c r="K43" i="7"/>
  <c r="H43" i="7"/>
  <c r="M42" i="7"/>
  <c r="L42" i="7"/>
  <c r="K42" i="7"/>
  <c r="H42" i="7"/>
  <c r="M41" i="7"/>
  <c r="L41" i="7"/>
  <c r="K41" i="7"/>
  <c r="H41" i="7"/>
  <c r="G39" i="7"/>
  <c r="F39" i="7"/>
  <c r="E39" i="7"/>
  <c r="D39" i="7"/>
  <c r="M38" i="7"/>
  <c r="L38" i="7"/>
  <c r="K38" i="7"/>
  <c r="H38" i="7"/>
  <c r="M37" i="7"/>
  <c r="L37" i="7"/>
  <c r="K37" i="7"/>
  <c r="H37" i="7"/>
  <c r="M36" i="7"/>
  <c r="L36" i="7"/>
  <c r="K36" i="7"/>
  <c r="H36" i="7"/>
  <c r="M35" i="7"/>
  <c r="L35" i="7"/>
  <c r="K35" i="7"/>
  <c r="H35" i="7"/>
  <c r="M34" i="7"/>
  <c r="L34" i="7"/>
  <c r="K34" i="7"/>
  <c r="H34" i="7"/>
  <c r="M33" i="7"/>
  <c r="L33" i="7"/>
  <c r="K33" i="7"/>
  <c r="H33" i="7"/>
  <c r="G31" i="7"/>
  <c r="G138" i="7" s="1"/>
  <c r="G173" i="7" s="1"/>
  <c r="F31" i="7"/>
  <c r="E31" i="7"/>
  <c r="D31" i="7"/>
  <c r="M30" i="7"/>
  <c r="L30" i="7"/>
  <c r="K30" i="7"/>
  <c r="H30" i="7"/>
  <c r="M29" i="7"/>
  <c r="L29" i="7"/>
  <c r="K29" i="7"/>
  <c r="H29" i="7"/>
  <c r="M28" i="7"/>
  <c r="L28" i="7"/>
  <c r="K28" i="7"/>
  <c r="H28" i="7"/>
  <c r="G26" i="7"/>
  <c r="F26" i="7"/>
  <c r="E26" i="7"/>
  <c r="D26" i="7"/>
  <c r="M25" i="7"/>
  <c r="L25" i="7"/>
  <c r="K25" i="7"/>
  <c r="H25" i="7"/>
  <c r="M24" i="7"/>
  <c r="L24" i="7"/>
  <c r="K24" i="7"/>
  <c r="H24" i="7"/>
  <c r="M23" i="7"/>
  <c r="L23" i="7"/>
  <c r="K23" i="7"/>
  <c r="H23" i="7"/>
  <c r="G21" i="7"/>
  <c r="F21" i="7"/>
  <c r="E21" i="7"/>
  <c r="D21" i="7"/>
  <c r="M20" i="7"/>
  <c r="L20" i="7"/>
  <c r="K20" i="7"/>
  <c r="H20" i="7"/>
  <c r="M19" i="7"/>
  <c r="L19" i="7"/>
  <c r="K19" i="7"/>
  <c r="H19" i="7"/>
  <c r="M18" i="7"/>
  <c r="L18" i="7"/>
  <c r="K18" i="7"/>
  <c r="H18" i="7"/>
  <c r="G16" i="7"/>
  <c r="F16" i="7"/>
  <c r="E16" i="7"/>
  <c r="D16" i="7"/>
  <c r="M15" i="7"/>
  <c r="L15" i="7"/>
  <c r="K15" i="7"/>
  <c r="H15" i="7"/>
  <c r="M14" i="7"/>
  <c r="L14" i="7"/>
  <c r="K14" i="7"/>
  <c r="H14" i="7"/>
  <c r="M13" i="7"/>
  <c r="L13" i="7"/>
  <c r="K13" i="7"/>
  <c r="H13" i="7"/>
  <c r="G11" i="7"/>
  <c r="F11" i="7"/>
  <c r="E11" i="7"/>
  <c r="E138" i="7" s="1"/>
  <c r="D11" i="7"/>
  <c r="M10" i="7"/>
  <c r="L10" i="7"/>
  <c r="K10" i="7"/>
  <c r="H10" i="7"/>
  <c r="M9" i="7"/>
  <c r="L9" i="7"/>
  <c r="K9" i="7"/>
  <c r="H9" i="7"/>
  <c r="M8" i="7"/>
  <c r="L8" i="7"/>
  <c r="K8" i="7"/>
  <c r="H8" i="7"/>
  <c r="M7" i="7"/>
  <c r="L7" i="7"/>
  <c r="K7" i="7"/>
  <c r="H7" i="7"/>
  <c r="B2" i="7"/>
  <c r="C49" i="6"/>
  <c r="C33" i="6"/>
  <c r="C22" i="6"/>
  <c r="D19" i="6"/>
  <c r="C19" i="6"/>
  <c r="D18" i="6"/>
  <c r="C18" i="6"/>
  <c r="D16" i="6" s="1"/>
  <c r="D17" i="6"/>
  <c r="C17" i="6"/>
  <c r="C16" i="6"/>
  <c r="C15" i="6"/>
  <c r="D14" i="6"/>
  <c r="C14" i="6"/>
  <c r="C9" i="6"/>
  <c r="D8" i="6"/>
  <c r="B2" i="6"/>
  <c r="G16" i="5"/>
  <c r="C7" i="5"/>
  <c r="C6" i="5"/>
  <c r="G175" i="4"/>
  <c r="G176" i="4" s="1"/>
  <c r="F175" i="4"/>
  <c r="F176" i="4" s="1"/>
  <c r="E175" i="4"/>
  <c r="E176" i="4" s="1"/>
  <c r="G174" i="4"/>
  <c r="F174" i="4"/>
  <c r="E174" i="4"/>
  <c r="D174" i="4"/>
  <c r="D175" i="4" s="1"/>
  <c r="D176" i="4" s="1"/>
  <c r="G156" i="4"/>
  <c r="F156" i="4"/>
  <c r="E156" i="4"/>
  <c r="D156" i="4"/>
  <c r="G146" i="4"/>
  <c r="F146" i="4"/>
  <c r="E146" i="4"/>
  <c r="D146" i="4"/>
  <c r="G140" i="4"/>
  <c r="F140" i="4"/>
  <c r="E140" i="4"/>
  <c r="D140" i="4"/>
  <c r="G127" i="4"/>
  <c r="F127" i="4"/>
  <c r="G126" i="4"/>
  <c r="G131" i="4" s="1"/>
  <c r="F24" i="3" s="1"/>
  <c r="F126" i="4"/>
  <c r="F131" i="4" s="1"/>
  <c r="E24" i="3" s="1"/>
  <c r="E131" i="4"/>
  <c r="D24" i="3" s="1"/>
  <c r="D131" i="4"/>
  <c r="C24" i="3" s="1"/>
  <c r="G121" i="4"/>
  <c r="F121" i="4"/>
  <c r="E121" i="4"/>
  <c r="F116" i="4"/>
  <c r="G115" i="4"/>
  <c r="G109" i="4"/>
  <c r="F109" i="4"/>
  <c r="G106" i="4"/>
  <c r="F106" i="4"/>
  <c r="D111" i="4"/>
  <c r="G105" i="4"/>
  <c r="G111" i="4" s="1"/>
  <c r="F105" i="4"/>
  <c r="F111" i="4" s="1"/>
  <c r="G100" i="4"/>
  <c r="G102" i="4" s="1"/>
  <c r="F100" i="4"/>
  <c r="F102" i="4" s="1"/>
  <c r="E102" i="4"/>
  <c r="D102" i="4"/>
  <c r="G97" i="4"/>
  <c r="F19" i="3" s="1"/>
  <c r="F97" i="4"/>
  <c r="E97" i="4"/>
  <c r="D97" i="4"/>
  <c r="C19" i="3" s="1"/>
  <c r="G93" i="4"/>
  <c r="F93" i="4"/>
  <c r="E93" i="4"/>
  <c r="D18" i="3" s="1"/>
  <c r="D93" i="4"/>
  <c r="C18" i="3" s="1"/>
  <c r="G88" i="4"/>
  <c r="F88" i="4"/>
  <c r="E88" i="4"/>
  <c r="D88" i="4"/>
  <c r="G80" i="4"/>
  <c r="F80" i="4"/>
  <c r="E80" i="4"/>
  <c r="D80" i="4"/>
  <c r="G69" i="4"/>
  <c r="F69" i="4"/>
  <c r="G68" i="4"/>
  <c r="F68" i="4"/>
  <c r="G67" i="4"/>
  <c r="F14" i="3" s="1"/>
  <c r="F67" i="4"/>
  <c r="E14" i="3" s="1"/>
  <c r="D14" i="3"/>
  <c r="G66" i="4"/>
  <c r="F66" i="4"/>
  <c r="G65" i="4"/>
  <c r="G71" i="4" s="1"/>
  <c r="F65" i="4"/>
  <c r="F71" i="4" s="1"/>
  <c r="G62" i="4"/>
  <c r="F62" i="4"/>
  <c r="E62" i="4"/>
  <c r="D62" i="4"/>
  <c r="F54" i="4"/>
  <c r="D54" i="4"/>
  <c r="G50" i="4"/>
  <c r="G54" i="4" s="1"/>
  <c r="F50" i="4"/>
  <c r="G49" i="4"/>
  <c r="F49" i="4"/>
  <c r="G48" i="4"/>
  <c r="F48" i="4"/>
  <c r="G47" i="4"/>
  <c r="F12" i="3" s="1"/>
  <c r="F47" i="4"/>
  <c r="E12" i="3" s="1"/>
  <c r="D12" i="3"/>
  <c r="C12" i="3"/>
  <c r="G41" i="4"/>
  <c r="G44" i="4" s="1"/>
  <c r="F41" i="4"/>
  <c r="F44" i="4" s="1"/>
  <c r="E44" i="4"/>
  <c r="G40" i="4"/>
  <c r="F40" i="4"/>
  <c r="G39" i="4"/>
  <c r="F39" i="4"/>
  <c r="E9" i="4"/>
  <c r="D5" i="3" s="1"/>
  <c r="G35" i="4"/>
  <c r="F35" i="4"/>
  <c r="E35" i="4"/>
  <c r="D35" i="4"/>
  <c r="D29" i="4"/>
  <c r="C9" i="3" s="1"/>
  <c r="C8" i="6" s="1"/>
  <c r="D7" i="6" s="1"/>
  <c r="G26" i="4"/>
  <c r="G29" i="4" s="1"/>
  <c r="F9" i="3" s="1"/>
  <c r="F26" i="4"/>
  <c r="F29" i="4" s="1"/>
  <c r="E9" i="3" s="1"/>
  <c r="D8" i="3"/>
  <c r="G21" i="4"/>
  <c r="F21" i="4"/>
  <c r="G19" i="4"/>
  <c r="G23" i="4" s="1"/>
  <c r="F19" i="4"/>
  <c r="F23" i="4" s="1"/>
  <c r="G16" i="4"/>
  <c r="F6" i="3" s="1"/>
  <c r="F16" i="4"/>
  <c r="E6" i="3" s="1"/>
  <c r="E16" i="4"/>
  <c r="D6" i="3" s="1"/>
  <c r="D16" i="4"/>
  <c r="C6" i="3" s="1"/>
  <c r="G10" i="4"/>
  <c r="F10" i="4"/>
  <c r="G9" i="4"/>
  <c r="F9" i="4"/>
  <c r="G6" i="4"/>
  <c r="F6" i="4"/>
  <c r="B2" i="4"/>
  <c r="F48" i="3"/>
  <c r="E48" i="3"/>
  <c r="D48" i="3"/>
  <c r="C48" i="3"/>
  <c r="F47" i="3"/>
  <c r="E47" i="3"/>
  <c r="D47" i="3"/>
  <c r="C47" i="3"/>
  <c r="F46" i="3"/>
  <c r="E46" i="3"/>
  <c r="D46" i="3"/>
  <c r="C46" i="3"/>
  <c r="F41" i="3"/>
  <c r="E41" i="3"/>
  <c r="D41" i="3"/>
  <c r="C41" i="3"/>
  <c r="F40" i="3"/>
  <c r="E40" i="3"/>
  <c r="D40" i="3"/>
  <c r="C40" i="3"/>
  <c r="F39" i="3"/>
  <c r="E39" i="3"/>
  <c r="D39" i="3"/>
  <c r="C39" i="3"/>
  <c r="F38" i="3"/>
  <c r="E38" i="3"/>
  <c r="D38" i="3"/>
  <c r="C38" i="3"/>
  <c r="E25" i="3"/>
  <c r="E28" i="3" s="1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E19" i="3"/>
  <c r="D19" i="3"/>
  <c r="F18" i="3"/>
  <c r="E18" i="3"/>
  <c r="F17" i="3"/>
  <c r="E17" i="3"/>
  <c r="D17" i="3"/>
  <c r="C17" i="3"/>
  <c r="F16" i="3"/>
  <c r="E16" i="3"/>
  <c r="D16" i="3"/>
  <c r="C16" i="3"/>
  <c r="F15" i="3"/>
  <c r="E15" i="3"/>
  <c r="D15" i="3"/>
  <c r="C15" i="3"/>
  <c r="F13" i="3"/>
  <c r="E13" i="3"/>
  <c r="D13" i="3"/>
  <c r="C13" i="3"/>
  <c r="F11" i="3"/>
  <c r="E11" i="3"/>
  <c r="D11" i="3"/>
  <c r="F10" i="3"/>
  <c r="E10" i="3"/>
  <c r="D10" i="3"/>
  <c r="C10" i="3"/>
  <c r="F8" i="3"/>
  <c r="E8" i="3"/>
  <c r="C8" i="3"/>
  <c r="C7" i="6" s="1"/>
  <c r="F7" i="3"/>
  <c r="E7" i="3"/>
  <c r="D7" i="3"/>
  <c r="C7" i="3"/>
  <c r="C6" i="6" s="1"/>
  <c r="F5" i="3"/>
  <c r="F25" i="3" s="1"/>
  <c r="E5" i="3"/>
  <c r="B2" i="3"/>
  <c r="C63" i="2"/>
  <c r="C61" i="2"/>
  <c r="C60" i="2"/>
  <c r="C48" i="2"/>
  <c r="C30" i="2"/>
  <c r="C20" i="2"/>
  <c r="E23" i="4" l="1"/>
  <c r="E15" i="6"/>
  <c r="D71" i="4"/>
  <c r="C25" i="3"/>
  <c r="C28" i="3" s="1"/>
  <c r="D23" i="4"/>
  <c r="C11" i="3"/>
  <c r="C10" i="6" s="1"/>
  <c r="D9" i="6" s="1"/>
  <c r="D44" i="4"/>
  <c r="E6" i="6"/>
  <c r="D6" i="6"/>
  <c r="E21" i="5"/>
  <c r="G21" i="5" s="1"/>
  <c r="E33" i="5"/>
  <c r="G33" i="5" s="1"/>
  <c r="E27" i="5"/>
  <c r="G27" i="5" s="1"/>
  <c r="E14" i="5"/>
  <c r="G14" i="5" s="1"/>
  <c r="D45" i="6"/>
  <c r="E25" i="5"/>
  <c r="G25" i="5" s="1"/>
  <c r="D42" i="6"/>
  <c r="D41" i="6"/>
  <c r="E35" i="5"/>
  <c r="G35" i="5" s="1"/>
  <c r="C32" i="6"/>
  <c r="D47" i="6"/>
  <c r="D46" i="6"/>
  <c r="E26" i="5"/>
  <c r="G26" i="5" s="1"/>
  <c r="D40" i="6"/>
  <c r="E23" i="5"/>
  <c r="G23" i="5" s="1"/>
  <c r="E20" i="5"/>
  <c r="G20" i="5" s="1"/>
  <c r="E29" i="5"/>
  <c r="G29" i="5" s="1"/>
  <c r="E19" i="5"/>
  <c r="G19" i="5" s="1"/>
  <c r="E28" i="5"/>
  <c r="G28" i="5" s="1"/>
  <c r="E15" i="5"/>
  <c r="G15" i="5" s="1"/>
  <c r="D48" i="6"/>
  <c r="E39" i="5"/>
  <c r="G39" i="5" s="1"/>
  <c r="D44" i="6"/>
  <c r="C5" i="5"/>
  <c r="D43" i="6"/>
  <c r="E36" i="5"/>
  <c r="G36" i="5" s="1"/>
  <c r="E22" i="5"/>
  <c r="G22" i="5" s="1"/>
  <c r="C34" i="6"/>
  <c r="E34" i="5"/>
  <c r="G34" i="5" s="1"/>
  <c r="C11" i="6"/>
  <c r="E38" i="5"/>
  <c r="G38" i="5" s="1"/>
  <c r="E37" i="5"/>
  <c r="G37" i="5" s="1"/>
  <c r="E24" i="5"/>
  <c r="G24" i="5" s="1"/>
  <c r="C62" i="2"/>
  <c r="F159" i="4"/>
  <c r="F160" i="4" s="1"/>
  <c r="G159" i="4"/>
  <c r="G160" i="4" s="1"/>
  <c r="F28" i="3"/>
  <c r="F29" i="3" s="1"/>
  <c r="E173" i="7"/>
  <c r="E177" i="7"/>
  <c r="E176" i="7"/>
  <c r="E179" i="7"/>
  <c r="E7" i="6"/>
  <c r="C43" i="3"/>
  <c r="E23" i="6"/>
  <c r="E11" i="6"/>
  <c r="E18" i="6"/>
  <c r="E17" i="6"/>
  <c r="E9" i="6"/>
  <c r="E8" i="6"/>
  <c r="C31" i="6"/>
  <c r="F43" i="3"/>
  <c r="E43" i="3"/>
  <c r="D43" i="3"/>
  <c r="E14" i="6"/>
  <c r="E19" i="6"/>
  <c r="C64" i="2"/>
  <c r="C35" i="6"/>
  <c r="E16" i="6"/>
  <c r="D176" i="7"/>
  <c r="D6" i="4"/>
  <c r="D179" i="7"/>
  <c r="E6" i="4"/>
  <c r="E10" i="4" s="1"/>
  <c r="C50" i="6"/>
  <c r="D50" i="6" s="1"/>
  <c r="E29" i="3"/>
  <c r="D15" i="6"/>
  <c r="D194" i="7"/>
  <c r="D195" i="7" s="1"/>
  <c r="D173" i="7"/>
  <c r="E194" i="7"/>
  <c r="E195" i="7" s="1"/>
  <c r="E29" i="4"/>
  <c r="D9" i="3" s="1"/>
  <c r="D25" i="3" s="1"/>
  <c r="D28" i="3" s="1"/>
  <c r="D29" i="3" s="1"/>
  <c r="F194" i="7"/>
  <c r="F195" i="7" s="1"/>
  <c r="G194" i="7"/>
  <c r="G195" i="7" s="1"/>
  <c r="G40" i="5" l="1"/>
  <c r="G30" i="5"/>
  <c r="G42" i="5" s="1"/>
  <c r="E30" i="3"/>
  <c r="E31" i="3" s="1"/>
  <c r="D159" i="4"/>
  <c r="D160" i="4" s="1"/>
  <c r="D30" i="3"/>
  <c r="E10" i="6"/>
  <c r="D10" i="6"/>
  <c r="C42" i="3"/>
  <c r="D26" i="6"/>
  <c r="C28" i="6"/>
  <c r="E26" i="6"/>
  <c r="F42" i="3"/>
  <c r="E42" i="3"/>
  <c r="D42" i="3"/>
  <c r="F30" i="3"/>
  <c r="F31" i="3" s="1"/>
  <c r="E159" i="4"/>
  <c r="E160" i="4" s="1"/>
  <c r="C29" i="3"/>
  <c r="C51" i="6"/>
  <c r="F32" i="3" l="1"/>
  <c r="F34" i="3" s="1"/>
  <c r="E32" i="3"/>
  <c r="E34" i="3" s="1"/>
  <c r="C30" i="3"/>
  <c r="C31" i="3" s="1"/>
  <c r="C32" i="3" s="1"/>
  <c r="C34" i="3" s="1"/>
  <c r="C26" i="6"/>
  <c r="E22" i="6"/>
  <c r="D31" i="3"/>
  <c r="D32" i="3" s="1"/>
  <c r="D34" i="3" s="1"/>
</calcChain>
</file>

<file path=xl/sharedStrings.xml><?xml version="1.0" encoding="utf-8"?>
<sst xmlns="http://schemas.openxmlformats.org/spreadsheetml/2006/main" count="1334" uniqueCount="1015">
  <si>
    <t>M4Di  |  ALDi Design &amp; Construction Budget Tracker</t>
  </si>
  <si>
    <t>Forward Home Program · City of Wilmington Vacant Lot Initiative</t>
  </si>
  <si>
    <t>Project Name / Code:</t>
  </si>
  <si>
    <t>Enter official M4Di project code (e.g., FH-WIL-001)</t>
  </si>
  <si>
    <t>Project Address:</t>
  </si>
  <si>
    <t>Full site address including lot numbers</t>
  </si>
  <si>
    <t>Owner / Client:</t>
  </si>
  <si>
    <t>L.E.E.P., Inc. / City of Wilmington Program</t>
  </si>
  <si>
    <t>Legal entity name</t>
  </si>
  <si>
    <t>Architect of Record:</t>
  </si>
  <si>
    <t>Aubyn Architecture LLC (AOR) | M4D lead</t>
  </si>
  <si>
    <t>M4Di Project Lead:</t>
  </si>
  <si>
    <t>Gross Area (SF — all units):</t>
  </si>
  <si>
    <t>Total project SF: units × SF/unit</t>
  </si>
  <si>
    <t>ALDi Start Date:</t>
  </si>
  <si>
    <t>Date M4Di ALDi engagement begins</t>
  </si>
  <si>
    <t>ROM Estimate Date:</t>
  </si>
  <si>
    <t>May 2026</t>
  </si>
  <si>
    <t>Date of M4Di G0 ROM</t>
  </si>
  <si>
    <t>ALDi Gate Status:</t>
  </si>
  <si>
    <t>Gate 0 — ROM Baseline In Progress</t>
  </si>
  <si>
    <t>COLUMN GUIDE — Four Estimate Stages (ALDi Gate Architecture)</t>
  </si>
  <si>
    <t>Column D
M4Di ROM</t>
  </si>
  <si>
    <t>Rough Order of Magnitude</t>
  </si>
  <si>
    <t>At ALDi Gate 0 (G0)</t>
  </si>
  <si>
    <t>The locked baseline. Never changes after ALDi Gate 0. All variances measured against this.</t>
  </si>
  <si>
    <t>Column E
75% DD Estimate</t>
  </si>
  <si>
    <t>Design Development (75%)</t>
  </si>
  <si>
    <t>At ALDi Gate 2</t>
  </si>
  <si>
    <t>First major design-informed reality check. Variance &gt;15% triggers formal review and log entry.</t>
  </si>
  <si>
    <t>Column F
100% CD / SOV</t>
  </si>
  <si>
    <t>Construction Documents / GMP</t>
  </si>
  <si>
    <t>At ALDi Gate 3</t>
  </si>
  <si>
    <t>The contracted number. All future change orders are logged against this column.</t>
  </si>
  <si>
    <t>Column G
Actual Cost</t>
  </si>
  <si>
    <t>Construction Closeout</t>
  </si>
  <si>
    <t>Updated monthly G4</t>
  </si>
  <si>
    <t>Running total of all committed costs: executed SOV line items + approved change orders.</t>
  </si>
  <si>
    <t>PROJECT ASSUMPTIONS &amp; CONTROLS</t>
  </si>
  <si>
    <t>Forward Home Program  ·  M4Di OI Tool v2  ·  G0 ROM ±25%</t>
  </si>
  <si>
    <t>Input</t>
  </si>
  <si>
    <t>Value</t>
  </si>
  <si>
    <t>Notes</t>
  </si>
  <si>
    <t>A — PROJECT BASIS</t>
  </si>
  <si>
    <t>Project Name</t>
  </si>
  <si>
    <t>Forward Home — Type D 10-Unit Cluster</t>
  </si>
  <si>
    <t>Enter the official M4Di project code (e.g., FH-WIL-001)</t>
  </si>
  <si>
    <t>Estimate Date</t>
  </si>
  <si>
    <t>Enter as MM/DD/YYYY. Update with each revision.</t>
  </si>
  <si>
    <t>Estimate Type</t>
  </si>
  <si>
    <t>ROM / Conceptual</t>
  </si>
  <si>
    <t>ROM / Conceptual | Schematic | Design Development | GMP</t>
  </si>
  <si>
    <t>Project Type</t>
  </si>
  <si>
    <t>New Construction — Residential</t>
  </si>
  <si>
    <t>New Construction | Adaptive Reuse | Interior Improvement</t>
  </si>
  <si>
    <t>Client / Owner</t>
  </si>
  <si>
    <t>Legal entity name of the owner organization.</t>
  </si>
  <si>
    <t>Site Address</t>
  </si>
  <si>
    <t>City of Wilmington Vacant Lot Cluster, Wilmington DE 19801</t>
  </si>
  <si>
    <t>Full property address for zoning lookup reference.</t>
  </si>
  <si>
    <t>Total Gross Area (SF) — per unit</t>
  </si>
  <si>
    <t>Gross floor area per unit. Total = this × number of units.</t>
  </si>
  <si>
    <t>Number of units (Type D cluster)</t>
  </si>
  <si>
    <t>Pilot: 10-unit lot cluster. Adjust for Type A (4 units).</t>
  </si>
  <si>
    <t>Total Project SF (all units)</t>
  </si>
  <si>
    <t>Computed: unit SF × number of units.</t>
  </si>
  <si>
    <t>Base Region</t>
  </si>
  <si>
    <t>Delaware</t>
  </si>
  <si>
    <t>Delaware = M4Di baseline. All unit prices sourced from DE bid data.</t>
  </si>
  <si>
    <t>Selected Pricing Region</t>
  </si>
  <si>
    <t>New Castle / Wilmington</t>
  </si>
  <si>
    <t>Must match REGIONAL FACTORS regional factor table.</t>
  </si>
  <si>
    <t>B — COST ESCALATION</t>
  </si>
  <si>
    <t>ENR Construction Cost Index (CCI) escalation %</t>
  </si>
  <si>
    <t>Source: ENR CCI Q1 2026. Update quarterly. Applied to labor-intensive items.</t>
  </si>
  <si>
    <t>ENR Building Cost Index (BCI) escalation %</t>
  </si>
  <si>
    <t>Source: ENR BCI Q1 2026. Update quarterly. Applied to material-intensive items.</t>
  </si>
  <si>
    <t>Blended escalation rate</t>
  </si>
  <si>
    <t>Average of CCI and BCI. Applied uniformly in unit price library.</t>
  </si>
  <si>
    <t>Material / market factor</t>
  </si>
  <si>
    <t>Adjust for procurement pressure, bid climate, supply chain risk. 1.00 = neutral.</t>
  </si>
  <si>
    <t>C — MARKUPS &amp; CONTINGENCIES</t>
  </si>
  <si>
    <t>General Conditions (GC) %</t>
  </si>
  <si>
    <t>Typical range: 6%–10%. On-site supervision, temp facilities, insurance.</t>
  </si>
  <si>
    <t>Overhead &amp; Profit (OH&amp;P) %</t>
  </si>
  <si>
    <t>Typical range: 8%–12%. Applied to subtotal after GC.</t>
  </si>
  <si>
    <t>Design Contingency %</t>
  </si>
  <si>
    <t>Reduce to 8% at SD; 5% at DD; 0% at GMP. ROM = 12%.</t>
  </si>
  <si>
    <t>Existing Conditions Contingency %</t>
  </si>
  <si>
    <t>New construction = 0%. Renovation/adaptive reuse: 8%–15%.</t>
  </si>
  <si>
    <t>Owner Selection / Equipment Contingency %</t>
  </si>
  <si>
    <t>Reduce as owner selections confirmed. Tier upgrades reduce this.</t>
  </si>
  <si>
    <t>Bid / Permit / Bonds %</t>
  </si>
  <si>
    <t>Permitting fees, bid bonds, performance bonds. Delaware residential.</t>
  </si>
  <si>
    <t>Total Contingency %</t>
  </si>
  <si>
    <t>Sum of all contingency lines. ROM = ~17%.</t>
  </si>
  <si>
    <t>D — HARD COST UNIT RATES (blended installed per floor SF — all tiers)</t>
  </si>
  <si>
    <t>4Ward-SIB Forward Panel — base (all tiers)</t>
  </si>
  <si>
    <t>Blended installed per floor SF · $42K/unit at 1,350 SF · Barricade INDEVCO ROM May 2026</t>
  </si>
  <si>
    <t>Foundation — T1 CMU/poured slab</t>
  </si>
  <si>
    <t>$28K/unit at 1,350 SF · Includes CMU party wall bearing element</t>
  </si>
  <si>
    <t>Foundation — T2–T4 Superior Walls Xi Plus</t>
  </si>
  <si>
    <t>$30K/unit · TER 2211-02 (DrJ/ANAB) · premium over T1 CMU</t>
  </si>
  <si>
    <t>MEP base — T1 std mini-split HVAC + plumbing + electrical</t>
  </si>
  <si>
    <t>$19K/unit · cold-climate mini-split SEER2 ≥18 · residential MEP bundle</t>
  </si>
  <si>
    <t>MEP base — T2 Quilt 3-zone + plumbing + electrical</t>
  </si>
  <si>
    <t>$21K/unit · SEER2 25.3 / HSPF2 12 · ERV separate line item</t>
  </si>
  <si>
    <t>MEP base — T3–T4 Mitsubishi FX H2i sumo + plumbing + electrical</t>
  </si>
  <si>
    <t>$22K/unit · SEER2 29.9 · 10-yr warranty</t>
  </si>
  <si>
    <t>Finishes / millwork / appliances — all tiers</t>
  </si>
  <si>
    <t>$23K/unit · mid-range Forward Home spec</t>
  </si>
  <si>
    <t>E — SOFT COST RATES (CBai MEP SOP v1 disaggregated)</t>
  </si>
  <si>
    <t>Typology toggle (1=First use · 2=Repeat/Claymont template)</t>
  </si>
  <si>
    <t>1 = first Forward Home engagement · 2 = Claymont template repeat (Q4 2026+)</t>
  </si>
  <si>
    <t>A&amp;E architectural fee (per unit, fixed)</t>
  </si>
  <si>
    <t>AOR + schematic + permit drawings · fixed regardless of typology</t>
  </si>
  <si>
    <t>MEP PE fee — first typology (per unit)</t>
  </si>
  <si>
    <t>CBai-assisted target · full G0–G3 scope · M4Di CBai MEP Workflow SOP v1 Table 2</t>
  </si>
  <si>
    <t>MEP PE fee — repeat/Claymont template (per unit)</t>
  </si>
  <si>
    <t>40–50% of full-service · G3 stamp only · available Q4 2026 after Claymont G4 archive</t>
  </si>
  <si>
    <t>Permits / filing / AHJ fees (per unit)</t>
  </si>
  <si>
    <t>City of Wilmington residential permit · fixed</t>
  </si>
  <si>
    <t>M4Di OI Tool / ALDi Tracker (per unit)</t>
  </si>
  <si>
    <t>G0 ROM + ALDi gate tracking G1–G4 · OED cost-verification standard</t>
  </si>
  <si>
    <t>SOFT COSTS / UNIT (base, active typology)</t>
  </si>
  <si>
    <t>Active total · First: ~$11,700 · Repeat/Claymont: ~$10,300</t>
  </si>
  <si>
    <t>F — REVENUE (feeds BID SUMMARY / TOTAL PROJECT BUDGET)</t>
  </si>
  <si>
    <t>Sale price / unit — T1 Code+</t>
  </si>
  <si>
    <t>City target $220K–$250K · Type D cluster achieves higher end</t>
  </si>
  <si>
    <t>Sale price / unit — T2 Zero</t>
  </si>
  <si>
    <t>Net premium ~$12K–$18K over T1 · DOE ZERH certified</t>
  </si>
  <si>
    <t>Sale price / unit — T3 Positive</t>
  </si>
  <si>
    <t>Net premium ~$28K–$42K · PHIUS+ certified</t>
  </si>
  <si>
    <t>Sale price / unit — T4 Harvest</t>
  </si>
  <si>
    <t>Net premium ~$52K–$72K · off-grid agrivoltaic</t>
  </si>
  <si>
    <t>Monthly rent / unit (rental hold)</t>
  </si>
  <si>
    <t>Wilmington forward housing market rate · affordable range</t>
  </si>
  <si>
    <t>Stabilized expense ratio</t>
  </si>
  <si>
    <t>NOI = 55% of gross annual income</t>
  </si>
  <si>
    <t>Capitalization rate (valuation)</t>
  </si>
  <si>
    <t>Delaware multifamily Q1 2026 estimate</t>
  </si>
  <si>
    <t>G — QUICK REFERENCE (auto-calculated from BID SUMMARY)</t>
  </si>
  <si>
    <t>Base hard cost subtotal (pre-markup)</t>
  </si>
  <si>
    <t>GC + OH&amp;P + contingency</t>
  </si>
  <si>
    <t>Total Project ROM (hard cost)</t>
  </si>
  <si>
    <t>Total Soft Costs</t>
  </si>
  <si>
    <t>TOTAL PROJECT INVESTMENT</t>
  </si>
  <si>
    <t>COLOR CODE: Dark navy text + pale yellow bg = input  ·  Dark green text + pale green bg = formula  ·  Gray italic = note / source  ·  Soft cost typology toggle: C=1 (first) or C=2 (Claymont repeat)</t>
  </si>
  <si>
    <t>ROM COST ESTIMATE — FORWARD HOME PROGRAM · FOUR-TIER SUMMARY</t>
  </si>
  <si>
    <t>Summary Item</t>
  </si>
  <si>
    <t>T1 Code+</t>
  </si>
  <si>
    <t>T2 Zero</t>
  </si>
  <si>
    <t>T3 Positive</t>
  </si>
  <si>
    <t>T4 Harvest</t>
  </si>
  <si>
    <t>Notes / Basis</t>
  </si>
  <si>
    <t>SECTION 1 — HARD COSTS (Pre-Markup Subtotal by CSI Division)</t>
  </si>
  <si>
    <t>DIV 01 — General Requirements / GC Conditions</t>
  </si>
  <si>
    <t>On-site supervision, temp facilities, site logistics per ALDi standard rates</t>
  </si>
  <si>
    <t>DIV 02 — Existing Conditions / Demolition</t>
  </si>
  <si>
    <t>New construction = $0 demo. Allowance for minor site clearing.</t>
  </si>
  <si>
    <t>DIV 03 — Concrete (foundation, slab, CMU party wall)</t>
  </si>
  <si>
    <t>T1: CMU+slab. T2–T4: Superior Walls Xi Plus + slab.</t>
  </si>
  <si>
    <t>DIV 04 — Masonry (CMU party wall complement)</t>
  </si>
  <si>
    <t>8″ CMU party wall continuous foundation to underside of roof deck. All tiers.</t>
  </si>
  <si>
    <t>DIV 05 — Metals (structural, misc)</t>
  </si>
  <si>
    <t>DIV 06 — Wood / CLT Structural Spine + Framing</t>
  </si>
  <si>
    <t>T1–T2: 2×6 SPF-S light frame. T3–T4: TerraLam TL500S CLT ESR-5053 where specified.</t>
  </si>
  <si>
    <t>DIV 07 — 4Ward-SIB Panel + Thermal/Moisture Protection</t>
  </si>
  <si>
    <t>Barricade Thermo-Brace SIB TER 1507-09. Includes WRB, R-5 CI, air barrier. T3-4 adds Intello+.</t>
  </si>
  <si>
    <t>DIV 08 — Openings (windows, doors)</t>
  </si>
  <si>
    <t>T1-2: Crystal Magnus 4500 tilt-turn U≤0.20. T3-4: Magnus 4700 PH U≤0.14.</t>
  </si>
  <si>
    <t>DIV 09 — Finishes (GWB, flooring, paint, tile)</t>
  </si>
  <si>
    <t>Interior finishes · mid-range Forward Home spec</t>
  </si>
  <si>
    <t>DIV 10 — Specialties (cladding, accessories)</t>
  </si>
  <si>
    <t>Allura fiber cement cladding. T1: Lap. T2-3: Panel. T3-4: Panel+Shakes. 50-yr warranty.</t>
  </si>
  <si>
    <t>DIV 11 — Equipment (appliances, kitchen, specialty)</t>
  </si>
  <si>
    <t>T4: Crop Circle Farms rooftop system. NatureMill composter.</t>
  </si>
  <si>
    <t>DIV 12 — Furnishings (FF&amp;E allowance)</t>
  </si>
  <si>
    <t>DIV 14 — Conveying (elevator — if applicable)</t>
  </si>
  <si>
    <t>Type D pilot: 2-story — no elevator. Allow for 3+ story future configurations.</t>
  </si>
  <si>
    <t>DIV 21 — Fire Suppression (NFPA 13R residential)</t>
  </si>
  <si>
    <t>NFPA 13R townhouse sprinkler system.</t>
  </si>
  <si>
    <t>DIV 22 — Plumbing (DWV, domestic water, fixtures)</t>
  </si>
  <si>
    <t>T4: includes cistern plumbing, gravity-fed drip irrigation.</t>
  </si>
  <si>
    <t>DIV 23 — HVAC / Mechanical</t>
  </si>
  <si>
    <t>T1: std mini-split. T2: Quilt 3-zone + ERV. T3: Mitsubishi FX H2i sumo. T4: Quilt battery-opt.</t>
  </si>
  <si>
    <t>DIV 26 — Electrical (service, panels, wiring, lighting)</t>
  </si>
  <si>
    <t>T2-4: SPAN MAIN 40 UL 3141. T4: island-mode configured.</t>
  </si>
  <si>
    <t>DIV 26E — PV + Battery Storage (energy systems)</t>
  </si>
  <si>
    <t>T1: stub only. T2: 5.5kW+Enphase IQ5P. T3: 8.5kW+Powerwall 3. T4: Agrivoltaic+EcoFlow/FranklinWH.</t>
  </si>
  <si>
    <t>DIV 27/28 — Communications + Security</t>
  </si>
  <si>
    <t>DIV 32/33 — Site Work + Landscaping + Rooftop</t>
  </si>
  <si>
    <t>T2: LiveRoof Standard. T3: LiveRoof MAXX+edible rows. T4: Crop Circle Farms agrivoltaic trellis.</t>
  </si>
  <si>
    <t>BASE BUILDING SUBTOTAL (pre-markup, all CSI divisions)</t>
  </si>
  <si>
    <t>Sum of all CSI division line items. Pre-GC, pre-OH&amp;P, pre-contingency.</t>
  </si>
  <si>
    <t>SECTION 2 — MARKUPS &amp; CONTINGENCIES</t>
  </si>
  <si>
    <t>General Conditions (GC overhead)</t>
  </si>
  <si>
    <t>Rate: ASSUMPTIONS!C24 (8%). On-site supervision, temp facilities.</t>
  </si>
  <si>
    <t>Overhead &amp; Profit (OH&amp;P)</t>
  </si>
  <si>
    <t>Rate: ASSUMPTIONS!C25</t>
  </si>
  <si>
    <t>Total Contingencies (design + existing + owner selection)</t>
  </si>
  <si>
    <t>ROM: Design 12% + Existing 0% + Owner 5% = 17%</t>
  </si>
  <si>
    <t>Bid / Permit / Bonds</t>
  </si>
  <si>
    <t>2% covers permitting, bid bonds, performance bonds.</t>
  </si>
  <si>
    <t>TOTAL PROJECT ROM (hard costs only)</t>
  </si>
  <si>
    <t>Hard cost only. Soft costs, owner contingency in TOTAL PROJECT BUDGET.</t>
  </si>
  <si>
    <t>Project Cost per SF (hard ROM)</t>
  </si>
  <si>
    <t>$/SF per unit. Compare to SF BENCHMARK for reasonableness check.</t>
  </si>
  <si>
    <t>SECTION 3 — SOFT COSTS + TOTAL (from SOFT COSTS sheet)</t>
  </si>
  <si>
    <t>Architecture Fee (from SOFT COSTS)</t>
  </si>
  <si>
    <t>M4Di fee schedule · Type A residential · % of hard cost ROM</t>
  </si>
  <si>
    <t>Total Engineering Fees</t>
  </si>
  <si>
    <t>Structural + MEP PE (CBai-assisted) + FP + civil</t>
  </si>
  <si>
    <t>Other Consultants &amp; Owner Costs</t>
  </si>
  <si>
    <t>Permits, M4Di OI, testing, legal, insurance</t>
  </si>
  <si>
    <t>TOTAL SOFT COSTS</t>
  </si>
  <si>
    <t>See SOFT COSTS sheet for full detail.</t>
  </si>
  <si>
    <t>Owner Contingency (post-GMP reserve)</t>
  </si>
  <si>
    <t>5% owner contingency on hard costs</t>
  </si>
  <si>
    <t>Hard + Soft + Owner contingency. Full project cost.</t>
  </si>
  <si>
    <t>SECTION 4 — SITE &amp; UTILITY INFRASTRUCTURE (City contribution — for reference)</t>
  </si>
  <si>
    <t>Estimated site &amp; utility cost (10 units)</t>
  </si>
  <si>
    <t>City of Wilmington Program Credit</t>
  </si>
  <si>
    <t>Net developer cost — site &amp; utility</t>
  </si>
  <si>
    <t>M4Di  |  Forward Home Program — Hard Cost Takeoff by CSI Division</t>
  </si>
  <si>
    <t>Budget Item / Scope</t>
  </si>
  <si>
    <t>CSI / Ref</t>
  </si>
  <si>
    <t>T1 Code+
ROM (LOCKED)</t>
  </si>
  <si>
    <t>T2 Zero
ROM (LOCKED)</t>
  </si>
  <si>
    <t>T3 Positive
ROM (LOCKED)</t>
  </si>
  <si>
    <t>T4 Harvest
ROM (LOCKED)</t>
  </si>
  <si>
    <t>ROM vs. DD
Variance</t>
  </si>
  <si>
    <t>GC Quote</t>
  </si>
  <si>
    <t>Notes / Source</t>
  </si>
  <si>
    <t>SECTION 1 — HARD COSTS (Construction) · Per-Unit ROM Values</t>
  </si>
  <si>
    <t>1A — DIV 01  General Requirements / GC Conditions</t>
  </si>
  <si>
    <t>DIV 00/01</t>
  </si>
  <si>
    <t>General Conditions (GC time, overhead)</t>
  </si>
  <si>
    <t>—</t>
  </si>
  <si>
    <t>8% of base building subtotal at each tier. See ASSUMPTIONS GC rate.</t>
  </si>
  <si>
    <t>Temporary facilities, utilities, hoarding</t>
  </si>
  <si>
    <t>DIV 01-TF</t>
  </si>
  <si>
    <t>Allowance per unit — 10-unit cluster</t>
  </si>
  <si>
    <t>Site safety, security &amp; signage</t>
  </si>
  <si>
    <t>DIV 01-SS</t>
  </si>
  <si>
    <t>Allowance per unit</t>
  </si>
  <si>
    <t>GC fee / OH&amp;P</t>
  </si>
  <si>
    <t>DIV 00-OH</t>
  </si>
  <si>
    <t>10% of base subtotal. See ASSUMPTIONS OH&amp;P rate.</t>
  </si>
  <si>
    <t>DIV 01 SUBTOTAL</t>
  </si>
  <si>
    <t>DIV 01</t>
  </si>
  <si>
    <t>1B — DIV 02  Existing Conditions / Demolition</t>
  </si>
  <si>
    <t>DIV 02</t>
  </si>
  <si>
    <t>Selective demolition — interior</t>
  </si>
  <si>
    <t>DIV 02-DI</t>
  </si>
  <si>
    <t>New construction. $0. Allowance only if renovating an existing unit.</t>
  </si>
  <si>
    <t>Site clearing / minor demolition</t>
  </si>
  <si>
    <t>DIV 02-SC</t>
  </si>
  <si>
    <t>Allowance per unit — lot clearing, minor grading</t>
  </si>
  <si>
    <t>Hazardous materials survey (Phase I allowance)</t>
  </si>
  <si>
    <t>DIV 02-HT</t>
  </si>
  <si>
    <t>Allowance per lot — Phase I required for City program parcels</t>
  </si>
  <si>
    <t>DIV 02 SUBTOTAL</t>
  </si>
  <si>
    <t>1C — DIV 03  Concrete (foundation, slab, CMU party wall base)</t>
  </si>
  <si>
    <t>DIV 03</t>
  </si>
  <si>
    <t>Cast-in-place slab-on-grade (4" with R-10 under)</t>
  </si>
  <si>
    <t>DIV 03-CF</t>
  </si>
  <si>
    <t>$6.50/SF floor area · includes sub-slab EPS R-10 · all tiers</t>
  </si>
  <si>
    <t>Foundation — T1 CMU / poured (see also DIV 04)</t>
  </si>
  <si>
    <t>DIV 03-CM</t>
  </si>
  <si>
    <t>T1: 55% of found. rate is concrete/forming. Remainder in DIV 04 CMU.</t>
  </si>
  <si>
    <t>DIV 03-SW</t>
  </si>
  <si>
    <t>TER 2211-02 · 5,000 psi precast · built-in EPS+polyiso · Tiers 2–4</t>
  </si>
  <si>
    <t>Concrete repair / patching (new const. allowance)</t>
  </si>
  <si>
    <t>DIV 03-CR</t>
  </si>
  <si>
    <t>Punch-list allowance per unit</t>
  </si>
  <si>
    <t>DIV 03 SUBTOTAL</t>
  </si>
  <si>
    <t>1D — DIV 04  Masonry (8″ CMU party wall — ALL TIERS)</t>
  </si>
  <si>
    <t>DIV 04</t>
  </si>
  <si>
    <t>8" CMU party wall — continuous foundation to roof underside</t>
  </si>
  <si>
    <t>DIV 04-NM</t>
  </si>
  <si>
    <t>8" CMU inherent 2-hr fire / STC≥50. All tiers. ~45% of foundation rate.</t>
  </si>
  <si>
    <t>Thermafiber SafingFire mineral wool (firestop at CLT/CMU)</t>
  </si>
  <si>
    <t>DIV 04-FS</t>
  </si>
  <si>
    <t>Firestop joint detail at every CLT floor/CMU bearing intersection. All tiers.</t>
  </si>
  <si>
    <t>Hilti FS-ONE MAX sealant at penetrations</t>
  </si>
  <si>
    <t>DIV 04-HL</t>
  </si>
  <si>
    <t>Both faces of CMU at all MEP penetrations.</t>
  </si>
  <si>
    <t>DIV 04 SUBTOTAL</t>
  </si>
  <si>
    <t>1E — DIV 05  Metals (structural, misc, stairs)</t>
  </si>
  <si>
    <t>DIV 05</t>
  </si>
  <si>
    <t>Structural steel connections / lintels / angles</t>
  </si>
  <si>
    <t>DIV 05-MM</t>
  </si>
  <si>
    <t>Light residential — lintels, hold-downs, CMU bearing plates</t>
  </si>
  <si>
    <t>Stairs — metal pan or open-riser steel</t>
  </si>
  <si>
    <t>DIV 05-ST</t>
  </si>
  <si>
    <t>2-story unit: one stair per unit. Allowance.</t>
  </si>
  <si>
    <t>Miscellaneous metals — railings, guards</t>
  </si>
  <si>
    <t>DIV 05-RL</t>
  </si>
  <si>
    <t>Guardrails, handrails per IBC. Allowance per unit.</t>
  </si>
  <si>
    <t>DIV 05 SUBTOTAL</t>
  </si>
  <si>
    <t>1F — DIV 06  Wood / CLT Structural Spine + Light Framing</t>
  </si>
  <si>
    <t>DIV 06</t>
  </si>
  <si>
    <t>Light-frame wall — 2×6 SPF-S @ 16″ OC (T1–T2)</t>
  </si>
  <si>
    <t>DIV 06-LF</t>
  </si>
  <si>
    <t>$4.50/SF floor area for 2×6 framing. T1–T2 light frame wall system.</t>
  </si>
  <si>
    <t>CLT structural spine — TerraLam TL500S 5-ply ESR-5053 (T3–T4)</t>
  </si>
  <si>
    <t>DIV 06-CLT</t>
  </si>
  <si>
    <t>$9.80/SF · T3–T4 Type C/D CLT structural spine. ESR-5053. EOR required.</t>
  </si>
  <si>
    <t>Floor framing — 2×10 SPF-S joists + ¾" T&amp;G subfloor</t>
  </si>
  <si>
    <t>DIV 06-FL</t>
  </si>
  <si>
    <t>$5.20/SF floor area. All types (or CLT floor deck substitute at T3–T4).</t>
  </si>
  <si>
    <t>Roof framing — stick rafters / pre-eng trusses @ 24" OC</t>
  </si>
  <si>
    <t>DIV 06-RF</t>
  </si>
  <si>
    <t>R-49 blown-in attic above. T2–T4: LiveRoof / agrivoltaic at roof plane.</t>
  </si>
  <si>
    <t>Rough carpentry — blocking, nailers, backing</t>
  </si>
  <si>
    <t>DIV 06-RC</t>
  </si>
  <si>
    <t>Allowance per unit.</t>
  </si>
  <si>
    <t>Finish carpentry / millwork / casework</t>
  </si>
  <si>
    <t>DIV 06-FC</t>
  </si>
  <si>
    <t>Kitchen cabinets, vanities, closets. All tiers.</t>
  </si>
  <si>
    <t>DIV 06 SUBTOTAL</t>
  </si>
  <si>
    <t>1G — DIV 07  4Ward-SIB Panel + Thermal &amp; Moisture Protection</t>
  </si>
  <si>
    <t>DIV 07</t>
  </si>
  <si>
    <t>4Ward-SIB Forward Panel — Barricade Thermo-Brace Blue SIB™</t>
  </si>
  <si>
    <t>DIV 07-SIB</t>
  </si>
  <si>
    <t>TER 1507-09 · R-5 GPS CI + WRB + AIB integrated · 24″OC · 200mph Vult · all tiers</t>
  </si>
  <si>
    <t>Cavity insulation — batt (T1 fiberglass / T2–T4 Rockwool Comfortbatt)</t>
  </si>
  <si>
    <t>DIV 07-WI</t>
  </si>
  <si>
    <t>R-23 cavity · T2–T4 mineral wool for fire/vapor performance</t>
  </si>
  <si>
    <t>Attic insulation — R-49 blown-in fiberglass</t>
  </si>
  <si>
    <t>DIV 07-AI</t>
  </si>
  <si>
    <t>R-49 at attic floor plane · all tiers · blower door &lt;2.0 ACH50 auto via SIP</t>
  </si>
  <si>
    <t>Interior air barrier membrane — Pro Clima Intello+ (T3–T4)</t>
  </si>
  <si>
    <t>DIV 07-AB</t>
  </si>
  <si>
    <t>$1,800/unit at 1,350 SF · PHIUS+ compliant continuous air barrier · T3–T4 only</t>
  </si>
  <si>
    <t>Roofing membrane — EPDM/TPO (T1 base)</t>
  </si>
  <si>
    <t>DIV 07-RF</t>
  </si>
  <si>
    <t>Standard flat/low-slope EPDM or TPO at T1–T2 (LiveRoof replaces at T2+)</t>
  </si>
  <si>
    <t>Caulking, sealants, joint fillers</t>
  </si>
  <si>
    <t>DIV 07-SL</t>
  </si>
  <si>
    <t>Per unit allowance · all tiers</t>
  </si>
  <si>
    <t>Waterproofing below grade / foundation dampproofing</t>
  </si>
  <si>
    <t>DIV 07-WP</t>
  </si>
  <si>
    <t>T1: slab edge dampproofing. T2–T4: Superior Walls eliminates.</t>
  </si>
  <si>
    <t>DIV 07 SUBTOTAL</t>
  </si>
  <si>
    <t>1H — DIV 08  Openings (doors, windows, hardware)</t>
  </si>
  <si>
    <t>DIV 08</t>
  </si>
  <si>
    <t>Crystal Magnus 4500 tilt-turn windows — double-pane (T1–T2)</t>
  </si>
  <si>
    <t>DIV 08-WN</t>
  </si>
  <si>
    <t>U≤0.20 · PG70 · STC 41dB · HVHZ · per unit allowance T1 low / T2 high</t>
  </si>
  <si>
    <t>Crystal Magnus 4700 PH windows — triple-pane (T3–T4)</t>
  </si>
  <si>
    <t>DIV 08-WP</t>
  </si>
  <si>
    <t>U≤0.14 · Passive House certified · REHAU RAU-FIPRO · per unit allowance</t>
  </si>
  <si>
    <t>Hollow metal doors, frames &amp; hardware — exterior</t>
  </si>
  <si>
    <t>DIV 08-HM</t>
  </si>
  <si>
    <t>Entry door + 1 rear door per unit. Allowance.</t>
  </si>
  <si>
    <t>Interior doors — hollow core / solid core + hardware</t>
  </si>
  <si>
    <t>DIV 08-ID</t>
  </si>
  <si>
    <t>~8 interior doors per unit. Mid-range allowance.</t>
  </si>
  <si>
    <t>Accessible entry operators / ADA hardware</t>
  </si>
  <si>
    <t>DIV 08-AE</t>
  </si>
  <si>
    <t>DIV 08 SUBTOTAL</t>
  </si>
  <si>
    <t>1I — DIV 09  Finishes (GWB, flooring, paint, tile)</t>
  </si>
  <si>
    <t>DIV 09</t>
  </si>
  <si>
    <t>Drywall — partitions, shafts, soffits</t>
  </si>
  <si>
    <t>DIV 09-DW</t>
  </si>
  <si>
    <t>$5.20/SF floor area · standard residential framed partitions</t>
  </si>
  <si>
    <t>Tile — ceramic/porcelain (bathrooms, kitchen)</t>
  </si>
  <si>
    <t>DIV 09-TL</t>
  </si>
  <si>
    <t>$2.80/SF floor area · blended bath + kitchen coverage</t>
  </si>
  <si>
    <t>Flooring — LVT / hardwood / specialty</t>
  </si>
  <si>
    <t>DIV 09-FL</t>
  </si>
  <si>
    <t>$3.50/SF T1–T2 LVT · $3.80/SF T3–T4 enhanced spec</t>
  </si>
  <si>
    <t>Acoustical ceiling tile (ACT) / drywall ceiling</t>
  </si>
  <si>
    <t>DIV 09-CT</t>
  </si>
  <si>
    <t>$1.80/SF · mix of ACT and painted drywall ceiling</t>
  </si>
  <si>
    <t>Paint &amp; wall coatings — interior</t>
  </si>
  <si>
    <t>DIV 09-PI</t>
  </si>
  <si>
    <t>$1.50/SF T1–T2 · $1.80 T3–T4 higher-end spec</t>
  </si>
  <si>
    <t>Specialty / acoustic wall finish allowance</t>
  </si>
  <si>
    <t>DIV 09-WC</t>
  </si>
  <si>
    <t>T2–T4 acoustic enhancement allowance per unit</t>
  </si>
  <si>
    <t>DIV 09 SUBTOTAL</t>
  </si>
  <si>
    <t>1J — DIV 10  Specialties (Allura cladding, accessories)</t>
  </si>
  <si>
    <t>DIV 10</t>
  </si>
  <si>
    <t>Allura Lap siding — T1 base cladding</t>
  </si>
  <si>
    <t>DIV 10-CL</t>
  </si>
  <si>
    <t>7" exposure · factory primed · 50-yr warranty · 1" ventilated rainscreen on SIB</t>
  </si>
  <si>
    <t>Allura Panel + Shakes + Soffit — T2–T4 upgrade</t>
  </si>
  <si>
    <t>DIV 10-CP</t>
  </si>
  <si>
    <t>Allura Panel primary + Shakes accent + Soffit · Spectrum pre-finished · no field paint</t>
  </si>
  <si>
    <t>Allura Trim (all openings, corners) — all tiers</t>
  </si>
  <si>
    <t>DIV 10-CT</t>
  </si>
  <si>
    <t>All window/door trim, corner boards, band boards. All tiers.</t>
  </si>
  <si>
    <t>Fire extinguishers &amp; cabinets</t>
  </si>
  <si>
    <t>DIV 10-FE</t>
  </si>
  <si>
    <t>Code-required per unit. Allowance.</t>
  </si>
  <si>
    <t>Toilet partitions &amp; bath accessories</t>
  </si>
  <si>
    <t>DIV 10-TP</t>
  </si>
  <si>
    <t>Grab bars, mirrors, TP holders per unit.</t>
  </si>
  <si>
    <t>Signage — code-required (egress / unit ID)</t>
  </si>
  <si>
    <t>DIV 10-SG</t>
  </si>
  <si>
    <t>Per unit allowance</t>
  </si>
  <si>
    <t>DIV 10 SUBTOTAL</t>
  </si>
  <si>
    <t>1K — DIV 11  Equipment (appliances, specialty, rooftop systems)</t>
  </si>
  <si>
    <t>DIV 11</t>
  </si>
  <si>
    <t>Kitchen appliances — refrigerator, range, DW, microwave</t>
  </si>
  <si>
    <t>DIV 11-KIT</t>
  </si>
  <si>
    <t>Mid-range residential appliance package. All tiers.</t>
  </si>
  <si>
    <t>HPWH — heat pump water heater (all tiers)</t>
  </si>
  <si>
    <t>DIV 11-WH</t>
  </si>
  <si>
    <t>UEF ≥3.5 · all tiers · AO Smith / Rheem 50-gal residential</t>
  </si>
  <si>
    <t>Drainwater heat recovery (T2–T4)</t>
  </si>
  <si>
    <t>DIV 11-DHR</t>
  </si>
  <si>
    <t>Shower stack heat recovery. T2–T4.</t>
  </si>
  <si>
    <t>NatureMill indoor composter (T4 only)</t>
  </si>
  <si>
    <t>DIV 11-NM</t>
  </si>
  <si>
    <t>5W draw · 2-week cycle · feeds rooftop growing medium</t>
  </si>
  <si>
    <t>Crop Circle Farms® modular rooftop system (T4)</t>
  </si>
  <si>
    <t>DIV 11-CC</t>
  </si>
  <si>
    <t>Patented · 40+ country trademark · 200–600 lbs/yr yield per unit</t>
  </si>
  <si>
    <t>DIV 11 SUBTOTAL</t>
  </si>
  <si>
    <t>1L — DIV 12  Furnishings (FF&amp;E, window treatments)</t>
  </si>
  <si>
    <t>DIV 12</t>
  </si>
  <si>
    <t>FF&amp;E — fixed furnishings allowance</t>
  </si>
  <si>
    <t>DIV 12-FF</t>
  </si>
  <si>
    <t>Built-in shelving, closet systems, mirror. Allowance per unit.</t>
  </si>
  <si>
    <t>Window treatments — blinds / shades</t>
  </si>
  <si>
    <t>DIV 12-WT</t>
  </si>
  <si>
    <t>Per unit allowance — all tiers</t>
  </si>
  <si>
    <t>DIV 12 SUBTOTAL</t>
  </si>
  <si>
    <t>1N — DIV 14  Conveying Equipment</t>
  </si>
  <si>
    <t>DIV 14</t>
  </si>
  <si>
    <t>Elevator — shaft provisions only (2-story: $0)</t>
  </si>
  <si>
    <t>DIV 14-SP</t>
  </si>
  <si>
    <t>Type D pilot = 2 stories: no elevator. Allowance for 3+ story future config.</t>
  </si>
  <si>
    <t>DIV 14 SUBTOTAL</t>
  </si>
  <si>
    <t>1O — DIV 21  Fire Suppression (NFPA 13R residential)</t>
  </si>
  <si>
    <t>DIV 21</t>
  </si>
  <si>
    <t>Sprinkler system — NFPA 13R (residential townhouse)</t>
  </si>
  <si>
    <t>DIV 21-SR</t>
  </si>
  <si>
    <t>$4.20/SF · NFPA 13R residential. AHJ may require NFPA 13 — verify City of Wilmington.</t>
  </si>
  <si>
    <t>Standpipe / fire pump (if required by AHJ)</t>
  </si>
  <si>
    <t>DIV 21-FP</t>
  </si>
  <si>
    <t>2-story: not typically required. Confirm with Wilmington Fire.</t>
  </si>
  <si>
    <t>DIV 21 SUBTOTAL</t>
  </si>
  <si>
    <t>1P — DIV 22  Plumbing (DWV, domestic water, fixtures, cistern)</t>
  </si>
  <si>
    <t>DIV 22</t>
  </si>
  <si>
    <t>Plumbing — sanitary DWV (drain/waste/vent)</t>
  </si>
  <si>
    <t>DIV 22-DWV</t>
  </si>
  <si>
    <t>$3.80/SF · residential townhouse · 2 bathrooms + kitchen per unit</t>
  </si>
  <si>
    <t>Plumbing — domestic water supply (hot/cold)</t>
  </si>
  <si>
    <t>DIV 22-DW</t>
  </si>
  <si>
    <t>$2.40/SF · copper or PEX supply + distribution</t>
  </si>
  <si>
    <t>Plumbing fixtures &amp; trim (toilets, sinks, tubs/showers)</t>
  </si>
  <si>
    <t>DIV 22-FX</t>
  </si>
  <si>
    <t>2 baths + kitchen · T3–T4 higher-end fixtures</t>
  </si>
  <si>
    <t>Gas rough-in &amp; distribution (if gas — else $0)</t>
  </si>
  <si>
    <t>DIV 22-GS</t>
  </si>
  <si>
    <t>All-electric spec — no gas. $0 all tiers.</t>
  </si>
  <si>
    <t>Roof drainage / interior leaders</t>
  </si>
  <si>
    <t>DIV 22-RD</t>
  </si>
  <si>
    <t>$1.20/SF · interior roof leaders + overflow drains</t>
  </si>
  <si>
    <t>500-gal cistern + gravity-fed drip irrigation (T4)</t>
  </si>
  <si>
    <t>DIV 22-CI</t>
  </si>
  <si>
    <t>Closed water loop: roof collection → cistern → Rain Bird XFS-CV drip → crops → compost</t>
  </si>
  <si>
    <t>DIV 22 SUBTOTAL</t>
  </si>
  <si>
    <t>1Q — DIV 23  HVAC / Mechanical</t>
  </si>
  <si>
    <t>DIV 23</t>
  </si>
  <si>
    <t>HVAC — T1 standard cold-climate mini-split (≥SEER2 18)</t>
  </si>
  <si>
    <t>DIV 23-MS</t>
  </si>
  <si>
    <t>Blended installed rate per ASSUMPTIONS MEP T1 rate. Ductless.</t>
  </si>
  <si>
    <t>HVAC — T2 Quilt 3-zone (SEER2 25.3 / HSPF2 12)</t>
  </si>
  <si>
    <t>DIV 23-QT</t>
  </si>
  <si>
    <t>Quilt 3-zone · OTA firmware · 7⅞" indoor unit · occupancy sensing · T2 and T4 battery-opt.</t>
  </si>
  <si>
    <t>HVAC — T3 Mitsubishi FX-Series H2i sumo (SEER2 29.9)</t>
  </si>
  <si>
    <t>DIV 23-MF</t>
  </si>
  <si>
    <t>10-yr warranty · R454B · 100% capacity @ 5°F · Diamond Contractor required</t>
  </si>
  <si>
    <t>Viessmann Vitoair ERV — 85% SRE / MERV 13 (T2–T4)</t>
  </si>
  <si>
    <t>DIV 23-ERV</t>
  </si>
  <si>
    <t>CO₂-responsive · ASHRAE 62.2+25% · T2–T4</t>
  </si>
  <si>
    <t>Ductwork / distribution (mini-split: minimal)</t>
  </si>
  <si>
    <t>DIV 23-DK</t>
  </si>
  <si>
    <t>Minimal for ductless systems — supply/return stubs only per unit</t>
  </si>
  <si>
    <t>Exhaust — bathrooms, kitchen, laundry</t>
  </si>
  <si>
    <t>DIV 23-EX</t>
  </si>
  <si>
    <t>Per unit allowance · all tiers · inline bath fans + range hood</t>
  </si>
  <si>
    <t>Building automation / smart thermostat integration</t>
  </si>
  <si>
    <t>DIV 23-BAS</t>
  </si>
  <si>
    <t>T1: standard programmable. T2–T4: Quilt/Mitsubishi app + occupancy sensors.</t>
  </si>
  <si>
    <t>DIV 23 SUBTOTAL</t>
  </si>
  <si>
    <t>1R — DIV 26  Electrical (service, wiring, lighting, panels)</t>
  </si>
  <si>
    <t>DIV 26</t>
  </si>
  <si>
    <t>Electrical service &amp; switchgear — standard 200A (T1)</t>
  </si>
  <si>
    <t>DIV 26-SV</t>
  </si>
  <si>
    <t>200A residential panel · utility-ready · EV + PV stub-outs included</t>
  </si>
  <si>
    <t>SPAN MAIN 40 smart panel (T2–T4) — UL 3141 certified</t>
  </si>
  <si>
    <t>DIV 26-SP</t>
  </si>
  <si>
    <t>First UL 3141 certified smart panel · 32 individually controllable circuits · Eaton-backed</t>
  </si>
  <si>
    <t>Branch wiring — power &amp; circuits</t>
  </si>
  <si>
    <t>DIV 26-BW</t>
  </si>
  <si>
    <t>$4.80/SF · residential townhouse · copper NM or MC cable</t>
  </si>
  <si>
    <t>Lighting fixtures — interior LED</t>
  </si>
  <si>
    <t>DIV 26-LI</t>
  </si>
  <si>
    <t>$2.20/SF T1–T2 · $2.40 T3–T4 enhanced spec fixtures</t>
  </si>
  <si>
    <t>Lighting — exterior / entry</t>
  </si>
  <si>
    <t>DIV 26-LE</t>
  </si>
  <si>
    <t>Allowance per unit · code-required exterior lighting</t>
  </si>
  <si>
    <t>Emergency / exit lighting</t>
  </si>
  <si>
    <t>DIV 26-EM</t>
  </si>
  <si>
    <t>Per unit allowance · battery-backup exit signs + emergency egress</t>
  </si>
  <si>
    <t>EV charging stub (conduit + circuit — not charger)</t>
  </si>
  <si>
    <t>DIV 26-EV</t>
  </si>
  <si>
    <t>NEMA 14-50 circuit stub at parking or garage. Future EV-ready.</t>
  </si>
  <si>
    <t>DIV 26 SUBTOTAL</t>
  </si>
  <si>
    <t>1R-E — DIV 26E  PV Solar + Battery Storage (energy systems)</t>
  </si>
  <si>
    <t>DIV 26E</t>
  </si>
  <si>
    <t>PV stub-out only — T1 (conduit, inverter space, utility notice)</t>
  </si>
  <si>
    <t>DIV 26E-S1</t>
  </si>
  <si>
    <t>T1: future-ready stub only. No panels or inverter.</t>
  </si>
  <si>
    <t>PV 5.5 kW — T2 (Enphase IQ8 microinverters)</t>
  </si>
  <si>
    <t>DIV 26E-P2</t>
  </si>
  <si>
    <t>Mid of $15K–$19.5K range · Mono PERC or TOPCon · utility interconnect + net metering</t>
  </si>
  <si>
    <t>PV 8.5 kW — T3 (high-efficiency TOPCon/HJT ≥22%)</t>
  </si>
  <si>
    <t>DIV 26E-P3</t>
  </si>
  <si>
    <t>$25.75K · Enphase IQ8 · high efficiency panels · PV export to grid</t>
  </si>
  <si>
    <t>PV 8.5–12 kW agrivoltaic trellis — T4 bifacial TOPCon</t>
  </si>
  <si>
    <t>DIV 26E-P4</t>
  </si>
  <si>
    <t>Elevated 5–6 ft on galvanized trellis · E/W orientation over Crop Circle beds</t>
  </si>
  <si>
    <t>Battery — Enphase IQ Battery 5P or Tesla Powerwall 3 (T2–T3)</t>
  </si>
  <si>
    <t>DIV 26E-B23</t>
  </si>
  <si>
    <t>T2: Enphase IQ5P stackable 15-yr OR Powerwall 3 13.5 kWh built-in inverter</t>
  </si>
  <si>
    <t>Battery — EcoFlow DELTA Pro Ultra + FranklinWH aPower 2 (T4)</t>
  </si>
  <si>
    <t>DIV 26E-B4</t>
  </si>
  <si>
    <t>19.2–90 kWh · true off-grid island mode · 7.2kW continuous · generator compatible</t>
  </si>
  <si>
    <t>DIV 26E SUBTOTAL</t>
  </si>
  <si>
    <t>1S — DIV 27/28  Communications, Security &amp; Low Voltage</t>
  </si>
  <si>
    <t>DIV 27/28</t>
  </si>
  <si>
    <t>Data / network infrastructure (Cat6 + WiFi stub)</t>
  </si>
  <si>
    <t>DIV 27-DA</t>
  </si>
  <si>
    <t>Per unit allowance · residential rough-in</t>
  </si>
  <si>
    <t>Security — access control + camera stub</t>
  </si>
  <si>
    <t>DIV 28-AC</t>
  </si>
  <si>
    <t>T1: allowance stub. T2–T4: enhanced smart home integration ready.</t>
  </si>
  <si>
    <t>Fire alarm / smoke detection (interconnected)</t>
  </si>
  <si>
    <t>DIV 28-FA</t>
  </si>
  <si>
    <t>Hardwired interconnected smoke + CO detectors. Per unit. Code required.</t>
  </si>
  <si>
    <t>DIV 27/28 SUBTOTAL</t>
  </si>
  <si>
    <t>1T — DIV 32/33  Site Work + Landscaping + Rooftop Systems</t>
  </si>
  <si>
    <t>DIV 32/33</t>
  </si>
  <si>
    <t>Site work (City-covered: grading, utilities, paving)</t>
  </si>
  <si>
    <t>DIV 32-SW</t>
  </si>
  <si>
    <t>City of Wilmington program: site work + utilities = $0 developer cost</t>
  </si>
  <si>
    <t>Landscaping / planting / entry hardscape allowance</t>
  </si>
  <si>
    <t>DIV 32-LS</t>
  </si>
  <si>
    <t>Per unit entry + foundation planting allowance</t>
  </si>
  <si>
    <t>Rooftop — standard EPDM/TPO membrane (T1 — in DIV 07)</t>
  </si>
  <si>
    <t>DIV 32-RT</t>
  </si>
  <si>
    <t>T1: included in DIV 07 roofing membrane line. $0 here.</t>
  </si>
  <si>
    <t>LiveRoof® Standard (700 SF) — T2</t>
  </si>
  <si>
    <t>DIV 32-LR2</t>
  </si>
  <si>
    <t>4.25" soil · FM 4477 · ASTM E108 Class A · 200 PSF wind · sedum mat</t>
  </si>
  <si>
    <t>LiveRoof® MAXX + edible rows (Up Top Acres) — T3</t>
  </si>
  <si>
    <t>DIV 32-LR3</t>
  </si>
  <si>
    <t>8" soil · RoofBlue riser · productive planting rows (lettuce/herbs/tomatoes/kale) · drip irr.</t>
  </si>
  <si>
    <t>Agrivoltaic trellis + Crop Circle Farms rooftop (T4)</t>
  </si>
  <si>
    <t>DIV 32-AGR</t>
  </si>
  <si>
    <t>Galvanized trellis 5–6 ft elevated · bifacial PV above Crop Circle beds · 200–600 lbs/yr yield</t>
  </si>
  <si>
    <t>Cistern + subsurface drip (T3 stub / T4 full)</t>
  </si>
  <si>
    <t>DIV 32-CI</t>
  </si>
  <si>
    <t>T3: drip stub-out + soil moisture sensor. T4: full cistern in DIV 22.</t>
  </si>
  <si>
    <t>DIV 32/33 SUBTOTAL</t>
  </si>
  <si>
    <t>TOTAL HARD COST — ALL CSI DIVISIONS (pre-GC, pre-OH&amp;P, pre-contingency) · Per Unit</t>
  </si>
  <si>
    <t>TOTAL HARD COST / UNIT (base building — pre-markup)</t>
  </si>
  <si>
    <t>ALL DIV</t>
  </si>
  <si>
    <t>TOTAL HARD COST — ALL UNITS (÷ Tier)</t>
  </si>
  <si>
    <t>SECTION 2 — SITE &amp; UTILITY COSTS  (City of Wilmington covers — shown for transparency)</t>
  </si>
  <si>
    <t>DIV 31–33</t>
  </si>
  <si>
    <t>These costs are estimated for transparency and program documentation. The City of Wilmington covers all site infrastructure under the vacant lot program. A full credit equal to the estimated cost appears at the bottom of this section and is carried to the TOTAL PROJECT BUDGET.  Developer cost = $0.</t>
  </si>
  <si>
    <t>Site demolition &amp; clearing — existing structures/trees</t>
  </si>
  <si>
    <t>DIV 02-SD</t>
  </si>
  <si>
    <t>Per-lot allowance. Actual varies by parcel condition.</t>
  </si>
  <si>
    <t>Rough grading &amp; earthwork</t>
  </si>
  <si>
    <t>DIV 31-EW</t>
  </si>
  <si>
    <t>$3,200/unit · 10-unit cluster spread across shared lot area.</t>
  </si>
  <si>
    <t>Sanitary sewer lateral (connect to City main)</t>
  </si>
  <si>
    <t>DIV 33-SS</t>
  </si>
  <si>
    <t>Per-unit connection fee + trench/pipe to property line. City bears cost.</t>
  </si>
  <si>
    <t>Water service lateral (connect to City main)</t>
  </si>
  <si>
    <t>DIV 33-WS</t>
  </si>
  <si>
    <t>Per-unit water meter, tap fee, and service line to property line.</t>
  </si>
  <si>
    <t>Storm drainage / stormwater management</t>
  </si>
  <si>
    <t>DIV 33-SD</t>
  </si>
  <si>
    <t>Curb cut, storm connection, or infiltration system per lot.</t>
  </si>
  <si>
    <t>Electric utility — primary service to meter (utility company scope)</t>
  </si>
  <si>
    <t>DIV 26-UT</t>
  </si>
  <si>
    <t>Utility-side service drop from pole or vault to meter base. City/utility covers.</t>
  </si>
  <si>
    <t>Gas service lateral (if applicable — all-electric = N/A)</t>
  </si>
  <si>
    <t>DIV 22-GS-UT</t>
  </si>
  <si>
    <t>All-electric Forward Home: $0. City covers gas lateral if future gas hook-up required.</t>
  </si>
  <si>
    <t>Sidewalk, curb &amp; gutter repair / replacement</t>
  </si>
  <si>
    <t>DIV 32-SC</t>
  </si>
  <si>
    <t>Per-unit frontage apportionment. City right-of-way restoration.</t>
  </si>
  <si>
    <t>Street lighting (if new) — per lot share</t>
  </si>
  <si>
    <t>DIV 26-SL</t>
  </si>
  <si>
    <t>Apportioned share of any new street lighting required by City.</t>
  </si>
  <si>
    <t>Soil testing / geotechnical investigation</t>
  </si>
  <si>
    <t>DIV 02-GT</t>
  </si>
  <si>
    <t>Per-lot subsurface investigation for foundation design. Shared cost split.</t>
  </si>
  <si>
    <t>ESTIMATED SITE &amp; UTILITY COST SUBTOTAL</t>
  </si>
  <si>
    <t>CITY OF WILMINGTON PROGRAM CREDIT  (land + site + utilities covered)</t>
  </si>
  <si>
    <t>CITY-CR</t>
  </si>
  <si>
    <t>Credit equals estimated site + utility cost. Net developer impact = $0. Shown for grant reporting, funder transparency, and program documentation.</t>
  </si>
  <si>
    <t>NET DEVELOPER COST — SITE &amp; UTILITY</t>
  </si>
  <si>
    <t>$0 — City covers. Shown for program transparency only.</t>
  </si>
  <si>
    <t>SOFT COSTS — Professional Fees &amp; Pre-Construction Costs</t>
  </si>
  <si>
    <t>Forward Home Program  ·  Soft costs per M4Di fee schedule + CBai MEP SOP v1</t>
  </si>
  <si>
    <t>A — PROJECT BASIS (from ASSUMPTIONS &amp; BID SUMMARY)</t>
  </si>
  <si>
    <t>Discipline / Fee Item</t>
  </si>
  <si>
    <t>% of Hard Cost
(calc or input)</t>
  </si>
  <si>
    <t>Calculated Fee ($)</t>
  </si>
  <si>
    <t>User Override
($ if fixed)</t>
  </si>
  <si>
    <t>Fee Used</t>
  </si>
  <si>
    <t>Source / Notes</t>
  </si>
  <si>
    <t>Total Hard Cost ROM</t>
  </si>
  <si>
    <t>Pulled from BID SUMMARY. This is the construction ROM driving all % fees.</t>
  </si>
  <si>
    <t>Project Type (for fee schedule)</t>
  </si>
  <si>
    <t>From ASSUMPTIONS. Drives M4Di fee schedule lookup.</t>
  </si>
  <si>
    <t>Gross Area — per unit (SF)</t>
  </si>
  <si>
    <t>Unit SF from ASSUMPTIONS.</t>
  </si>
  <si>
    <t>B — M4Di FEE SCHEDULE REFERENCE (Type A–E · Residential = Type A)</t>
  </si>
  <si>
    <t>C — FEE INPUTS &amp; CALCULATIONS</t>
  </si>
  <si>
    <t>AIA Project Type Code (A=residential · C=fitness/school · etc.)</t>
  </si>
  <si>
    <t>A</t>
  </si>
  <si>
    <t>A=warehouse/residential, B=office/retail, C=school/fitness, D=library/restaurant, E=hospital/research</t>
  </si>
  <si>
    <t>New Construction (vs. Renovation)?</t>
  </si>
  <si>
    <t>New Construction</t>
  </si>
  <si>
    <t>New Construction = no renovation premium. Renovation/adaptive reuse adds 0.5%–1.0% to arch fee.</t>
  </si>
  <si>
    <t>ARCHITECTURE &amp; ENGINEERING FEES</t>
  </si>
  <si>
    <t>Architecture — Base Fee (M4Di fee schedule Type A)</t>
  </si>
  <si>
    <t>Type A residential, ~$1.4M hard cost ROM = 7.4%. Override with actual contract.</t>
  </si>
  <si>
    <t xml:space="preserve">  + Renovation Premium (N/A — new construction)</t>
  </si>
  <si>
    <t>New construction = $0 renovation premium.</t>
  </si>
  <si>
    <t>Architecture — TOTAL FEE</t>
  </si>
  <si>
    <t>ENGINEERING DISCIPLINES</t>
  </si>
  <si>
    <t>Structural Engineering</t>
  </si>
  <si>
    <t>Typical 1.0%–2.0%. EOR required for CLT/CMU party wall system.</t>
  </si>
  <si>
    <t>Mechanical Engineering (HVAC — CBai-assisted)</t>
  </si>
  <si>
    <t>CBai-assisted target: $3,200/unit first typology = ~0.9% at T1 ROM. SOP v1.</t>
  </si>
  <si>
    <t>Electrical Engineering</t>
  </si>
  <si>
    <t>Typical 1.0%–2.0%. SPAN MAIN 40 + PV + battery adds scope at T2–T4.</t>
  </si>
  <si>
    <t>Plumbing Engineering</t>
  </si>
  <si>
    <t>0.8%–1.5%. T4: cistern plumbing + drip system adds ~$3,200/unit PE premium.</t>
  </si>
  <si>
    <t>Fire Protection Engineering</t>
  </si>
  <si>
    <t>0.5%–1.0%. NFPA 13R residential sprinkler system.</t>
  </si>
  <si>
    <t>Civil Engineering</t>
  </si>
  <si>
    <t>0.8%–2.0%. Minimal — City covers site work/utilities. Grading plan only.</t>
  </si>
  <si>
    <t>Geotechnical / Soils Report</t>
  </si>
  <si>
    <t>0.3%–0.8% or fixed. Required for Superior Walls Xi Plus seismic confirmation.</t>
  </si>
  <si>
    <t>Landscape Architecture</t>
  </si>
  <si>
    <t>0.3%–0.8%. Entry + foundation planting plan.</t>
  </si>
  <si>
    <t>ADA / Accessibility Consultant</t>
  </si>
  <si>
    <t>0.3%–0.5%. Required for City program ADA compliance documentation.</t>
  </si>
  <si>
    <t>HERS Rater / DOE ZERH (T2)</t>
  </si>
  <si>
    <t>$2,000 fixed at T2. Override with actual.</t>
  </si>
  <si>
    <t>PHIUS Rater + Commissioning (T3–T4)</t>
  </si>
  <si>
    <t>$4,250–$7,500 fixed at T3–T4. Override with actual.</t>
  </si>
  <si>
    <t>Engineering Subtotal (all disciplines)</t>
  </si>
  <si>
    <t>SPECIALTY CONSULTANTS &amp; OWNER COSTS</t>
  </si>
  <si>
    <t>M4Di OI Tool / ALDi Tracker (this engagement)</t>
  </si>
  <si>
    <t>$1,200/unit = $12,000 for 10 units. Override with actual contract.</t>
  </si>
  <si>
    <t>Permitting / Plan Review Fees</t>
  </si>
  <si>
    <t>~1.5% typical City of Wilmington residential. $1,800/unit fixed preferred.</t>
  </si>
  <si>
    <t>Builder's Risk Insurance</t>
  </si>
  <si>
    <t>0.5%–1.5% of total project cost. Override with actual premium quote.</t>
  </si>
  <si>
    <t>Testing / Special Inspections</t>
  </si>
  <si>
    <t>IBC-required. Concrete, CLT bearing, blower door (T2–T4), PHIUS (T3–T4).</t>
  </si>
  <si>
    <t>Legal / Title / Closing</t>
  </si>
  <si>
    <t>Property matters, contract review. Allowance.</t>
  </si>
  <si>
    <t>Financing / Loan Origination (CDFI)</t>
  </si>
  <si>
    <t>0.5%–1.5% of construction loan. Delaware market estimate.</t>
  </si>
  <si>
    <t>IRA §45L Developer Credit (T2–T4) — OFFSET</t>
  </si>
  <si>
    <t>$5,000/unit credit at T2–T4. Reduces net soft cost. Enter as negative override.</t>
  </si>
  <si>
    <t>Other Consultants &amp; Owner Costs Subtotal</t>
  </si>
  <si>
    <t>Soft costs benchmarks: 18%–25% of hard cost ROM is typical for community facility renovation. New residential = 10%–15% of hard cost. CBai MEP SOP v1 reduces PE fees 30%–40% vs. full-service. Toggle ASSUMPTIONS typology to model Claymont repeat savings.</t>
  </si>
  <si>
    <t>TOTAL PROJECT BUDGET — Hard Costs + Soft Costs + Owner Contingency</t>
  </si>
  <si>
    <t>Budget Item</t>
  </si>
  <si>
    <t>Amount ($)</t>
  </si>
  <si>
    <t>% of Hard Cost</t>
  </si>
  <si>
    <t>% of Total</t>
  </si>
  <si>
    <t>SECTION 1 — HARD COSTS (Construction)</t>
  </si>
  <si>
    <t>Base Building Subtotal (all CSI divisions)</t>
  </si>
  <si>
    <t>Quantity-based takeoff from HARD COST TAKEOFF sheet.</t>
  </si>
  <si>
    <t>General Conditions</t>
  </si>
  <si>
    <t>On-site supervision, temp facilities, insurance.</t>
  </si>
  <si>
    <t>Total Contingencies</t>
  </si>
  <si>
    <t>Design 12% + Existing 0% + Owner Selection 5% = 17% ROM</t>
  </si>
  <si>
    <t>TOTAL HARD COST (Construction ROM)</t>
  </si>
  <si>
    <t>SECTION 2 — SOFT COSTS (Professional Fees)</t>
  </si>
  <si>
    <t>Architecture — Total Fee (base + renovation premium)</t>
  </si>
  <si>
    <t>Base fee per M4Di fee schedule Type A residential.</t>
  </si>
  <si>
    <t>MEP Engineering (Mech+Elec+Plumbing+FP — CBai-assisted)</t>
  </si>
  <si>
    <t>CBai MEP SOP v1 — 30%–40% below full-service PE fees</t>
  </si>
  <si>
    <t>Civil + Geotechnical</t>
  </si>
  <si>
    <t>M4Di OI, permits, insurance, testing, legal, financing.</t>
  </si>
  <si>
    <t>SECTION 3 — OWNER CONTINGENCY &amp; DIRECT COSTS</t>
  </si>
  <si>
    <t>Owner Project Contingency (post-GMP reserve)</t>
  </si>
  <si>
    <t>5% owner contingency on hard costs. Held by owner post-GMP.</t>
  </si>
  <si>
    <t>City Land + Site/Infrastructure (City-funded)</t>
  </si>
  <si>
    <t>$0 developer cost. City of Wilmington vacant lot program — land at $1/lot, utilities covered.</t>
  </si>
  <si>
    <t>Predevelopment Costs (M4Di P1–P3 fees — already incurred)</t>
  </si>
  <si>
    <t>M4Di predevelopment fees are separate contracts per engagement. Enter actual when known.</t>
  </si>
  <si>
    <t>IRA §45L Developer Credit (T2–T4) — enter as negative</t>
  </si>
  <si>
    <t>–$5,000/unit at T2–T4 DOE ZERH. Enter as negative value to reduce net owner cost.</t>
  </si>
  <si>
    <t>TOTAL OWNER CONTINGENCY &amp; OTHER</t>
  </si>
  <si>
    <t>SUMMARY METRICS</t>
  </si>
  <si>
    <t>Total Project Investment</t>
  </si>
  <si>
    <t>Hard Cost ROM</t>
  </si>
  <si>
    <t>Soft Costs as % of Hard Costs</t>
  </si>
  <si>
    <t>Total Project Cost / SF (all units)</t>
  </si>
  <si>
    <t>Hard Cost / SF</t>
  </si>
  <si>
    <t>SECTION 4 — SITE &amp; UTILITY INFRASTRUCTURE (City Program Contribution)</t>
  </si>
  <si>
    <t>Estimated site infrastructure cost the City of Wilmington provides under the vacant lot program. Shown for transparency, grant documentation, and NMTC/CDFI funder reporting. A full City credit offsets this cost to $0 developer exposure.</t>
  </si>
  <si>
    <t xml:space="preserve">  Site demolition &amp; clearing</t>
  </si>
  <si>
    <t>City-covered cost. Shown for program/grant transparency.</t>
  </si>
  <si>
    <t xml:space="preserve">  Rough grading &amp; earthwork</t>
  </si>
  <si>
    <t xml:space="preserve">  Sanitary sewer laterals (10 units)</t>
  </si>
  <si>
    <t xml:space="preserve">  Water service laterals (10 units)</t>
  </si>
  <si>
    <t xml:space="preserve">  Storm drainage / stormwater management</t>
  </si>
  <si>
    <t xml:space="preserve">  Electric utility primary service (10 meters)</t>
  </si>
  <si>
    <t xml:space="preserve">  Sidewalk, curb &amp; gutter restoration</t>
  </si>
  <si>
    <t xml:space="preserve">  Street lighting (if required)</t>
  </si>
  <si>
    <t xml:space="preserve">  Soil testing / geotechnical (shared)</t>
  </si>
  <si>
    <t>ESTIMATED TOTAL SITE &amp; UTILITY COST (City Contribution)</t>
  </si>
  <si>
    <t>Estimated value of City program contribution (land + infrastructure).</t>
  </si>
  <si>
    <t>CITY OF WILMINGTON PROGRAM CREDIT (land $1/lot + all site/utility infrastructure)</t>
  </si>
  <si>
    <t>Full credit offsets estimated site cost. Net developer exposure = $0. Credit represents real program value for NMTC/CDFI equity applications and Community Benefit Agreement documentation.</t>
  </si>
  <si>
    <t>$0 net to developer. Program value documented above for funder reporting.</t>
  </si>
  <si>
    <t>TOTAL PROGRAM VALUE (City contribution + land)  ·  Estimated: $234,010  (site/utility $234,000 + land $10 for 10 lots)</t>
  </si>
  <si>
    <t>This figure represents the total subsidy value for NMTC/CDFI applications, Community Benefit Agreement documentation, and grant reporting. It is the City's in-kind contribution to the Forward Home program.</t>
  </si>
  <si>
    <t>M4Di ROM
(LOCKED BASELINE)</t>
  </si>
  <si>
    <t>75% DD ESTIMATE
(Gate 2)</t>
  </si>
  <si>
    <t>100% CD / SOV
(Gate 3 — Contracted)</t>
  </si>
  <si>
    <t>ACTUAL COST
(Running Total)</t>
  </si>
  <si>
    <t>GC QUOTE / PROPOSAL
(Pre-SOV)</t>
  </si>
  <si>
    <t>GC ACTUALS
(Running Total)</t>
  </si>
  <si>
    <t>ROM vs. GC
Variance</t>
  </si>
  <si>
    <t>CD vs. Actual
Variance</t>
  </si>
  <si>
    <t>% Var</t>
  </si>
  <si>
    <t>Notes / Status</t>
  </si>
  <si>
    <t>► Col D: M4Di ROM (locked Gate 0)     ► Col E: Enter at Gate 2 (75% DD)     ► Col F: Enter at Gate 3 (GMP/SOV)     ► Col G: Update monthly during construction     ► Cols I–J: GC direct quote + actuals</t>
  </si>
  <si>
    <t>SECTION 1 — HARD COSTS (Construction)  ·  ROM = T1 Code+ per unit (update for selected tier)</t>
  </si>
  <si>
    <t>1A — DIV 01  General Requirements</t>
  </si>
  <si>
    <t>8% of base building subtotal</t>
  </si>
  <si>
    <t>Temporary Facilities, Utilities &amp; Hoarding</t>
  </si>
  <si>
    <t>Site Safety, Security &amp; Signage</t>
  </si>
  <si>
    <t>GC Fee / Overhead &amp; Profit</t>
  </si>
  <si>
    <t>10% of subtotal per ASSUMPTIONS</t>
  </si>
  <si>
    <t>1A SUBTOTAL — General Requirements</t>
  </si>
  <si>
    <t>1B — DIV 02  Existing Conditions</t>
  </si>
  <si>
    <t>Selective Demolition — Interior</t>
  </si>
  <si>
    <t>New const = $0. Renovation allowance.</t>
  </si>
  <si>
    <t>Site Clearing / Minor Demolition</t>
  </si>
  <si>
    <t>Lot clearing allowance per unit</t>
  </si>
  <si>
    <t>Hazardous Materials Survey (Phase I)</t>
  </si>
  <si>
    <t>Required for City program parcels</t>
  </si>
  <si>
    <t>1B SUBTOTAL</t>
  </si>
  <si>
    <t>1C — DIV 03  Concrete</t>
  </si>
  <si>
    <t>Cast-in-Place Slab-on-Grade (4" + R-10 EPS under)</t>
  </si>
  <si>
    <t>$6.50/SF floor area</t>
  </si>
  <si>
    <t>Foundation — T1 CMU/poured OR T2–T4 Superior Walls</t>
  </si>
  <si>
    <t>DIV 03-CM/SW</t>
  </si>
  <si>
    <t>See ASSUMPTIONS for tier rate</t>
  </si>
  <si>
    <t>Concrete Repair / Patching (allowance)</t>
  </si>
  <si>
    <t>Punch-list allowance</t>
  </si>
  <si>
    <t>1C SUBTOTAL</t>
  </si>
  <si>
    <t>1D — DIV 04  Masonry (8" CMU party wall — ALL TIERS)</t>
  </si>
  <si>
    <t>8" CMU party wall — foundation to underside of roof deck</t>
  </si>
  <si>
    <t>ALL TIERS. 2-hr fire + STC≥50 inherent. Continuous per IRC R302.2.</t>
  </si>
  <si>
    <t>Thermafiber SafingFire mineral wool (firestop at CLT/CMU intersections)</t>
  </si>
  <si>
    <t>All levels · CLT floor/CMU bearing joint</t>
  </si>
  <si>
    <t>Hilti FS-ONE MAX sealant at MEP penetrations</t>
  </si>
  <si>
    <t>Both CMU faces</t>
  </si>
  <si>
    <t>1D SUBTOTAL</t>
  </si>
  <si>
    <t>1E — DIV 05  Metals</t>
  </si>
  <si>
    <t>Structural Steel Connections / Lintels / Angles</t>
  </si>
  <si>
    <t>Stairs — Metal Pan or Open-Riser</t>
  </si>
  <si>
    <t>One stair per unit allowance</t>
  </si>
  <si>
    <t>Miscellaneous Metals — Railings, Guards</t>
  </si>
  <si>
    <t>IBC code-required allowance</t>
  </si>
  <si>
    <t>1E SUBTOTAL</t>
  </si>
  <si>
    <t>1F — DIV 06  Wood / CLT Structural Spine + Framing</t>
  </si>
  <si>
    <t>Light Frame — 2×6 SPF-S @ 16" OC (T1–T2)</t>
  </si>
  <si>
    <t>$4.50/SF T1–T2</t>
  </si>
  <si>
    <t>CLT Structural Spine — TerraLam TL500S 5-ply ESR-5053 (T3–T4)</t>
  </si>
  <si>
    <t>$9.80/SF T3–T4. EOR required.</t>
  </si>
  <si>
    <t>Floor Framing — 2×10 SPF-S + ¾" T&amp;G Subfloor</t>
  </si>
  <si>
    <t>$5.20/SF all types</t>
  </si>
  <si>
    <t>Roof Framing — Stick Rafters / Pre-Eng Trusses @ 24" OC</t>
  </si>
  <si>
    <t>$4.80/SF · R-49 blown attic above</t>
  </si>
  <si>
    <t>Rough Carpentry — Blocking, Nailers, Backing</t>
  </si>
  <si>
    <t>Finish Carpentry / Millwork / Casework</t>
  </si>
  <si>
    <t>Kitchens, vanities, closets. All tiers.</t>
  </si>
  <si>
    <t>1F SUBTOTAL</t>
  </si>
  <si>
    <t>1G — DIV 07  4Ward-SIB Panel + Thermal &amp; Moisture</t>
  </si>
  <si>
    <t>TER 1507-09 · R-5 CI + WRB + AIB integrated · all tiers · $31.11/SF</t>
  </si>
  <si>
    <t>Cavity Insulation — Fiberglass (T1) / Rockwool Comfortbatt (T2–T4)</t>
  </si>
  <si>
    <t>R-23 cavity · mineral wool T2–T4</t>
  </si>
  <si>
    <t>Attic Insulation — R-49 Blown-In Fiberglass</t>
  </si>
  <si>
    <t>$3.20/SF · all tiers</t>
  </si>
  <si>
    <t>Interior Air Barrier — Pro Clima Intello+ (T3–T4)</t>
  </si>
  <si>
    <t>$1,800/unit · PHIUS+ compliant · T3–T4</t>
  </si>
  <si>
    <t>Roofing Membrane — EPDM/TPO Base (T1)</t>
  </si>
  <si>
    <t>T1 standard flat roof. T2+: LiveRoof replaces.</t>
  </si>
  <si>
    <t>Caulking, Sealants &amp; Joint Fillers</t>
  </si>
  <si>
    <t>Waterproofing / Foundation Dampproofing (T1 only)</t>
  </si>
  <si>
    <t>T1: slab edge. T2–T4: Superior Walls eliminates.</t>
  </si>
  <si>
    <t>1G SUBTOTAL</t>
  </si>
  <si>
    <t>1H — DIV 08  Openings (windows, doors, hardware)</t>
  </si>
  <si>
    <t>Crystal Magnus 4500 Tilt-Turn Windows — Double-Pane (T1–T2)</t>
  </si>
  <si>
    <t>U≤0.20 · PG70 · STC 41dB · HVHZ approved</t>
  </si>
  <si>
    <t>Crystal Magnus 4700 PH Windows — Triple-Pane (T3–T4)</t>
  </si>
  <si>
    <t>U≤0.14 · Passive House certified · T3–T4</t>
  </si>
  <si>
    <t>Hollow Metal Doors, Frames &amp; Hardware — Exterior</t>
  </si>
  <si>
    <t>Entry + rear door per unit</t>
  </si>
  <si>
    <t>Interior Doors — Hollow/Solid Core + Hardware</t>
  </si>
  <si>
    <t>~8 doors per unit allowance</t>
  </si>
  <si>
    <t>Accessible Entry Operators / ADA Hardware</t>
  </si>
  <si>
    <t>1H SUBTOTAL</t>
  </si>
  <si>
    <t>1I — DIV 09  Finishes</t>
  </si>
  <si>
    <t>Drywall — Partitions, Shafts &amp; Soffits</t>
  </si>
  <si>
    <t>$5.20/SF</t>
  </si>
  <si>
    <t>Tile — Ceramic/Porcelain (Bathrooms, Kitchen)</t>
  </si>
  <si>
    <t>$2.80/SF</t>
  </si>
  <si>
    <t>Flooring — LVT / Hardwood / Specialty</t>
  </si>
  <si>
    <t>$3.50/SF T1–T2 · $3.80/SF T3–T4</t>
  </si>
  <si>
    <t>Acoustical Ceiling Tile (ACT) / Drywall Ceiling</t>
  </si>
  <si>
    <t>$1.80/SF</t>
  </si>
  <si>
    <t>Paint &amp; Wall Coatings — Interior</t>
  </si>
  <si>
    <t>$1.50/SF T1–T2 · $1.80/SF T3–T4</t>
  </si>
  <si>
    <t>Specialty / Acoustic Wall Finish Allowance</t>
  </si>
  <si>
    <t>$0 T1 · $500/unit T2–T4</t>
  </si>
  <si>
    <t>1I SUBTOTAL</t>
  </si>
  <si>
    <t>Allura Lap Siding — T1 base cladding</t>
  </si>
  <si>
    <t>7" exposure · 50-yr warranty · 1" ventilated rainscreen on SIB</t>
  </si>
  <si>
    <t>Spectrum pre-finished · no field paint</t>
  </si>
  <si>
    <t>Allura Trim — all openings, corners (all tiers)</t>
  </si>
  <si>
    <t>Window/door trim, corner boards, band boards</t>
  </si>
  <si>
    <t>Fire Extinguishers &amp; Cabinets</t>
  </si>
  <si>
    <t>Code-required per unit</t>
  </si>
  <si>
    <t>Toilet Partitions &amp; Bath Accessories</t>
  </si>
  <si>
    <t>Grab bars, mirrors, accessories per unit</t>
  </si>
  <si>
    <t>Signage — Code-Required (Egress / Unit ID)</t>
  </si>
  <si>
    <t>1J SUBTOTAL</t>
  </si>
  <si>
    <t>1K — DIV 11  Equipment (appliances, specialty)</t>
  </si>
  <si>
    <t>Kitchen Appliances — refrigerator, range, DW, microwave</t>
  </si>
  <si>
    <t>Mid-range residential. All tiers.</t>
  </si>
  <si>
    <t>Heat Pump Water Heater (HPWH) — UEF ≥3.5</t>
  </si>
  <si>
    <t>All tiers</t>
  </si>
  <si>
    <t>Drainwater Heat Recovery (T2–T4)</t>
  </si>
  <si>
    <t>$750/unit T2–T4</t>
  </si>
  <si>
    <t>NatureMill Indoor Composter (T4 only)</t>
  </si>
  <si>
    <t>$1,000/unit · 5W draw · T4 only</t>
  </si>
  <si>
    <t>Crop Circle Farms® Modular Rooftop System (T4)</t>
  </si>
  <si>
    <t>$10,000/unit · patented · 200–600 lbs/yr yield</t>
  </si>
  <si>
    <t>1K SUBTOTAL</t>
  </si>
  <si>
    <t>1L — DIV 12  Furnishings</t>
  </si>
  <si>
    <t>FF&amp;E — Fixed Furnishings Allowance</t>
  </si>
  <si>
    <t>Built-in shelving, closet systems</t>
  </si>
  <si>
    <t>Window Treatments — Blinds/Shades</t>
  </si>
  <si>
    <t>1L SUBTOTAL</t>
  </si>
  <si>
    <t>DIV</t>
  </si>
  <si>
    <t>Elevator — Shaft Provisions Only (2-story = $0)</t>
  </si>
  <si>
    <t>2-story pilot = no elevator. Allowance for 3+ story future.</t>
  </si>
  <si>
    <t>1N SUBTOTAL</t>
  </si>
  <si>
    <t>1O — DIV 21  Fire Suppression</t>
  </si>
  <si>
    <t>Sprinkler System — NFPA 13R (Residential Townhouse)</t>
  </si>
  <si>
    <t>$4.20/SF · verify with Wilmington Fire AHJ</t>
  </si>
  <si>
    <t>Standpipe / Fire Pump (if AHJ-required)</t>
  </si>
  <si>
    <t>2-story: not typically required. Confirm.</t>
  </si>
  <si>
    <t>1O SUBTOTAL</t>
  </si>
  <si>
    <t>1P — DIV 22  Plumbing</t>
  </si>
  <si>
    <t>Plumbing — Sanitary DWV (drain/waste/vent)</t>
  </si>
  <si>
    <t>$3.80/SF · 2 baths + kitchen</t>
  </si>
  <si>
    <t>Plumbing — Domestic Water Supply (hot/cold)</t>
  </si>
  <si>
    <t>$2.40/SF</t>
  </si>
  <si>
    <t>Plumbing Fixtures &amp; Trim (toilets, sinks, tubs)</t>
  </si>
  <si>
    <t>T1–T2: $3,800/unit · T3–T4: $4,500/unit</t>
  </si>
  <si>
    <t>Gas Rough-In (all-electric spec = $0)</t>
  </si>
  <si>
    <t>All-electric Forward Home. No gas. $0.</t>
  </si>
  <si>
    <t>Roof Drainage / Interior Leaders</t>
  </si>
  <si>
    <t>$1.20/SF</t>
  </si>
  <si>
    <t>500-gal Cistern + Gravity-Fed Drip Irrigation (T4)</t>
  </si>
  <si>
    <t>$4,000/unit T4 · closed water loop</t>
  </si>
  <si>
    <t>1P SUBTOTAL</t>
  </si>
  <si>
    <t>HVAC — T1 Standard Cold-Climate Mini-Split (≥SEER2 18)</t>
  </si>
  <si>
    <t>ASSUMPTIONS MEP T1 rate · ductless</t>
  </si>
  <si>
    <t>HVAC — T2 Quilt 3-Zone (SEER2 25.3/HSPF2 12) + T4 Battery-Optimized</t>
  </si>
  <si>
    <t>OTA firmware · 7⅞" indoor unit · occupancy sensing</t>
  </si>
  <si>
    <t>10-yr warranty · R454B · Diamond Contractor required</t>
  </si>
  <si>
    <t>CO₂-responsive · ASHRAE 62.2+25%</t>
  </si>
  <si>
    <t>Ductwork / Distribution (ductless: minimal)</t>
  </si>
  <si>
    <t>$500/unit stub-only allowance</t>
  </si>
  <si>
    <t>Exhaust — Bathrooms, Kitchen, Laundry</t>
  </si>
  <si>
    <t>$800/unit · inline fans + range hood</t>
  </si>
  <si>
    <t>Building Automation / Smart Thermostat</t>
  </si>
  <si>
    <t>T1: programmable. T2–T4: Quilt/Mitsubishi app + sensors.</t>
  </si>
  <si>
    <t>1Q SUBTOTAL</t>
  </si>
  <si>
    <t>1R — DIV 26  Electrical (service, wiring, lighting, smart panel)</t>
  </si>
  <si>
    <t>Electrical Service — Standard 200A (T1)</t>
  </si>
  <si>
    <t>EV + PV stub-outs included</t>
  </si>
  <si>
    <t>SPAN MAIN 40 Smart Panel (T2–T4) — UL 3141 Certified</t>
  </si>
  <si>
    <t>First UL 3141 · 32 circuits · Eaton-backed</t>
  </si>
  <si>
    <t>Branch Wiring — Power &amp; Circuits</t>
  </si>
  <si>
    <t>$4.80/SF</t>
  </si>
  <si>
    <t>Lighting Fixtures — Interior LED</t>
  </si>
  <si>
    <t>$2.20/SF T1–T2 · $2.40/SF T3–T4</t>
  </si>
  <si>
    <t>Lighting — Exterior / Entry</t>
  </si>
  <si>
    <t>Emergency / Exit Lighting</t>
  </si>
  <si>
    <t>Battery-backup allowance</t>
  </si>
  <si>
    <t>EV Charging Stub (conduit + circuit)</t>
  </si>
  <si>
    <t>NEMA 14-50 · future-ready · all tiers</t>
  </si>
  <si>
    <t>1R SUBTOTAL</t>
  </si>
  <si>
    <t>1R-E — DIV 26E  PV Solar + Battery Storage</t>
  </si>
  <si>
    <t>PV Stub-Out Only — T1</t>
  </si>
  <si>
    <t>Conduit + inverter space + utility notice. No panels.</t>
  </si>
  <si>
    <t>PV 5.5 kW + Enphase IQ8 Microinverters — T2</t>
  </si>
  <si>
    <t>Mid of $15K–$19.5K range</t>
  </si>
  <si>
    <t>PV 8.5 kW High-Efficiency TOPCon/HJT — T3</t>
  </si>
  <si>
    <t>≥22% efficiency · Enphase IQ8</t>
  </si>
  <si>
    <t>PV Agrivoltaic Trellis 8.5–12 kW Bifacial TOPCon — T4</t>
  </si>
  <si>
    <t>Elevated 5–6 ft · E/W orientation over Crop Circle beds</t>
  </si>
  <si>
    <t>Battery — Enphase IQ5P or Tesla Powerwall 3 (T2–T3)</t>
  </si>
  <si>
    <t>15-yr warranty · island-capable</t>
  </si>
  <si>
    <t>19.2–90 kWh · true off-grid island mode</t>
  </si>
  <si>
    <t>1R-E SUBTOTAL</t>
  </si>
  <si>
    <t>1S — DIV 27/28  Communications + Security</t>
  </si>
  <si>
    <t>Data / Network Infrastructure (Cat6 + WiFi Stub)</t>
  </si>
  <si>
    <t>Per unit residential rough-in</t>
  </si>
  <si>
    <t>Security — Access Control + Camera Stub</t>
  </si>
  <si>
    <t>T1 stub · T2–T4 smart-home integration ready</t>
  </si>
  <si>
    <t>Fire Alarm / Smoke Detection (Interconnected)</t>
  </si>
  <si>
    <t>Hardwired · code-required · all tiers</t>
  </si>
  <si>
    <t>1S SUBTOTAL</t>
  </si>
  <si>
    <t>Site Work (City-Funded: grading, utilities, paving)</t>
  </si>
  <si>
    <t>$0 developer cost — City of Wilmington program</t>
  </si>
  <si>
    <t>Landscaping / Entry Hardscape Allowance</t>
  </si>
  <si>
    <t>Per unit entry + foundation planting</t>
  </si>
  <si>
    <t>4.25" soil · FM 4477 · ASTM E108 Class A</t>
  </si>
  <si>
    <t>LiveRoof® MAXX + Edible Rows (Up Top Acres) — T3</t>
  </si>
  <si>
    <t>8" soil · productive planting rows</t>
  </si>
  <si>
    <t>Agrivoltaic Trellis + Crop Circle Farms Rooftop — T4</t>
  </si>
  <si>
    <t>Bifacial PV above growing beds · 200–600 lbs/yr yield</t>
  </si>
  <si>
    <t>Cistern + Drip Stub (T3) / Full System (T4 in DIV 22)</t>
  </si>
  <si>
    <t>T3: drip stub. T4: full cistern in DIV 22.</t>
  </si>
  <si>
    <t>1T SUBTOTAL</t>
  </si>
  <si>
    <t>SECTION 1 TOTAL — HARD COSTS (Construction)  ·  ROM = M4Di ALDi Locked Baseline</t>
  </si>
  <si>
    <t>TOTAL HARD COST (Construction ROM → SOV → Actual)</t>
  </si>
  <si>
    <t>SECTION 2 — SOFT COSTS (Professional Fees &amp; Consultants)</t>
  </si>
  <si>
    <t>Architecture — Base Fee (M4D / Aubyn Architecture)</t>
  </si>
  <si>
    <t>AE-ARCH</t>
  </si>
  <si>
    <t>Architecture — ALDi / PM / Owner's Rep (M4D)</t>
  </si>
  <si>
    <t>AE-PM</t>
  </si>
  <si>
    <t>ENG-STR</t>
  </si>
  <si>
    <t>ENG-MECH</t>
  </si>
  <si>
    <t>ENG-ELEC</t>
  </si>
  <si>
    <t>ENG-PLMB</t>
  </si>
  <si>
    <t>Fire Protection / Sprinkler Engineering</t>
  </si>
  <si>
    <t>ENG-FP</t>
  </si>
  <si>
    <t>ENG-CIV</t>
  </si>
  <si>
    <t>ENG-GEO</t>
  </si>
  <si>
    <t>CONS-ADA</t>
  </si>
  <si>
    <t>HERS Rater + DOE ZERH Enrollment (T2)</t>
  </si>
  <si>
    <t>CERT-T2</t>
  </si>
  <si>
    <t>CERT-T3T4</t>
  </si>
  <si>
    <t>M4Di ALDi Controls (this workbook + gate fees)</t>
  </si>
  <si>
    <t>M4DI-ALDI</t>
  </si>
  <si>
    <t>SC-PERM</t>
  </si>
  <si>
    <t>Builder's Risk Insurance (owner-procured)</t>
  </si>
  <si>
    <t>SC-INSR</t>
  </si>
  <si>
    <t>SC-TEST</t>
  </si>
  <si>
    <t>Legal / Title / Closing Costs</t>
  </si>
  <si>
    <t>SC-LEGAL</t>
  </si>
  <si>
    <t>Financing / Loan Origination / CDFI Fees</t>
  </si>
  <si>
    <t>SC-FIN</t>
  </si>
  <si>
    <t>IRA §45L Developer Credit (enter as negative, T2–T4)</t>
  </si>
  <si>
    <t>IRA-45L</t>
  </si>
  <si>
    <t>SOFT</t>
  </si>
  <si>
    <t>OWN-CONT</t>
  </si>
  <si>
    <t>FF&amp;E — Owner-Procured Furnishings</t>
  </si>
  <si>
    <t>OWN-FFE</t>
  </si>
  <si>
    <t>Technology / AV / IT (owner-procured)</t>
  </si>
  <si>
    <t>OWN-TECH</t>
  </si>
  <si>
    <t>Moving / Relocation / Transition Costs</t>
  </si>
  <si>
    <t>OWN-MOV</t>
  </si>
  <si>
    <t>Predevelopment Costs (M4Di P1–P3 Fees)</t>
  </si>
  <si>
    <t>M4DI-PRE</t>
  </si>
  <si>
    <t>Grant Strategy / Application Support (M4Di)</t>
  </si>
  <si>
    <t>M4DI-GRT</t>
  </si>
  <si>
    <t>Program Reserve / Funding Gap Buffer</t>
  </si>
  <si>
    <t>OWN-RESV</t>
  </si>
  <si>
    <t>City Land + Site/Infrastructure (City-funded = $0)</t>
  </si>
  <si>
    <t>CITY-LAND</t>
  </si>
  <si>
    <t>TOTAL OWNER CONTINGENCY &amp; DIRECT COSTS</t>
  </si>
  <si>
    <t>OWN</t>
  </si>
  <si>
    <t>Hard Cost Only</t>
  </si>
  <si>
    <t>Soft Cost as % of Hard Cost</t>
  </si>
  <si>
    <t>SECTION 4 — SITE &amp; UTILITY INFRASTRUCTURE  (City of Wilmington covers — shown for transparency + grant documentation)</t>
  </si>
  <si>
    <t>These line items represent City-funded site infrastructure. Enter actual City quotes in the ROM column (D) as they are confirmed. The credit row at the bottom brings net developer cost to $0. Values feed TOTAL PROJECT BUDGET Section 4.</t>
  </si>
  <si>
    <t>ESTIMATED SITE &amp; UTILITY SUBTOTAL</t>
  </si>
  <si>
    <t>SITE</t>
  </si>
  <si>
    <t>CITY OF WILMINGTON PROGRAM CREDIT  (full offset — developer cost = $0)</t>
  </si>
  <si>
    <t>Full credit = City program contribution. Net developer cost = $0. Retain for grant/NMTC funder documentation.</t>
  </si>
  <si>
    <t>$0 — City-funded. Shown for program transparency.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</si>
</sst>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.00"/>
    <numFmt numFmtId="166" formatCode="_(\$* #,##0_);_(\$* \(#,##0\);_(\$* \-_);_(@_)"/>
    <numFmt numFmtId="167" formatCode="\$#,##0"/>
  </numFmts>
  <fonts count="3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34AB7"/>
      <name val="Arial"/>
      <charset val="1"/>
    </font>
    <font>
      <sz val="10"/>
      <color rgb="FF2C2C2A"/>
      <name val="Arial"/>
      <charset val="1"/>
    </font>
    <font>
      <sz val="10"/>
      <color rgb="FF000080"/>
      <name val="Arial"/>
      <charset val="1"/>
    </font>
    <font>
      <i/>
      <sz val="8"/>
      <color rgb="FF5F5E5A"/>
      <name val="Arial"/>
      <charset val="1"/>
    </font>
    <font>
      <b/>
      <sz val="10"/>
      <color rgb="FFFFFFFF"/>
      <name val="Arial"/>
      <charset val="1"/>
    </font>
    <font>
      <sz val="9"/>
      <color rgb="FF2C2C2A"/>
      <name val="Arial"/>
      <charset val="1"/>
    </font>
    <font>
      <b/>
      <sz val="11"/>
      <color rgb="FFFFFFFF"/>
      <name val="Arial"/>
      <charset val="1"/>
    </font>
    <font>
      <i/>
      <sz val="9"/>
      <color rgb="FF534AB7"/>
      <name val="Arial"/>
      <charset val="1"/>
    </font>
    <font>
      <b/>
      <sz val="9"/>
      <color rgb="FF5F5E5A"/>
      <name val="Arial"/>
      <charset val="1"/>
    </font>
    <font>
      <sz val="10"/>
      <color rgb="FF006400"/>
      <name val="Arial"/>
      <charset val="1"/>
    </font>
    <font>
      <b/>
      <sz val="9"/>
      <color rgb="FF2C2C2A"/>
      <name val="Arial"/>
      <charset val="1"/>
    </font>
    <font>
      <b/>
      <sz val="9"/>
      <color rgb="FFFFFFFF"/>
      <name val="Arial"/>
      <charset val="1"/>
    </font>
    <font>
      <sz val="9"/>
      <color rgb="FF006400"/>
      <name val="Arial"/>
      <charset val="1"/>
    </font>
    <font>
      <b/>
      <sz val="9"/>
      <color rgb="FF196B23"/>
      <name val="Arial"/>
      <charset val="1"/>
    </font>
    <font>
      <b/>
      <sz val="9"/>
      <color rgb="FF1565C0"/>
      <name val="Arial"/>
      <charset val="1"/>
    </font>
    <font>
      <b/>
      <sz val="9"/>
      <color rgb="FFB71C1C"/>
      <name val="Arial"/>
      <charset val="1"/>
    </font>
    <font>
      <b/>
      <sz val="12"/>
      <color rgb="FFFFFFFF"/>
      <name val="Arial"/>
      <charset val="1"/>
    </font>
    <font>
      <b/>
      <sz val="10"/>
      <color rgb="FF534AB7"/>
      <name val="Arial"/>
      <charset val="1"/>
    </font>
    <font>
      <b/>
      <sz val="8"/>
      <color rgb="FF196B23"/>
      <name val="Arial"/>
      <charset val="1"/>
    </font>
    <font>
      <sz val="8"/>
      <color rgb="FF666666"/>
      <name val="Arial"/>
      <charset val="1"/>
    </font>
    <font>
      <sz val="9"/>
      <color rgb="FF666666"/>
      <name val="Arial"/>
      <charset val="1"/>
    </font>
    <font>
      <sz val="9"/>
      <color rgb="FF000080"/>
      <name val="Arial"/>
      <charset val="1"/>
    </font>
    <font>
      <b/>
      <sz val="10"/>
      <color rgb="FF196B23"/>
      <name val="Arial"/>
      <charset val="1"/>
    </font>
    <font>
      <i/>
      <sz val="9"/>
      <color rgb="FF1565C0"/>
      <name val="Arial"/>
      <charset val="1"/>
    </font>
    <font>
      <sz val="9"/>
      <color rgb="FF1565C0"/>
      <name val="Arial"/>
      <charset val="1"/>
    </font>
    <font>
      <b/>
      <sz val="8"/>
      <color rgb="FF1565C0"/>
      <name val="Arial"/>
      <charset val="1"/>
    </font>
    <font>
      <b/>
      <sz val="10"/>
      <color rgb="FF1565C0"/>
      <name val="Arial"/>
      <charset val="1"/>
    </font>
    <font>
      <b/>
      <sz val="8"/>
      <color rgb="FFB71C1C"/>
      <name val="Arial"/>
      <charset val="1"/>
    </font>
    <font>
      <b/>
      <sz val="10"/>
      <color rgb="FFB71C1C"/>
      <name val="Arial"/>
      <charset val="1"/>
    </font>
    <font>
      <i/>
      <sz val="8"/>
      <color rgb="FFB71C1C"/>
      <name val="Arial"/>
      <charset val="1"/>
    </font>
    <font>
      <i/>
      <sz val="8"/>
      <color rgb="FF196B23"/>
      <name val="Arial"/>
      <charset val="1"/>
    </font>
    <font>
      <i/>
      <sz val="8"/>
      <color rgb="FF1565C0"/>
      <name val="Arial"/>
      <charset val="1"/>
    </font>
    <font>
      <b/>
      <sz val="11"/>
      <color rgb="FF534AB7"/>
      <name val="Arial"/>
      <charset val="1"/>
    </font>
    <font>
      <sz val="9"/>
      <color rgb="FF1A1A18"/>
      <name val="Arial"/>
      <charset val="1"/>
    </font>
    <font>
      <sz val="9"/>
      <color rgb="FF5F5E5A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534AB7"/>
        <bgColor rgb="FF5F5E5A"/>
      </patternFill>
    </fill>
    <fill>
      <patternFill patternType="solid">
        <fgColor rgb="FFEEEDFE"/>
        <bgColor rgb="FFE3F2FD"/>
      </patternFill>
    </fill>
    <fill>
      <patternFill patternType="solid">
        <fgColor rgb="FFC8E6C9"/>
        <bgColor rgb="FFD0D0D0"/>
      </patternFill>
    </fill>
    <fill>
      <patternFill patternType="solid">
        <fgColor rgb="FFFFFFF0"/>
        <bgColor rgb="FFFFFFFF"/>
      </patternFill>
    </fill>
    <fill>
      <patternFill patternType="solid">
        <fgColor rgb="FF196B23"/>
        <bgColor rgb="FF0F6E56"/>
      </patternFill>
    </fill>
    <fill>
      <patternFill patternType="solid">
        <fgColor rgb="FFF7F7F4"/>
        <bgColor rgb="FFF0FAF6"/>
      </patternFill>
    </fill>
    <fill>
      <patternFill patternType="solid">
        <fgColor rgb="FFF0FAF6"/>
        <bgColor rgb="FFF7F7F4"/>
      </patternFill>
    </fill>
    <fill>
      <patternFill patternType="solid">
        <fgColor rgb="FF0F6E56"/>
        <bgColor rgb="FF196B23"/>
      </patternFill>
    </fill>
    <fill>
      <patternFill patternType="solid">
        <fgColor rgb="FFFFFFFF"/>
        <bgColor rgb="FFFFFFF0"/>
      </patternFill>
    </fill>
    <fill>
      <patternFill patternType="solid">
        <fgColor rgb="FFA5D6A7"/>
        <bgColor rgb="FFC8E6C9"/>
      </patternFill>
    </fill>
    <fill>
      <patternFill patternType="solid">
        <fgColor rgb="FF1565C0"/>
        <bgColor rgb="FF3366FF"/>
      </patternFill>
    </fill>
    <fill>
      <patternFill patternType="solid">
        <fgColor rgb="FFE3F2FD"/>
        <bgColor rgb="FFEEEDFE"/>
      </patternFill>
    </fill>
    <fill>
      <patternFill patternType="solid">
        <fgColor rgb="FFFFEBEE"/>
        <bgColor rgb="FFF1EFE8"/>
      </patternFill>
    </fill>
    <fill>
      <patternFill patternType="solid">
        <fgColor rgb="FFE8F5E9"/>
        <bgColor rgb="FFF1EFE8"/>
      </patternFill>
    </fill>
    <fill>
      <patternFill patternType="solid">
        <fgColor rgb="FF2C2C2A"/>
        <bgColor rgb="FF1A1A18"/>
      </patternFill>
    </fill>
    <fill>
      <patternFill patternType="solid">
        <fgColor rgb="FFF1EFE8"/>
        <bgColor rgb="FFE8F5E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5" fillId="17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left" vertical="center"/>
    </xf>
    <xf numFmtId="166" fontId="11" fillId="8" borderId="1" xfId="0" applyNumberFormat="1" applyFont="1" applyFill="1" applyBorder="1" applyAlignment="1">
      <alignment horizontal="right" vertical="center"/>
    </xf>
    <xf numFmtId="0" fontId="25" fillId="13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3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/>
    <xf numFmtId="0" fontId="0" fillId="6" borderId="0" xfId="0" applyFill="1"/>
    <xf numFmtId="0" fontId="6" fillId="6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8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3" fontId="11" fillId="8" borderId="1" xfId="0" applyNumberFormat="1" applyFont="1" applyFill="1" applyBorder="1" applyAlignment="1">
      <alignment horizontal="right" vertical="center"/>
    </xf>
    <xf numFmtId="0" fontId="0" fillId="9" borderId="0" xfId="0" applyFill="1"/>
    <xf numFmtId="0" fontId="6" fillId="9" borderId="0" xfId="0" applyFont="1" applyFill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11" fillId="8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166" fontId="11" fillId="8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right" vertical="center"/>
    </xf>
    <xf numFmtId="0" fontId="7" fillId="10" borderId="1" xfId="0" applyFont="1" applyFill="1" applyBorder="1" applyAlignment="1">
      <alignment horizontal="left" vertical="center"/>
    </xf>
    <xf numFmtId="166" fontId="14" fillId="1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166" fontId="14" fillId="7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166" fontId="15" fillId="4" borderId="1" xfId="0" applyNumberFormat="1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166" fontId="6" fillId="11" borderId="1" xfId="0" applyNumberFormat="1" applyFont="1" applyFill="1" applyBorder="1" applyAlignment="1">
      <alignment horizontal="right" vertical="center"/>
    </xf>
    <xf numFmtId="167" fontId="14" fillId="7" borderId="1" xfId="0" applyNumberFormat="1" applyFont="1" applyFill="1" applyBorder="1" applyAlignment="1">
      <alignment horizontal="right" vertical="center"/>
    </xf>
    <xf numFmtId="0" fontId="0" fillId="12" borderId="0" xfId="0" applyFill="1"/>
    <xf numFmtId="0" fontId="6" fillId="12" borderId="0" xfId="0" applyFont="1" applyFill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166" fontId="16" fillId="13" borderId="1" xfId="0" applyNumberFormat="1" applyFont="1" applyFill="1" applyBorder="1" applyAlignment="1">
      <alignment horizontal="right" vertical="center"/>
    </xf>
    <xf numFmtId="0" fontId="17" fillId="14" borderId="1" xfId="0" applyFont="1" applyFill="1" applyBorder="1" applyAlignment="1">
      <alignment horizontal="left" vertical="center"/>
    </xf>
    <xf numFmtId="166" fontId="17" fillId="14" borderId="1" xfId="0" applyNumberFormat="1" applyFont="1" applyFill="1" applyBorder="1" applyAlignment="1">
      <alignment horizontal="right" vertical="center"/>
    </xf>
    <xf numFmtId="0" fontId="15" fillId="15" borderId="1" xfId="0" applyFont="1" applyFill="1" applyBorder="1" applyAlignment="1">
      <alignment horizontal="left" vertical="center"/>
    </xf>
    <xf numFmtId="166" fontId="15" fillId="15" borderId="1" xfId="0" applyNumberFormat="1" applyFont="1" applyFill="1" applyBorder="1" applyAlignment="1">
      <alignment horizontal="right" vertical="center"/>
    </xf>
    <xf numFmtId="0" fontId="18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right" vertical="center" wrapText="1"/>
    </xf>
    <xf numFmtId="0" fontId="0" fillId="15" borderId="0" xfId="0" applyFill="1"/>
    <xf numFmtId="0" fontId="15" fillId="15" borderId="0" xfId="0" applyFont="1" applyFill="1" applyAlignment="1">
      <alignment horizontal="left" vertical="center"/>
    </xf>
    <xf numFmtId="0" fontId="20" fillId="15" borderId="0" xfId="0" applyFont="1" applyFill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66" fontId="14" fillId="8" borderId="1" xfId="0" applyNumberFormat="1" applyFont="1" applyFill="1" applyBorder="1" applyAlignment="1">
      <alignment horizontal="right" vertical="center"/>
    </xf>
    <xf numFmtId="0" fontId="22" fillId="7" borderId="1" xfId="0" applyFont="1" applyFill="1" applyBorder="1" applyAlignment="1">
      <alignment horizontal="right" vertical="center"/>
    </xf>
    <xf numFmtId="0" fontId="21" fillId="10" borderId="1" xfId="0" applyFont="1" applyFill="1" applyBorder="1" applyAlignment="1">
      <alignment horizontal="center" vertical="center"/>
    </xf>
    <xf numFmtId="166" fontId="23" fillId="5" borderId="1" xfId="0" applyNumberFormat="1" applyFont="1" applyFill="1" applyBorder="1" applyAlignment="1">
      <alignment horizontal="right" vertical="center"/>
    </xf>
    <xf numFmtId="0" fontId="22" fillId="10" borderId="1" xfId="0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166" fontId="22" fillId="10" borderId="1" xfId="0" applyNumberFormat="1" applyFont="1" applyFill="1" applyBorder="1" applyAlignment="1">
      <alignment horizontal="right" vertical="center"/>
    </xf>
    <xf numFmtId="166" fontId="22" fillId="7" borderId="1" xfId="0" applyNumberFormat="1" applyFont="1" applyFill="1" applyBorder="1" applyAlignment="1">
      <alignment horizontal="right" vertical="center"/>
    </xf>
    <xf numFmtId="0" fontId="0" fillId="11" borderId="0" xfId="0" applyFill="1"/>
    <xf numFmtId="0" fontId="8" fillId="11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center" vertical="center"/>
    </xf>
    <xf numFmtId="166" fontId="8" fillId="11" borderId="1" xfId="0" applyNumberFormat="1" applyFont="1" applyFill="1" applyBorder="1" applyAlignment="1">
      <alignment horizontal="right" vertical="center"/>
    </xf>
    <xf numFmtId="0" fontId="24" fillId="4" borderId="0" xfId="0" applyFont="1" applyFill="1"/>
    <xf numFmtId="166" fontId="24" fillId="4" borderId="1" xfId="0" applyNumberFormat="1" applyFont="1" applyFill="1" applyBorder="1" applyAlignment="1">
      <alignment horizontal="right" vertical="center"/>
    </xf>
    <xf numFmtId="0" fontId="13" fillId="12" borderId="0" xfId="0" applyFont="1" applyFill="1" applyAlignment="1">
      <alignment horizontal="center" vertical="center"/>
    </xf>
    <xf numFmtId="0" fontId="0" fillId="13" borderId="0" xfId="0" applyFill="1"/>
    <xf numFmtId="166" fontId="26" fillId="13" borderId="1" xfId="0" applyNumberFormat="1" applyFont="1" applyFill="1" applyBorder="1" applyAlignment="1">
      <alignment horizontal="right" vertical="center"/>
    </xf>
    <xf numFmtId="0" fontId="16" fillId="13" borderId="0" xfId="0" applyFont="1" applyFill="1" applyAlignment="1">
      <alignment horizontal="left" vertical="center"/>
    </xf>
    <xf numFmtId="0" fontId="27" fillId="13" borderId="0" xfId="0" applyFont="1" applyFill="1" applyAlignment="1">
      <alignment horizontal="center" vertical="center"/>
    </xf>
    <xf numFmtId="166" fontId="28" fillId="13" borderId="1" xfId="0" applyNumberFormat="1" applyFont="1" applyFill="1" applyBorder="1" applyAlignment="1">
      <alignment horizontal="right" vertical="center"/>
    </xf>
    <xf numFmtId="0" fontId="0" fillId="14" borderId="0" xfId="0" applyFill="1"/>
    <xf numFmtId="0" fontId="17" fillId="14" borderId="0" xfId="0" applyFont="1" applyFill="1" applyAlignment="1">
      <alignment horizontal="left" vertical="center"/>
    </xf>
    <xf numFmtId="0" fontId="29" fillId="14" borderId="0" xfId="0" applyFont="1" applyFill="1" applyAlignment="1">
      <alignment horizontal="center" vertical="center"/>
    </xf>
    <xf numFmtId="166" fontId="30" fillId="14" borderId="1" xfId="0" applyNumberFormat="1" applyFont="1" applyFill="1" applyBorder="1" applyAlignment="1">
      <alignment horizontal="right" vertical="center"/>
    </xf>
    <xf numFmtId="0" fontId="31" fillId="14" borderId="1" xfId="0" applyFont="1" applyFill="1" applyBorder="1" applyAlignment="1">
      <alignment horizontal="left" vertical="center" wrapText="1"/>
    </xf>
    <xf numFmtId="166" fontId="24" fillId="15" borderId="1" xfId="0" applyNumberFormat="1" applyFont="1" applyFill="1" applyBorder="1" applyAlignment="1">
      <alignment horizontal="right" vertical="center"/>
    </xf>
    <xf numFmtId="0" fontId="32" fillId="15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right" vertical="center"/>
    </xf>
    <xf numFmtId="164" fontId="23" fillId="5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164" fontId="14" fillId="8" borderId="1" xfId="0" applyNumberFormat="1" applyFont="1" applyFill="1" applyBorder="1" applyAlignment="1">
      <alignment horizontal="right" vertical="center"/>
    </xf>
    <xf numFmtId="164" fontId="15" fillId="4" borderId="1" xfId="0" applyNumberFormat="1" applyFont="1" applyFill="1" applyBorder="1" applyAlignment="1">
      <alignment horizontal="right" vertical="center"/>
    </xf>
    <xf numFmtId="0" fontId="18" fillId="11" borderId="0" xfId="0" applyFont="1" applyFill="1" applyAlignment="1">
      <alignment horizontal="left" vertical="center"/>
    </xf>
    <xf numFmtId="166" fontId="18" fillId="11" borderId="1" xfId="0" applyNumberFormat="1" applyFont="1" applyFill="1" applyBorder="1" applyAlignment="1">
      <alignment horizontal="right" vertical="center"/>
    </xf>
    <xf numFmtId="167" fontId="11" fillId="8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3" fillId="13" borderId="1" xfId="0" applyFont="1" applyFill="1" applyBorder="1"/>
    <xf numFmtId="164" fontId="17" fillId="14" borderId="1" xfId="0" applyNumberFormat="1" applyFont="1" applyFill="1" applyBorder="1" applyAlignment="1">
      <alignment horizontal="right" vertical="center"/>
    </xf>
    <xf numFmtId="0" fontId="32" fillId="15" borderId="1" xfId="0" applyFont="1" applyFill="1" applyBorder="1"/>
    <xf numFmtId="0" fontId="28" fillId="13" borderId="0" xfId="0" applyFont="1" applyFill="1" applyAlignment="1">
      <alignment horizontal="left" vertical="center" wrapText="1"/>
    </xf>
    <xf numFmtId="0" fontId="33" fillId="13" borderId="1" xfId="0" applyFont="1" applyFill="1" applyBorder="1" applyAlignment="1">
      <alignment horizontal="left" vertical="center" wrapText="1"/>
    </xf>
    <xf numFmtId="0" fontId="13" fillId="12" borderId="0" xfId="0" applyFont="1" applyFill="1" applyAlignment="1">
      <alignment horizontal="right" vertical="center" wrapText="1"/>
    </xf>
    <xf numFmtId="0" fontId="13" fillId="16" borderId="0" xfId="0" applyFont="1" applyFill="1" applyAlignment="1">
      <alignment horizontal="right" vertical="center" wrapText="1"/>
    </xf>
    <xf numFmtId="0" fontId="13" fillId="16" borderId="0" xfId="0" applyFont="1" applyFill="1" applyAlignment="1">
      <alignment horizontal="left" vertical="center" wrapText="1"/>
    </xf>
    <xf numFmtId="0" fontId="0" fillId="10" borderId="0" xfId="0" applyFill="1"/>
    <xf numFmtId="0" fontId="35" fillId="10" borderId="1" xfId="0" applyFont="1" applyFill="1" applyBorder="1" applyAlignment="1">
      <alignment horizontal="left" vertical="center"/>
    </xf>
    <xf numFmtId="166" fontId="0" fillId="10" borderId="1" xfId="0" applyNumberFormat="1" applyFill="1" applyBorder="1" applyAlignment="1">
      <alignment horizontal="right" vertical="center"/>
    </xf>
    <xf numFmtId="166" fontId="0" fillId="13" borderId="1" xfId="0" applyNumberFormat="1" applyFill="1" applyBorder="1" applyAlignment="1">
      <alignment horizontal="right" vertical="center"/>
    </xf>
    <xf numFmtId="166" fontId="14" fillId="13" borderId="1" xfId="0" applyNumberFormat="1" applyFont="1" applyFill="1" applyBorder="1" applyAlignment="1">
      <alignment horizontal="right" vertical="center"/>
    </xf>
    <xf numFmtId="166" fontId="36" fillId="17" borderId="1" xfId="0" applyNumberFormat="1" applyFont="1" applyFill="1" applyBorder="1" applyAlignment="1">
      <alignment horizontal="right" vertical="center"/>
    </xf>
    <xf numFmtId="164" fontId="36" fillId="17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 wrapText="1"/>
    </xf>
    <xf numFmtId="0" fontId="35" fillId="7" borderId="1" xfId="0" applyFont="1" applyFill="1" applyBorder="1" applyAlignment="1">
      <alignment horizontal="left" vertical="center"/>
    </xf>
    <xf numFmtId="166" fontId="0" fillId="7" borderId="1" xfId="0" applyNumberForma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166" fontId="18" fillId="2" borderId="1" xfId="0" applyNumberFormat="1" applyFont="1" applyFill="1" applyBorder="1" applyAlignment="1">
      <alignment horizontal="right" vertical="center"/>
    </xf>
    <xf numFmtId="164" fontId="15" fillId="15" borderId="1" xfId="0" applyNumberFormat="1" applyFont="1" applyFill="1" applyBorder="1" applyAlignment="1">
      <alignment horizontal="right" vertical="center"/>
    </xf>
    <xf numFmtId="166" fontId="14" fillId="17" borderId="1" xfId="0" applyNumberFormat="1" applyFont="1" applyFill="1" applyBorder="1" applyAlignment="1">
      <alignment horizontal="right" vertical="center"/>
    </xf>
    <xf numFmtId="164" fontId="14" fillId="17" borderId="1" xfId="0" applyNumberFormat="1" applyFont="1" applyFill="1" applyBorder="1" applyAlignment="1">
      <alignment horizontal="right" vertical="center"/>
    </xf>
    <xf numFmtId="0" fontId="28" fillId="13" borderId="0" xfId="0" applyFont="1" applyFill="1" applyAlignment="1">
      <alignment horizontal="left" vertical="center"/>
    </xf>
    <xf numFmtId="0" fontId="30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AF6"/>
      <rgbColor rgb="FFFF00FF"/>
      <rgbColor rgb="FF00FFFF"/>
      <rgbColor rgb="FF800000"/>
      <rgbColor rgb="FF006400"/>
      <rgbColor rgb="FF000080"/>
      <rgbColor rgb="FF808000"/>
      <rgbColor rgb="FF800080"/>
      <rgbColor rgb="FF0F6E56"/>
      <rgbColor rgb="FFCCCCCC"/>
      <rgbColor rgb="FF5F5E5A"/>
      <rgbColor rgb="FF9999FF"/>
      <rgbColor rgb="FF993366"/>
      <rgbColor rgb="FFFFFFF0"/>
      <rgbColor rgb="FFE3F2FD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196B23"/>
      <rgbColor rgb="FF0000FF"/>
      <rgbColor rgb="FF00CCFF"/>
      <rgbColor rgb="FFE8F5E9"/>
      <rgbColor rgb="FFC8E6C9"/>
      <rgbColor rgb="FFF1EFE8"/>
      <rgbColor rgb="FFA5D6A7"/>
      <rgbColor rgb="FFF7F7F4"/>
      <rgbColor rgb="FFEEEDFE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8"/>
      <rgbColor rgb="FFB71C1C"/>
      <rgbColor rgb="FF993366"/>
      <rgbColor rgb="FF534AB7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6B23"/>
  </sheetPr>
  <dimension ref="A1:I18"/>
  <sheetViews>
    <sheetView zoomScaleNormal="100" workbookViewId="0">
      <selection activeCell="J22" sqref="J22"/>
    </sheetView>
  </sheetViews>
  <sheetFormatPr defaultColWidth="8.703125" defaultRowHeight="14.35" x14ac:dyDescent="0.5"/>
  <cols>
    <col min="1" max="1" width="3" customWidth="1"/>
    <col min="2" max="2" width="32" customWidth="1"/>
    <col min="3" max="3" width="36.5859375" customWidth="1"/>
    <col min="4" max="4" width="15.5859375" customWidth="1"/>
    <col min="5" max="8" width="2.64453125" customWidth="1"/>
    <col min="9" max="9" width="40.64453125" customWidth="1"/>
  </cols>
  <sheetData>
    <row r="1" spans="1:9" ht="24" customHeight="1" x14ac:dyDescent="0.5">
      <c r="A1" s="9"/>
      <c r="B1" s="10" t="s">
        <v>0</v>
      </c>
      <c r="C1" s="9"/>
      <c r="D1" s="9"/>
      <c r="E1" s="9"/>
      <c r="F1" s="9"/>
      <c r="G1" s="9"/>
      <c r="H1" s="9"/>
      <c r="I1" s="9"/>
    </row>
    <row r="2" spans="1:9" ht="15.75" customHeight="1" x14ac:dyDescent="0.5">
      <c r="A2" s="11"/>
      <c r="B2" s="8" t="s">
        <v>1</v>
      </c>
      <c r="C2" s="8"/>
      <c r="D2" s="8"/>
      <c r="E2" s="8"/>
      <c r="F2" s="8"/>
      <c r="G2" s="8"/>
      <c r="H2" s="8"/>
    </row>
    <row r="3" spans="1:9" ht="15.75" customHeight="1" x14ac:dyDescent="0.5"/>
    <row r="4" spans="1:9" ht="15.75" customHeight="1" x14ac:dyDescent="0.5">
      <c r="A4" s="12"/>
      <c r="B4" s="13" t="s">
        <v>2</v>
      </c>
      <c r="C4" s="14"/>
      <c r="I4" s="15" t="s">
        <v>3</v>
      </c>
    </row>
    <row r="5" spans="1:9" ht="15.75" customHeight="1" x14ac:dyDescent="0.5">
      <c r="A5" s="12"/>
      <c r="B5" s="13" t="s">
        <v>4</v>
      </c>
      <c r="C5" s="14"/>
      <c r="I5" s="15" t="s">
        <v>5</v>
      </c>
    </row>
    <row r="6" spans="1:9" ht="15.75" customHeight="1" x14ac:dyDescent="0.5">
      <c r="A6" s="12"/>
      <c r="B6" s="13" t="s">
        <v>6</v>
      </c>
      <c r="C6" s="14" t="s">
        <v>7</v>
      </c>
      <c r="I6" s="15" t="s">
        <v>8</v>
      </c>
    </row>
    <row r="7" spans="1:9" ht="15.75" customHeight="1" x14ac:dyDescent="0.5">
      <c r="A7" s="12"/>
      <c r="B7" s="13" t="s">
        <v>9</v>
      </c>
      <c r="C7" s="14" t="s">
        <v>10</v>
      </c>
    </row>
    <row r="8" spans="1:9" ht="15.75" customHeight="1" x14ac:dyDescent="0.5">
      <c r="A8" s="12"/>
      <c r="B8" s="13" t="s">
        <v>11</v>
      </c>
      <c r="C8" s="14"/>
    </row>
    <row r="9" spans="1:9" ht="15.75" customHeight="1" x14ac:dyDescent="0.5">
      <c r="A9" s="12"/>
      <c r="B9" s="13" t="s">
        <v>12</v>
      </c>
      <c r="C9" s="132">
        <f>ASSUMPTIONS!C13</f>
        <v>13500</v>
      </c>
      <c r="I9" s="15" t="s">
        <v>13</v>
      </c>
    </row>
    <row r="10" spans="1:9" ht="15.75" customHeight="1" x14ac:dyDescent="0.5">
      <c r="A10" s="12"/>
      <c r="B10" s="13" t="s">
        <v>14</v>
      </c>
      <c r="C10" s="14"/>
      <c r="I10" s="15" t="s">
        <v>15</v>
      </c>
    </row>
    <row r="11" spans="1:9" ht="15.75" customHeight="1" x14ac:dyDescent="0.5">
      <c r="A11" s="12"/>
      <c r="B11" s="13" t="s">
        <v>16</v>
      </c>
      <c r="C11" s="14" t="s">
        <v>17</v>
      </c>
      <c r="I11" s="15" t="s">
        <v>18</v>
      </c>
    </row>
    <row r="12" spans="1:9" ht="15.75" customHeight="1" x14ac:dyDescent="0.5">
      <c r="A12" s="12"/>
      <c r="B12" s="13" t="s">
        <v>19</v>
      </c>
      <c r="C12" s="14" t="s">
        <v>20</v>
      </c>
    </row>
    <row r="13" spans="1:9" ht="15.75" customHeight="1" x14ac:dyDescent="0.5"/>
    <row r="14" spans="1:9" ht="15.75" customHeight="1" x14ac:dyDescent="0.5">
      <c r="A14" s="16"/>
      <c r="B14" s="17" t="s">
        <v>21</v>
      </c>
      <c r="C14" s="16"/>
      <c r="D14" s="16"/>
      <c r="E14" s="16"/>
      <c r="F14" s="16"/>
      <c r="G14" s="16"/>
      <c r="H14" s="16"/>
      <c r="I14" s="16"/>
    </row>
    <row r="15" spans="1:9" ht="35" customHeight="1" x14ac:dyDescent="0.5">
      <c r="A15" s="12"/>
      <c r="B15" s="18" t="s">
        <v>22</v>
      </c>
      <c r="C15" s="18" t="s">
        <v>23</v>
      </c>
      <c r="D15" s="18" t="s">
        <v>24</v>
      </c>
      <c r="E15" s="19"/>
      <c r="F15" s="19"/>
      <c r="G15" s="19"/>
      <c r="H15" s="19"/>
      <c r="I15" s="18" t="s">
        <v>25</v>
      </c>
    </row>
    <row r="16" spans="1:9" ht="35" customHeight="1" x14ac:dyDescent="0.5">
      <c r="A16" s="12"/>
      <c r="B16" s="18" t="s">
        <v>26</v>
      </c>
      <c r="C16" s="18" t="s">
        <v>27</v>
      </c>
      <c r="D16" s="18" t="s">
        <v>28</v>
      </c>
      <c r="E16" s="19"/>
      <c r="F16" s="19"/>
      <c r="G16" s="19"/>
      <c r="H16" s="19"/>
      <c r="I16" s="18" t="s">
        <v>29</v>
      </c>
    </row>
    <row r="17" spans="1:9" ht="35" customHeight="1" x14ac:dyDescent="0.5">
      <c r="A17" s="12"/>
      <c r="B17" s="18" t="s">
        <v>30</v>
      </c>
      <c r="C17" s="18" t="s">
        <v>31</v>
      </c>
      <c r="D17" s="18" t="s">
        <v>32</v>
      </c>
      <c r="E17" s="19"/>
      <c r="F17" s="19"/>
      <c r="G17" s="19"/>
      <c r="H17" s="19"/>
      <c r="I17" s="18" t="s">
        <v>33</v>
      </c>
    </row>
    <row r="18" spans="1:9" ht="35" customHeight="1" x14ac:dyDescent="0.5">
      <c r="A18" s="12"/>
      <c r="B18" s="18" t="s">
        <v>34</v>
      </c>
      <c r="C18" s="18" t="s">
        <v>35</v>
      </c>
      <c r="D18" s="18" t="s">
        <v>36</v>
      </c>
      <c r="E18" s="19"/>
      <c r="F18" s="19"/>
      <c r="G18" s="19"/>
      <c r="H18" s="19"/>
      <c r="I18" s="18" t="s">
        <v>37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4AB7"/>
  </sheetPr>
  <dimension ref="A1:E66"/>
  <sheetViews>
    <sheetView topLeftCell="A8" zoomScaleNormal="100" workbookViewId="0">
      <selection activeCell="C14" sqref="C14"/>
    </sheetView>
  </sheetViews>
  <sheetFormatPr defaultColWidth="8.703125" defaultRowHeight="14.35" x14ac:dyDescent="0.5"/>
  <cols>
    <col min="1" max="1" width="3" customWidth="1"/>
    <col min="2" max="2" width="46" customWidth="1"/>
    <col min="3" max="3" width="22" customWidth="1"/>
    <col min="4" max="4" width="3" customWidth="1"/>
    <col min="5" max="5" width="60" customWidth="1"/>
  </cols>
  <sheetData>
    <row r="1" spans="1:5" ht="21.75" customHeight="1" x14ac:dyDescent="0.5">
      <c r="A1" s="9"/>
      <c r="B1" s="20" t="s">
        <v>38</v>
      </c>
      <c r="C1" s="9"/>
      <c r="D1" s="9"/>
      <c r="E1" s="9"/>
    </row>
    <row r="2" spans="1:5" ht="15.75" customHeight="1" x14ac:dyDescent="0.5">
      <c r="A2" s="11"/>
      <c r="B2" s="7" t="s">
        <v>39</v>
      </c>
      <c r="C2" s="7"/>
      <c r="D2" s="7"/>
      <c r="E2" s="7"/>
    </row>
    <row r="3" spans="1:5" ht="15.75" customHeight="1" x14ac:dyDescent="0.5">
      <c r="B3" s="21" t="s">
        <v>40</v>
      </c>
      <c r="C3" s="21" t="s">
        <v>41</v>
      </c>
      <c r="E3" s="21" t="s">
        <v>42</v>
      </c>
    </row>
    <row r="4" spans="1:5" ht="15.75" customHeight="1" x14ac:dyDescent="0.5">
      <c r="A4" s="9"/>
      <c r="B4" s="22" t="s">
        <v>43</v>
      </c>
      <c r="C4" s="9"/>
      <c r="D4" s="9"/>
      <c r="E4" s="9"/>
    </row>
    <row r="5" spans="1:5" ht="31.5" customHeight="1" x14ac:dyDescent="0.5">
      <c r="B5" s="13" t="s">
        <v>44</v>
      </c>
      <c r="C5" s="23" t="s">
        <v>45</v>
      </c>
      <c r="E5" s="24" t="s">
        <v>46</v>
      </c>
    </row>
    <row r="6" spans="1:5" ht="31.5" customHeight="1" x14ac:dyDescent="0.5">
      <c r="B6" s="13" t="s">
        <v>47</v>
      </c>
      <c r="C6" s="23" t="s">
        <v>17</v>
      </c>
      <c r="E6" s="24" t="s">
        <v>48</v>
      </c>
    </row>
    <row r="7" spans="1:5" ht="31.5" customHeight="1" x14ac:dyDescent="0.5">
      <c r="B7" s="13" t="s">
        <v>49</v>
      </c>
      <c r="C7" s="23" t="s">
        <v>50</v>
      </c>
      <c r="E7" s="24" t="s">
        <v>51</v>
      </c>
    </row>
    <row r="8" spans="1:5" ht="31.5" customHeight="1" x14ac:dyDescent="0.5">
      <c r="B8" s="13" t="s">
        <v>52</v>
      </c>
      <c r="C8" s="23" t="s">
        <v>53</v>
      </c>
      <c r="E8" s="24" t="s">
        <v>54</v>
      </c>
    </row>
    <row r="9" spans="1:5" ht="31.5" customHeight="1" x14ac:dyDescent="0.5">
      <c r="B9" s="13" t="s">
        <v>55</v>
      </c>
      <c r="C9" s="23" t="s">
        <v>7</v>
      </c>
      <c r="E9" s="24" t="s">
        <v>56</v>
      </c>
    </row>
    <row r="10" spans="1:5" ht="31.5" customHeight="1" x14ac:dyDescent="0.5">
      <c r="B10" s="13" t="s">
        <v>57</v>
      </c>
      <c r="C10" s="23" t="s">
        <v>58</v>
      </c>
      <c r="E10" s="24" t="s">
        <v>59</v>
      </c>
    </row>
    <row r="11" spans="1:5" ht="31.5" customHeight="1" x14ac:dyDescent="0.5">
      <c r="B11" s="13" t="s">
        <v>60</v>
      </c>
      <c r="C11" s="25">
        <v>1350</v>
      </c>
      <c r="E11" s="24" t="s">
        <v>61</v>
      </c>
    </row>
    <row r="12" spans="1:5" ht="31.5" customHeight="1" x14ac:dyDescent="0.5">
      <c r="B12" s="13" t="s">
        <v>62</v>
      </c>
      <c r="C12" s="23">
        <v>10</v>
      </c>
      <c r="E12" s="24" t="s">
        <v>63</v>
      </c>
    </row>
    <row r="13" spans="1:5" ht="31.5" customHeight="1" x14ac:dyDescent="0.5">
      <c r="B13" s="13" t="s">
        <v>64</v>
      </c>
      <c r="C13" s="26">
        <f>C11*C12</f>
        <v>13500</v>
      </c>
      <c r="E13" s="24" t="s">
        <v>65</v>
      </c>
    </row>
    <row r="14" spans="1:5" ht="31.5" customHeight="1" x14ac:dyDescent="0.5">
      <c r="B14" s="13" t="s">
        <v>66</v>
      </c>
      <c r="C14" s="23" t="s">
        <v>67</v>
      </c>
      <c r="E14" s="24" t="s">
        <v>68</v>
      </c>
    </row>
    <row r="15" spans="1:5" ht="31.5" customHeight="1" x14ac:dyDescent="0.5">
      <c r="B15" s="13" t="s">
        <v>69</v>
      </c>
      <c r="C15" s="23" t="s">
        <v>70</v>
      </c>
      <c r="E15" s="24" t="s">
        <v>71</v>
      </c>
    </row>
    <row r="16" spans="1:5" ht="15.75" customHeight="1" x14ac:dyDescent="0.5"/>
    <row r="17" spans="1:5" ht="15.75" customHeight="1" x14ac:dyDescent="0.5">
      <c r="A17" s="27"/>
      <c r="B17" s="28" t="s">
        <v>72</v>
      </c>
      <c r="C17" s="27"/>
      <c r="D17" s="27"/>
      <c r="E17" s="27"/>
    </row>
    <row r="18" spans="1:5" ht="31.5" customHeight="1" x14ac:dyDescent="0.5">
      <c r="B18" s="13" t="s">
        <v>73</v>
      </c>
      <c r="C18" s="29">
        <v>2.7E-2</v>
      </c>
      <c r="E18" s="24" t="s">
        <v>74</v>
      </c>
    </row>
    <row r="19" spans="1:5" ht="31.5" customHeight="1" x14ac:dyDescent="0.5">
      <c r="B19" s="13" t="s">
        <v>75</v>
      </c>
      <c r="C19" s="29">
        <v>4.2999999999999997E-2</v>
      </c>
      <c r="E19" s="24" t="s">
        <v>76</v>
      </c>
    </row>
    <row r="20" spans="1:5" ht="31.5" customHeight="1" x14ac:dyDescent="0.5">
      <c r="B20" s="13" t="s">
        <v>77</v>
      </c>
      <c r="C20" s="30">
        <f>AVERAGE(C17,C18)</f>
        <v>2.7E-2</v>
      </c>
      <c r="E20" s="24" t="s">
        <v>78</v>
      </c>
    </row>
    <row r="21" spans="1:5" ht="31.5" customHeight="1" x14ac:dyDescent="0.5">
      <c r="B21" s="13" t="s">
        <v>79</v>
      </c>
      <c r="C21" s="23">
        <v>1</v>
      </c>
      <c r="E21" s="24" t="s">
        <v>80</v>
      </c>
    </row>
    <row r="22" spans="1:5" ht="15.75" customHeight="1" x14ac:dyDescent="0.5"/>
    <row r="23" spans="1:5" ht="15.75" customHeight="1" x14ac:dyDescent="0.5">
      <c r="A23" s="9"/>
      <c r="B23" s="22" t="s">
        <v>81</v>
      </c>
      <c r="C23" s="9"/>
      <c r="D23" s="9"/>
      <c r="E23" s="9"/>
    </row>
    <row r="24" spans="1:5" ht="31.5" customHeight="1" x14ac:dyDescent="0.5">
      <c r="B24" s="13" t="s">
        <v>82</v>
      </c>
      <c r="C24" s="29">
        <v>0.08</v>
      </c>
      <c r="E24" s="24" t="s">
        <v>83</v>
      </c>
    </row>
    <row r="25" spans="1:5" ht="31.5" customHeight="1" x14ac:dyDescent="0.5">
      <c r="B25" s="13" t="s">
        <v>84</v>
      </c>
      <c r="C25" s="29">
        <v>0.1</v>
      </c>
      <c r="E25" s="24" t="s">
        <v>85</v>
      </c>
    </row>
    <row r="26" spans="1:5" ht="31.5" customHeight="1" x14ac:dyDescent="0.5">
      <c r="B26" s="13" t="s">
        <v>86</v>
      </c>
      <c r="C26" s="29">
        <v>0.12</v>
      </c>
      <c r="E26" s="24" t="s">
        <v>87</v>
      </c>
    </row>
    <row r="27" spans="1:5" ht="31.5" customHeight="1" x14ac:dyDescent="0.5">
      <c r="B27" s="13" t="s">
        <v>88</v>
      </c>
      <c r="C27" s="29">
        <v>0</v>
      </c>
      <c r="E27" s="24" t="s">
        <v>89</v>
      </c>
    </row>
    <row r="28" spans="1:5" ht="31.5" customHeight="1" x14ac:dyDescent="0.5">
      <c r="B28" s="13" t="s">
        <v>90</v>
      </c>
      <c r="C28" s="29">
        <v>0.05</v>
      </c>
      <c r="E28" s="24" t="s">
        <v>91</v>
      </c>
    </row>
    <row r="29" spans="1:5" ht="31.5" customHeight="1" x14ac:dyDescent="0.5">
      <c r="B29" s="13" t="s">
        <v>92</v>
      </c>
      <c r="C29" s="29">
        <v>0.02</v>
      </c>
      <c r="E29" s="24" t="s">
        <v>93</v>
      </c>
    </row>
    <row r="30" spans="1:5" ht="31.5" customHeight="1" x14ac:dyDescent="0.5">
      <c r="B30" s="13" t="s">
        <v>94</v>
      </c>
      <c r="C30" s="30">
        <f>C26+C27+C28</f>
        <v>0.16999999999999998</v>
      </c>
      <c r="E30" s="24" t="s">
        <v>95</v>
      </c>
    </row>
    <row r="31" spans="1:5" ht="15.75" customHeight="1" x14ac:dyDescent="0.5"/>
    <row r="32" spans="1:5" ht="15.75" customHeight="1" x14ac:dyDescent="0.5">
      <c r="A32" s="27"/>
      <c r="B32" s="28" t="s">
        <v>96</v>
      </c>
      <c r="C32" s="27"/>
      <c r="D32" s="27"/>
      <c r="E32" s="27"/>
    </row>
    <row r="33" spans="1:5" ht="31.5" customHeight="1" x14ac:dyDescent="0.5">
      <c r="B33" s="13" t="s">
        <v>97</v>
      </c>
      <c r="C33" s="31">
        <v>31.11</v>
      </c>
      <c r="E33" s="24" t="s">
        <v>98</v>
      </c>
    </row>
    <row r="34" spans="1:5" ht="31.5" customHeight="1" x14ac:dyDescent="0.5">
      <c r="B34" s="13" t="s">
        <v>99</v>
      </c>
      <c r="C34" s="31">
        <v>20.74</v>
      </c>
      <c r="E34" s="24" t="s">
        <v>100</v>
      </c>
    </row>
    <row r="35" spans="1:5" ht="31.5" customHeight="1" x14ac:dyDescent="0.5">
      <c r="B35" s="13" t="s">
        <v>101</v>
      </c>
      <c r="C35" s="31">
        <v>22.22</v>
      </c>
      <c r="E35" s="24" t="s">
        <v>102</v>
      </c>
    </row>
    <row r="36" spans="1:5" ht="31.5" customHeight="1" x14ac:dyDescent="0.5">
      <c r="B36" s="13" t="s">
        <v>103</v>
      </c>
      <c r="C36" s="31">
        <v>14.07</v>
      </c>
      <c r="E36" s="24" t="s">
        <v>104</v>
      </c>
    </row>
    <row r="37" spans="1:5" ht="31.5" customHeight="1" x14ac:dyDescent="0.5">
      <c r="B37" s="13" t="s">
        <v>105</v>
      </c>
      <c r="C37" s="31">
        <v>15.56</v>
      </c>
      <c r="E37" s="24" t="s">
        <v>106</v>
      </c>
    </row>
    <row r="38" spans="1:5" ht="31.5" customHeight="1" x14ac:dyDescent="0.5">
      <c r="B38" s="13" t="s">
        <v>107</v>
      </c>
      <c r="C38" s="31">
        <v>16.3</v>
      </c>
      <c r="E38" s="24" t="s">
        <v>108</v>
      </c>
    </row>
    <row r="39" spans="1:5" ht="31.5" customHeight="1" x14ac:dyDescent="0.5">
      <c r="B39" s="13" t="s">
        <v>109</v>
      </c>
      <c r="C39" s="31">
        <v>17.04</v>
      </c>
      <c r="E39" s="24" t="s">
        <v>110</v>
      </c>
    </row>
    <row r="40" spans="1:5" ht="15.75" customHeight="1" x14ac:dyDescent="0.5"/>
    <row r="41" spans="1:5" ht="15.75" customHeight="1" x14ac:dyDescent="0.5">
      <c r="A41" s="27"/>
      <c r="B41" s="28" t="s">
        <v>111</v>
      </c>
      <c r="C41" s="27"/>
      <c r="D41" s="27"/>
      <c r="E41" s="27"/>
    </row>
    <row r="42" spans="1:5" ht="31.5" customHeight="1" x14ac:dyDescent="0.5">
      <c r="B42" s="13" t="s">
        <v>112</v>
      </c>
      <c r="C42" s="23">
        <v>1</v>
      </c>
      <c r="E42" s="24" t="s">
        <v>113</v>
      </c>
    </row>
    <row r="43" spans="1:5" ht="31.5" customHeight="1" x14ac:dyDescent="0.5">
      <c r="B43" s="13" t="s">
        <v>114</v>
      </c>
      <c r="C43" s="32">
        <v>5500</v>
      </c>
      <c r="E43" s="24" t="s">
        <v>115</v>
      </c>
    </row>
    <row r="44" spans="1:5" ht="31.5" customHeight="1" x14ac:dyDescent="0.5">
      <c r="B44" s="13" t="s">
        <v>116</v>
      </c>
      <c r="C44" s="32">
        <v>3200</v>
      </c>
      <c r="E44" s="24" t="s">
        <v>117</v>
      </c>
    </row>
    <row r="45" spans="1:5" ht="31.5" customHeight="1" x14ac:dyDescent="0.5">
      <c r="B45" s="13" t="s">
        <v>118</v>
      </c>
      <c r="C45" s="32">
        <v>1800</v>
      </c>
      <c r="E45" s="24" t="s">
        <v>119</v>
      </c>
    </row>
    <row r="46" spans="1:5" ht="31.5" customHeight="1" x14ac:dyDescent="0.5">
      <c r="B46" s="13" t="s">
        <v>120</v>
      </c>
      <c r="C46" s="32">
        <v>1800</v>
      </c>
      <c r="E46" s="24" t="s">
        <v>121</v>
      </c>
    </row>
    <row r="47" spans="1:5" ht="31.5" customHeight="1" x14ac:dyDescent="0.5">
      <c r="B47" s="13" t="s">
        <v>122</v>
      </c>
      <c r="C47" s="32">
        <v>1200</v>
      </c>
      <c r="E47" s="24" t="s">
        <v>123</v>
      </c>
    </row>
    <row r="48" spans="1:5" ht="31.5" customHeight="1" x14ac:dyDescent="0.5">
      <c r="B48" s="33" t="s">
        <v>124</v>
      </c>
      <c r="C48" s="34">
        <f>C43+IF(C42=1,C44,C45)+C46+C47</f>
        <v>11700</v>
      </c>
      <c r="E48" s="24" t="s">
        <v>125</v>
      </c>
    </row>
    <row r="49" spans="1:5" ht="15.75" customHeight="1" x14ac:dyDescent="0.5"/>
    <row r="50" spans="1:5" ht="15.75" customHeight="1" x14ac:dyDescent="0.5">
      <c r="A50" s="27"/>
      <c r="B50" s="28" t="s">
        <v>126</v>
      </c>
      <c r="C50" s="27"/>
      <c r="D50" s="27"/>
      <c r="E50" s="27"/>
    </row>
    <row r="51" spans="1:5" ht="31.5" customHeight="1" x14ac:dyDescent="0.5">
      <c r="B51" s="13" t="s">
        <v>127</v>
      </c>
      <c r="C51" s="32">
        <v>235000</v>
      </c>
      <c r="E51" s="24" t="s">
        <v>128</v>
      </c>
    </row>
    <row r="52" spans="1:5" ht="31.5" customHeight="1" x14ac:dyDescent="0.5">
      <c r="B52" s="13" t="s">
        <v>129</v>
      </c>
      <c r="C52" s="32">
        <v>250000</v>
      </c>
      <c r="E52" s="24" t="s">
        <v>130</v>
      </c>
    </row>
    <row r="53" spans="1:5" ht="31.5" customHeight="1" x14ac:dyDescent="0.5">
      <c r="B53" s="13" t="s">
        <v>131</v>
      </c>
      <c r="C53" s="32">
        <v>265000</v>
      </c>
      <c r="E53" s="24" t="s">
        <v>132</v>
      </c>
    </row>
    <row r="54" spans="1:5" ht="31.5" customHeight="1" x14ac:dyDescent="0.5">
      <c r="B54" s="13" t="s">
        <v>133</v>
      </c>
      <c r="C54" s="32">
        <v>290000</v>
      </c>
      <c r="E54" s="24" t="s">
        <v>134</v>
      </c>
    </row>
    <row r="55" spans="1:5" ht="31.5" customHeight="1" x14ac:dyDescent="0.5">
      <c r="B55" s="13" t="s">
        <v>135</v>
      </c>
      <c r="C55" s="32">
        <v>1550</v>
      </c>
      <c r="E55" s="24" t="s">
        <v>136</v>
      </c>
    </row>
    <row r="56" spans="1:5" ht="31.5" customHeight="1" x14ac:dyDescent="0.5">
      <c r="B56" s="13" t="s">
        <v>137</v>
      </c>
      <c r="C56" s="29">
        <v>0.45</v>
      </c>
      <c r="E56" s="24" t="s">
        <v>138</v>
      </c>
    </row>
    <row r="57" spans="1:5" ht="31.5" customHeight="1" x14ac:dyDescent="0.5">
      <c r="B57" s="13" t="s">
        <v>139</v>
      </c>
      <c r="C57" s="29">
        <v>6.2E-2</v>
      </c>
      <c r="E57" s="24" t="s">
        <v>140</v>
      </c>
    </row>
    <row r="58" spans="1:5" ht="15.75" customHeight="1" x14ac:dyDescent="0.5"/>
    <row r="59" spans="1:5" ht="15.75" customHeight="1" x14ac:dyDescent="0.5">
      <c r="A59" s="9"/>
      <c r="B59" s="22" t="s">
        <v>141</v>
      </c>
      <c r="C59" s="9"/>
      <c r="D59" s="9"/>
      <c r="E59" s="9"/>
    </row>
    <row r="60" spans="1:5" ht="15.75" customHeight="1" x14ac:dyDescent="0.5">
      <c r="B60" s="35" t="s">
        <v>142</v>
      </c>
      <c r="C60" s="34">
        <f>'BID SUMMARY'!C7</f>
        <v>200</v>
      </c>
    </row>
    <row r="61" spans="1:5" ht="15.75" customHeight="1" x14ac:dyDescent="0.5">
      <c r="B61" s="35" t="s">
        <v>143</v>
      </c>
      <c r="C61" s="34">
        <f>'BID SUMMARY'!C10</f>
        <v>3500</v>
      </c>
    </row>
    <row r="62" spans="1:5" ht="15.75" customHeight="1" x14ac:dyDescent="0.5">
      <c r="B62" s="35" t="s">
        <v>144</v>
      </c>
      <c r="C62" s="34">
        <f>'BID SUMMARY'!C12</f>
        <v>22005</v>
      </c>
    </row>
    <row r="63" spans="1:5" ht="15.75" customHeight="1" x14ac:dyDescent="0.5">
      <c r="B63" s="35" t="s">
        <v>145</v>
      </c>
      <c r="C63" s="34">
        <f>'SOFT COSTS'!F86</f>
        <v>0</v>
      </c>
    </row>
    <row r="64" spans="1:5" ht="15.75" customHeight="1" x14ac:dyDescent="0.5">
      <c r="B64" s="35" t="s">
        <v>146</v>
      </c>
      <c r="C64" s="34">
        <f>'TOTAL PROJECT BUDGET'!C36</f>
        <v>0</v>
      </c>
    </row>
    <row r="65" spans="2:5" ht="15.75" customHeight="1" x14ac:dyDescent="0.5"/>
    <row r="66" spans="2:5" ht="31.5" customHeight="1" x14ac:dyDescent="0.5">
      <c r="B66" s="6" t="s">
        <v>147</v>
      </c>
      <c r="C66" s="6"/>
      <c r="D66" s="6"/>
      <c r="E66" s="6"/>
    </row>
  </sheetData>
  <mergeCells count="2">
    <mergeCell ref="B2:E2"/>
    <mergeCell ref="B66:E6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E56"/>
  </sheetPr>
  <dimension ref="A1:G48"/>
  <sheetViews>
    <sheetView zoomScaleNormal="100" workbookViewId="0">
      <selection activeCell="C5" sqref="C5"/>
    </sheetView>
  </sheetViews>
  <sheetFormatPr defaultColWidth="8.703125" defaultRowHeight="14.35" x14ac:dyDescent="0.5"/>
  <cols>
    <col min="1" max="1" width="3" customWidth="1"/>
    <col min="2" max="2" width="40" customWidth="1"/>
    <col min="3" max="6" width="18" customWidth="1"/>
    <col min="7" max="7" width="52" customWidth="1"/>
  </cols>
  <sheetData>
    <row r="1" spans="1:7" ht="21.75" customHeight="1" x14ac:dyDescent="0.5">
      <c r="A1" s="9"/>
      <c r="B1" s="20" t="s">
        <v>148</v>
      </c>
      <c r="C1" s="9"/>
      <c r="D1" s="9"/>
      <c r="E1" s="9"/>
      <c r="F1" s="9"/>
      <c r="G1" s="9"/>
    </row>
    <row r="2" spans="1:7" ht="15.75" customHeight="1" x14ac:dyDescent="0.5">
      <c r="A2" s="11"/>
      <c r="B2" s="7" t="str">
        <f>ASSUMPTIONS!C5 &amp; "  |  " &amp; ASSUMPTIONS!C6</f>
        <v>Forward Home — Type D 10-Unit Cluster  |  May 2026</v>
      </c>
      <c r="C2" s="7"/>
      <c r="D2" s="7"/>
      <c r="E2" s="7"/>
      <c r="F2" s="7"/>
    </row>
    <row r="3" spans="1:7" ht="30" customHeight="1" x14ac:dyDescent="0.5">
      <c r="A3" s="16"/>
      <c r="B3" s="36" t="s">
        <v>149</v>
      </c>
      <c r="C3" s="37" t="s">
        <v>150</v>
      </c>
      <c r="D3" s="37" t="s">
        <v>151</v>
      </c>
      <c r="E3" s="37" t="s">
        <v>152</v>
      </c>
      <c r="F3" s="37" t="s">
        <v>153</v>
      </c>
      <c r="G3" s="36" t="s">
        <v>154</v>
      </c>
    </row>
    <row r="4" spans="1:7" ht="15.75" customHeight="1" x14ac:dyDescent="0.5">
      <c r="A4" s="27"/>
      <c r="B4" s="28" t="s">
        <v>155</v>
      </c>
      <c r="C4" s="27"/>
      <c r="D4" s="27"/>
      <c r="E4" s="27"/>
      <c r="F4" s="27"/>
      <c r="G4" s="27"/>
    </row>
    <row r="5" spans="1:7" ht="31.5" customHeight="1" x14ac:dyDescent="0.5">
      <c r="B5" s="38" t="s">
        <v>156</v>
      </c>
      <c r="C5" s="39">
        <f>'HARD COST TAKEOFF'!D9</f>
        <v>607.5</v>
      </c>
      <c r="D5" s="39">
        <f>'HARD COST TAKEOFF'!E9</f>
        <v>607.5</v>
      </c>
      <c r="E5" s="39" t="e">
        <f>'HARD COST TAKEOFF'!F9</f>
        <v>#VALUE!</v>
      </c>
      <c r="F5" s="39" t="e">
        <f>'HARD COST TAKEOFF'!G9</f>
        <v>#VALUE!</v>
      </c>
      <c r="G5" s="40" t="s">
        <v>157</v>
      </c>
    </row>
    <row r="6" spans="1:7" ht="31.5" customHeight="1" x14ac:dyDescent="0.5">
      <c r="B6" s="41" t="s">
        <v>158</v>
      </c>
      <c r="C6" s="42">
        <f>'HARD COST TAKEOFF'!D16</f>
        <v>750</v>
      </c>
      <c r="D6" s="42">
        <f>'HARD COST TAKEOFF'!E16</f>
        <v>750</v>
      </c>
      <c r="E6" s="42">
        <f>'HARD COST TAKEOFF'!F16</f>
        <v>750</v>
      </c>
      <c r="F6" s="42" t="e">
        <f>'HARD COST TAKEOFF'!G16</f>
        <v>#VALUE!</v>
      </c>
      <c r="G6" s="40" t="s">
        <v>159</v>
      </c>
    </row>
    <row r="7" spans="1:7" ht="31.5" customHeight="1" x14ac:dyDescent="0.5">
      <c r="B7" s="38" t="s">
        <v>160</v>
      </c>
      <c r="C7" s="39">
        <f>'HARD COST TAKEOFF'!D22</f>
        <v>200</v>
      </c>
      <c r="D7" s="39">
        <f>'HARD COST TAKEOFF'!E22</f>
        <v>200</v>
      </c>
      <c r="E7" s="39">
        <f>'HARD COST TAKEOFF'!F22</f>
        <v>200</v>
      </c>
      <c r="F7" s="39">
        <f>'HARD COST TAKEOFF'!G22</f>
        <v>200</v>
      </c>
      <c r="G7" s="40" t="s">
        <v>161</v>
      </c>
    </row>
    <row r="8" spans="1:7" ht="31.5" customHeight="1" x14ac:dyDescent="0.5">
      <c r="B8" s="41" t="s">
        <v>162</v>
      </c>
      <c r="C8" s="42">
        <f>'HARD COST TAKEOFF'!D26</f>
        <v>10351.800000000001</v>
      </c>
      <c r="D8" s="42">
        <f>'HARD COST TAKEOFF'!E26</f>
        <v>10351.800000000001</v>
      </c>
      <c r="E8" s="42" t="e">
        <f>'HARD COST TAKEOFF'!F26</f>
        <v>#VALUE!</v>
      </c>
      <c r="F8" s="42" t="e">
        <f>'HARD COST TAKEOFF'!G26</f>
        <v>#VALUE!</v>
      </c>
      <c r="G8" s="40" t="s">
        <v>163</v>
      </c>
    </row>
    <row r="9" spans="1:7" ht="15.75" customHeight="1" x14ac:dyDescent="0.5">
      <c r="B9" s="38" t="s">
        <v>164</v>
      </c>
      <c r="C9" s="39">
        <f>'HARD COST TAKEOFF'!D29</f>
        <v>10901.800000000001</v>
      </c>
      <c r="D9" s="39">
        <f>'HARD COST TAKEOFF'!E29</f>
        <v>10901.800000000001</v>
      </c>
      <c r="E9" s="39" t="e">
        <f>'HARD COST TAKEOFF'!F29</f>
        <v>#VALUE!</v>
      </c>
      <c r="F9" s="39" t="e">
        <f>'HARD COST TAKEOFF'!G29</f>
        <v>#VALUE!</v>
      </c>
    </row>
    <row r="10" spans="1:7" ht="31.5" customHeight="1" x14ac:dyDescent="0.5">
      <c r="B10" s="41" t="s">
        <v>165</v>
      </c>
      <c r="C10" s="42">
        <f>'HARD COST TAKEOFF'!D33</f>
        <v>3500</v>
      </c>
      <c r="D10" s="42">
        <f>'HARD COST TAKEOFF'!E33</f>
        <v>3500</v>
      </c>
      <c r="E10" s="42">
        <f>'HARD COST TAKEOFF'!F33</f>
        <v>3500</v>
      </c>
      <c r="F10" s="42">
        <f>'HARD COST TAKEOFF'!G33</f>
        <v>3500</v>
      </c>
      <c r="G10" s="40" t="s">
        <v>166</v>
      </c>
    </row>
    <row r="11" spans="1:7" ht="31.5" customHeight="1" x14ac:dyDescent="0.5">
      <c r="B11" s="38" t="s">
        <v>167</v>
      </c>
      <c r="C11" s="39">
        <f>'HARD COST TAKEOFF'!D38</f>
        <v>6075</v>
      </c>
      <c r="D11" s="39">
        <f>'HARD COST TAKEOFF'!E38</f>
        <v>6075</v>
      </c>
      <c r="E11" s="39" t="str">
        <f>'HARD COST TAKEOFF'!F38</f>
        <v>—</v>
      </c>
      <c r="F11" s="39" t="str">
        <f>'HARD COST TAKEOFF'!G38</f>
        <v>—</v>
      </c>
      <c r="G11" s="40" t="s">
        <v>168</v>
      </c>
    </row>
    <row r="12" spans="1:7" ht="31.5" customHeight="1" x14ac:dyDescent="0.5">
      <c r="B12" s="41" t="s">
        <v>169</v>
      </c>
      <c r="C12" s="42">
        <f>'HARD COST TAKEOFF'!D47</f>
        <v>22005</v>
      </c>
      <c r="D12" s="42">
        <f>'HARD COST TAKEOFF'!E47</f>
        <v>22005</v>
      </c>
      <c r="E12" s="42" t="e">
        <f>'HARD COST TAKEOFF'!F47</f>
        <v>#VALUE!</v>
      </c>
      <c r="F12" s="42" t="e">
        <f>'HARD COST TAKEOFF'!G47</f>
        <v>#VALUE!</v>
      </c>
      <c r="G12" s="40" t="s">
        <v>170</v>
      </c>
    </row>
    <row r="13" spans="1:7" ht="31.5" customHeight="1" x14ac:dyDescent="0.5">
      <c r="B13" s="38" t="s">
        <v>171</v>
      </c>
      <c r="C13" s="39">
        <f>'HARD COST TAKEOFF'!D53</f>
        <v>400</v>
      </c>
      <c r="D13" s="39">
        <f>'HARD COST TAKEOFF'!E53</f>
        <v>0</v>
      </c>
      <c r="E13" s="39">
        <f>'HARD COST TAKEOFF'!F53</f>
        <v>0</v>
      </c>
      <c r="F13" s="39">
        <f>'HARD COST TAKEOFF'!G53</f>
        <v>0</v>
      </c>
      <c r="G13" s="40" t="s">
        <v>172</v>
      </c>
    </row>
    <row r="14" spans="1:7" ht="31.5" customHeight="1" x14ac:dyDescent="0.5">
      <c r="B14" s="41" t="s">
        <v>173</v>
      </c>
      <c r="C14" s="42">
        <f>'HARD COST TAKEOFF'!D67</f>
        <v>0</v>
      </c>
      <c r="D14" s="42">
        <f>'HARD COST TAKEOFF'!E67</f>
        <v>4725</v>
      </c>
      <c r="E14" s="42" t="e">
        <f>'HARD COST TAKEOFF'!F67</f>
        <v>#VALUE!</v>
      </c>
      <c r="F14" s="42" t="e">
        <f>'HARD COST TAKEOFF'!G67</f>
        <v>#VALUE!</v>
      </c>
      <c r="G14" s="40" t="s">
        <v>174</v>
      </c>
    </row>
    <row r="15" spans="1:7" ht="31.5" customHeight="1" x14ac:dyDescent="0.5">
      <c r="B15" s="38" t="s">
        <v>175</v>
      </c>
      <c r="C15" s="39">
        <f>'HARD COST TAKEOFF'!D76</f>
        <v>1200</v>
      </c>
      <c r="D15" s="39">
        <f>'HARD COST TAKEOFF'!E76</f>
        <v>1200</v>
      </c>
      <c r="E15" s="39">
        <f>'HARD COST TAKEOFF'!F76</f>
        <v>1200</v>
      </c>
      <c r="F15" s="39">
        <f>'HARD COST TAKEOFF'!G76</f>
        <v>1200</v>
      </c>
      <c r="G15" s="40" t="s">
        <v>176</v>
      </c>
    </row>
    <row r="16" spans="1:7" ht="15.75" customHeight="1" x14ac:dyDescent="0.5">
      <c r="B16" s="41" t="s">
        <v>177</v>
      </c>
      <c r="C16" s="42">
        <f>'HARD COST TAKEOFF'!D83</f>
        <v>4500</v>
      </c>
      <c r="D16" s="42">
        <f>'HARD COST TAKEOFF'!E83</f>
        <v>4500</v>
      </c>
      <c r="E16" s="42">
        <f>'HARD COST TAKEOFF'!F83</f>
        <v>5000</v>
      </c>
      <c r="F16" s="42">
        <f>'HARD COST TAKEOFF'!G83</f>
        <v>5000</v>
      </c>
    </row>
    <row r="17" spans="1:7" ht="31.5" customHeight="1" x14ac:dyDescent="0.5">
      <c r="B17" s="38" t="s">
        <v>178</v>
      </c>
      <c r="C17" s="39">
        <f>'HARD COST TAKEOFF'!D89</f>
        <v>0</v>
      </c>
      <c r="D17" s="39">
        <f>'HARD COST TAKEOFF'!E89</f>
        <v>0</v>
      </c>
      <c r="E17" s="39">
        <f>'HARD COST TAKEOFF'!F89</f>
        <v>0</v>
      </c>
      <c r="F17" s="39">
        <f>'HARD COST TAKEOFF'!G89</f>
        <v>0</v>
      </c>
      <c r="G17" s="40" t="s">
        <v>179</v>
      </c>
    </row>
    <row r="18" spans="1:7" ht="31.5" customHeight="1" x14ac:dyDescent="0.5">
      <c r="B18" s="41" t="s">
        <v>180</v>
      </c>
      <c r="C18" s="42">
        <f>'HARD COST TAKEOFF'!D93</f>
        <v>2100</v>
      </c>
      <c r="D18" s="42">
        <f>'HARD COST TAKEOFF'!E93</f>
        <v>2100</v>
      </c>
      <c r="E18" s="42">
        <f>'HARD COST TAKEOFF'!F93</f>
        <v>2800</v>
      </c>
      <c r="F18" s="42">
        <f>'HARD COST TAKEOFF'!G93</f>
        <v>2800</v>
      </c>
      <c r="G18" s="40" t="s">
        <v>181</v>
      </c>
    </row>
    <row r="19" spans="1:7" ht="31.5" customHeight="1" x14ac:dyDescent="0.5">
      <c r="B19" s="38" t="s">
        <v>182</v>
      </c>
      <c r="C19" s="39">
        <f>'HARD COST TAKEOFF'!D97</f>
        <v>0</v>
      </c>
      <c r="D19" s="39">
        <f>'HARD COST TAKEOFF'!E97</f>
        <v>0</v>
      </c>
      <c r="E19" s="39">
        <f>'HARD COST TAKEOFF'!F97</f>
        <v>0</v>
      </c>
      <c r="F19" s="39">
        <f>'HARD COST TAKEOFF'!G97</f>
        <v>0</v>
      </c>
      <c r="G19" s="40" t="s">
        <v>183</v>
      </c>
    </row>
    <row r="20" spans="1:7" ht="31.5" customHeight="1" x14ac:dyDescent="0.5">
      <c r="B20" s="41" t="s">
        <v>184</v>
      </c>
      <c r="C20" s="42">
        <f>'HARD COST TAKEOFF'!D103</f>
        <v>0</v>
      </c>
      <c r="D20" s="42">
        <f>'HARD COST TAKEOFF'!E103</f>
        <v>0</v>
      </c>
      <c r="E20" s="42">
        <f>'HARD COST TAKEOFF'!F103</f>
        <v>0</v>
      </c>
      <c r="F20" s="42">
        <f>'HARD COST TAKEOFF'!G103</f>
        <v>0</v>
      </c>
      <c r="G20" s="40" t="s">
        <v>185</v>
      </c>
    </row>
    <row r="21" spans="1:7" ht="31.5" customHeight="1" x14ac:dyDescent="0.5">
      <c r="B21" s="38" t="s">
        <v>186</v>
      </c>
      <c r="C21" s="39">
        <f>'HARD COST TAKEOFF'!D110</f>
        <v>0</v>
      </c>
      <c r="D21" s="39">
        <f>'HARD COST TAKEOFF'!E110</f>
        <v>0</v>
      </c>
      <c r="E21" s="39">
        <f>'HARD COST TAKEOFF'!F110</f>
        <v>0</v>
      </c>
      <c r="F21" s="39">
        <f>'HARD COST TAKEOFF'!G110</f>
        <v>4000</v>
      </c>
      <c r="G21" s="40" t="s">
        <v>187</v>
      </c>
    </row>
    <row r="22" spans="1:7" ht="31.5" customHeight="1" x14ac:dyDescent="0.5">
      <c r="B22" s="41" t="s">
        <v>188</v>
      </c>
      <c r="C22" s="42">
        <f>'HARD COST TAKEOFF'!D118</f>
        <v>500</v>
      </c>
      <c r="D22" s="42">
        <f>'HARD COST TAKEOFF'!E118</f>
        <v>500</v>
      </c>
      <c r="E22" s="42">
        <f>'HARD COST TAKEOFF'!F118</f>
        <v>500</v>
      </c>
      <c r="F22" s="42">
        <f>'HARD COST TAKEOFF'!G118</f>
        <v>500</v>
      </c>
      <c r="G22" s="40" t="s">
        <v>189</v>
      </c>
    </row>
    <row r="23" spans="1:7" ht="15.75" customHeight="1" x14ac:dyDescent="0.5">
      <c r="B23" s="38" t="s">
        <v>190</v>
      </c>
      <c r="C23" s="39">
        <f>'HARD COST TAKEOFF'!D125</f>
        <v>0</v>
      </c>
      <c r="D23" s="39">
        <f>'HARD COST TAKEOFF'!E125</f>
        <v>4000</v>
      </c>
      <c r="E23" s="39">
        <f>'HARD COST TAKEOFF'!F125</f>
        <v>4000</v>
      </c>
      <c r="F23" s="39">
        <f>'HARD COST TAKEOFF'!G125</f>
        <v>4000</v>
      </c>
    </row>
    <row r="24" spans="1:7" ht="31.5" customHeight="1" x14ac:dyDescent="0.5">
      <c r="B24" s="41" t="s">
        <v>191</v>
      </c>
      <c r="C24" s="42">
        <f>'HARD COST TAKEOFF'!D131</f>
        <v>14000</v>
      </c>
      <c r="D24" s="42">
        <f>'HARD COST TAKEOFF'!E131</f>
        <v>14800</v>
      </c>
      <c r="E24" s="42" t="e">
        <f>'HARD COST TAKEOFF'!F131</f>
        <v>#VALUE!</v>
      </c>
      <c r="F24" s="42" t="e">
        <f>'HARD COST TAKEOFF'!G131</f>
        <v>#VALUE!</v>
      </c>
      <c r="G24" s="40" t="s">
        <v>192</v>
      </c>
    </row>
    <row r="25" spans="1:7" ht="31.5" customHeight="1" x14ac:dyDescent="0.5">
      <c r="B25" s="43" t="s">
        <v>193</v>
      </c>
      <c r="C25" s="44">
        <f>SUM(C5:C24)</f>
        <v>77091.100000000006</v>
      </c>
      <c r="D25" s="44">
        <f>SUM(D5:D24)</f>
        <v>86216.1</v>
      </c>
      <c r="E25" s="44" t="e">
        <f>SUM(E5:E24)</f>
        <v>#VALUE!</v>
      </c>
      <c r="F25" s="44" t="e">
        <f>SUM(F5:F24)</f>
        <v>#VALUE!</v>
      </c>
      <c r="G25" s="40" t="s">
        <v>194</v>
      </c>
    </row>
    <row r="26" spans="1:7" ht="15.75" customHeight="1" x14ac:dyDescent="0.5"/>
    <row r="27" spans="1:7" ht="15.75" customHeight="1" x14ac:dyDescent="0.5">
      <c r="A27" s="27"/>
      <c r="B27" s="28" t="s">
        <v>195</v>
      </c>
      <c r="C27" s="27"/>
      <c r="D27" s="27"/>
      <c r="E27" s="27"/>
      <c r="F27" s="27"/>
      <c r="G27" s="27"/>
    </row>
    <row r="28" spans="1:7" ht="31.5" customHeight="1" x14ac:dyDescent="0.5">
      <c r="B28" s="41" t="s">
        <v>196</v>
      </c>
      <c r="C28" s="42">
        <f>C25*ASSUMPTIONS!C24</f>
        <v>6167.2880000000005</v>
      </c>
      <c r="D28" s="42">
        <f>D25*ASSUMPTIONS!C24</f>
        <v>6897.2880000000005</v>
      </c>
      <c r="E28" s="42" t="e">
        <f>E25*ASSUMPTIONS!C24</f>
        <v>#VALUE!</v>
      </c>
      <c r="F28" s="42" t="e">
        <f>F25*ASSUMPTIONS!C24</f>
        <v>#VALUE!</v>
      </c>
      <c r="G28" s="40" t="s">
        <v>197</v>
      </c>
    </row>
    <row r="29" spans="1:7" ht="31.5" customHeight="1" x14ac:dyDescent="0.5">
      <c r="B29" s="38" t="s">
        <v>198</v>
      </c>
      <c r="C29" s="39">
        <f>(C25+C28)*ASSUMPTIONS!C25</f>
        <v>8325.8388000000014</v>
      </c>
      <c r="D29" s="39">
        <f>(D25+D28)*ASSUMPTIONS!C25</f>
        <v>9311.3388000000014</v>
      </c>
      <c r="E29" s="39" t="e">
        <f>(E25+E28)*ASSUMPTIONS!C25</f>
        <v>#VALUE!</v>
      </c>
      <c r="F29" s="39" t="e">
        <f>(F25+F28)*ASSUMPTIONS!C25</f>
        <v>#VALUE!</v>
      </c>
      <c r="G29" s="40" t="s">
        <v>199</v>
      </c>
    </row>
    <row r="30" spans="1:7" ht="31.5" customHeight="1" x14ac:dyDescent="0.5">
      <c r="B30" s="41" t="s">
        <v>200</v>
      </c>
      <c r="C30" s="42">
        <f>(C25+C28+C29)*(ASSUMPTIONS!C26+ASSUMPTIONS!C27+ASSUMPTIONS!C28)</f>
        <v>15569.318555999998</v>
      </c>
      <c r="D30" s="42">
        <f>(D25+D28+D29)*(ASSUMPTIONS!C26+ASSUMPTIONS!C27+ASSUMPTIONS!C28)</f>
        <v>17412.203556</v>
      </c>
      <c r="E30" s="42" t="e">
        <f>(E25+E28+E29)*(ASSUMPTIONS!C26+ASSUMPTIONS!C27+ASSUMPTIONS!C28)</f>
        <v>#VALUE!</v>
      </c>
      <c r="F30" s="42" t="e">
        <f>(F25+F28+F29)*(ASSUMPTIONS!C26+ASSUMPTIONS!C27+ASSUMPTIONS!C28)</f>
        <v>#VALUE!</v>
      </c>
      <c r="G30" s="40" t="s">
        <v>201</v>
      </c>
    </row>
    <row r="31" spans="1:7" ht="31.5" customHeight="1" x14ac:dyDescent="0.5">
      <c r="B31" s="38" t="s">
        <v>202</v>
      </c>
      <c r="C31" s="39">
        <f>(C25+C28+C29+C30)*ASSUMPTIONS!C29</f>
        <v>2143.0709071199999</v>
      </c>
      <c r="D31" s="39">
        <f>(D25+D28+D29+D30)*ASSUMPTIONS!C29</f>
        <v>2396.7386071199999</v>
      </c>
      <c r="E31" s="39" t="e">
        <f>(E25+E28+E29+E30)*ASSUMPTIONS!C29</f>
        <v>#VALUE!</v>
      </c>
      <c r="F31" s="39" t="e">
        <f>(F25+F28+F29+F30)*ASSUMPTIONS!C29</f>
        <v>#VALUE!</v>
      </c>
      <c r="G31" s="40" t="s">
        <v>203</v>
      </c>
    </row>
    <row r="32" spans="1:7" ht="31.5" customHeight="1" x14ac:dyDescent="0.5">
      <c r="B32" s="45" t="s">
        <v>204</v>
      </c>
      <c r="C32" s="46">
        <f>C25+C28+C29+C30+C31</f>
        <v>109296.61626312</v>
      </c>
      <c r="D32" s="46">
        <f>D25+D28+D29+D30+D31</f>
        <v>122233.66896312</v>
      </c>
      <c r="E32" s="46" t="e">
        <f>E25+E28+E29+E30+E31</f>
        <v>#VALUE!</v>
      </c>
      <c r="F32" s="46" t="e">
        <f>F25+F28+F29+F30+F31</f>
        <v>#VALUE!</v>
      </c>
      <c r="G32" s="40" t="s">
        <v>205</v>
      </c>
    </row>
    <row r="33" spans="1:7" ht="15.75" customHeight="1" x14ac:dyDescent="0.5"/>
    <row r="34" spans="1:7" ht="31.5" customHeight="1" x14ac:dyDescent="0.5">
      <c r="B34" s="41" t="s">
        <v>206</v>
      </c>
      <c r="C34" s="47">
        <f>IFERROR(C32/ASSUMPTIONS!C10,0)</f>
        <v>0</v>
      </c>
      <c r="D34" s="47">
        <f>IFERROR(D32/ASSUMPTIONS!C10,0)</f>
        <v>0</v>
      </c>
      <c r="E34" s="47">
        <f>IFERROR(E32/ASSUMPTIONS!C10,0)</f>
        <v>0</v>
      </c>
      <c r="F34" s="47">
        <f>IFERROR(F32/ASSUMPTIONS!C10,0)</f>
        <v>0</v>
      </c>
      <c r="G34" s="40" t="s">
        <v>207</v>
      </c>
    </row>
    <row r="35" spans="1:7" ht="15.75" customHeight="1" x14ac:dyDescent="0.5"/>
    <row r="36" spans="1:7" ht="15.75" customHeight="1" x14ac:dyDescent="0.5"/>
    <row r="37" spans="1:7" ht="15.75" customHeight="1" x14ac:dyDescent="0.5">
      <c r="A37" s="27"/>
      <c r="B37" s="28" t="s">
        <v>208</v>
      </c>
      <c r="C37" s="27"/>
      <c r="D37" s="27"/>
      <c r="E37" s="27"/>
      <c r="F37" s="27"/>
      <c r="G37" s="27"/>
    </row>
    <row r="38" spans="1:7" ht="31.5" customHeight="1" x14ac:dyDescent="0.5">
      <c r="B38" s="41" t="s">
        <v>209</v>
      </c>
      <c r="C38" s="42">
        <f>'SOFT COSTS'!F54</f>
        <v>0</v>
      </c>
      <c r="D38" s="42">
        <f>'SOFT COSTS'!F54</f>
        <v>0</v>
      </c>
      <c r="E38" s="42">
        <f>'SOFT COSTS'!F54</f>
        <v>0</v>
      </c>
      <c r="F38" s="42">
        <f>'SOFT COSTS'!F54</f>
        <v>0</v>
      </c>
      <c r="G38" s="40" t="s">
        <v>210</v>
      </c>
    </row>
    <row r="39" spans="1:7" ht="31.5" customHeight="1" x14ac:dyDescent="0.5">
      <c r="B39" s="38" t="s">
        <v>211</v>
      </c>
      <c r="C39" s="39">
        <f>'SOFT COSTS'!F84</f>
        <v>0</v>
      </c>
      <c r="D39" s="39">
        <f>'SOFT COSTS'!F84</f>
        <v>0</v>
      </c>
      <c r="E39" s="39">
        <f>'SOFT COSTS'!F84</f>
        <v>0</v>
      </c>
      <c r="F39" s="39">
        <f>'SOFT COSTS'!F84</f>
        <v>0</v>
      </c>
      <c r="G39" s="40" t="s">
        <v>212</v>
      </c>
    </row>
    <row r="40" spans="1:7" ht="31.5" customHeight="1" x14ac:dyDescent="0.5">
      <c r="B40" s="41" t="s">
        <v>213</v>
      </c>
      <c r="C40" s="42">
        <f>'SOFT COSTS'!F85</f>
        <v>0</v>
      </c>
      <c r="D40" s="42">
        <f>'SOFT COSTS'!F85</f>
        <v>0</v>
      </c>
      <c r="E40" s="42">
        <f>'SOFT COSTS'!F85</f>
        <v>0</v>
      </c>
      <c r="F40" s="42">
        <f>'SOFT COSTS'!F85</f>
        <v>0</v>
      </c>
      <c r="G40" s="40" t="s">
        <v>214</v>
      </c>
    </row>
    <row r="41" spans="1:7" ht="31.5" customHeight="1" x14ac:dyDescent="0.5">
      <c r="B41" s="43" t="s">
        <v>215</v>
      </c>
      <c r="C41" s="44">
        <f>'SOFT COSTS'!F86</f>
        <v>0</v>
      </c>
      <c r="D41" s="44">
        <f>'SOFT COSTS'!F86</f>
        <v>0</v>
      </c>
      <c r="E41" s="44">
        <f>'SOFT COSTS'!F86</f>
        <v>0</v>
      </c>
      <c r="F41" s="44">
        <f>'SOFT COSTS'!F86</f>
        <v>0</v>
      </c>
      <c r="G41" s="40" t="s">
        <v>216</v>
      </c>
    </row>
    <row r="42" spans="1:7" ht="31.5" customHeight="1" x14ac:dyDescent="0.5">
      <c r="B42" s="41" t="s">
        <v>217</v>
      </c>
      <c r="C42" s="42">
        <f>'TOTAL PROJECT BUDGET'!C34</f>
        <v>0</v>
      </c>
      <c r="D42" s="42">
        <f>'TOTAL PROJECT BUDGET'!C34</f>
        <v>0</v>
      </c>
      <c r="E42" s="42">
        <f>'TOTAL PROJECT BUDGET'!C34</f>
        <v>0</v>
      </c>
      <c r="F42" s="42">
        <f>'TOTAL PROJECT BUDGET'!C34</f>
        <v>0</v>
      </c>
      <c r="G42" s="40" t="s">
        <v>218</v>
      </c>
    </row>
    <row r="43" spans="1:7" ht="31.5" customHeight="1" x14ac:dyDescent="0.5">
      <c r="B43" s="45" t="s">
        <v>146</v>
      </c>
      <c r="C43" s="46">
        <f>'TOTAL PROJECT BUDGET'!C36</f>
        <v>0</v>
      </c>
      <c r="D43" s="46">
        <f>'TOTAL PROJECT BUDGET'!C36</f>
        <v>0</v>
      </c>
      <c r="E43" s="46">
        <f>'TOTAL PROJECT BUDGET'!C36</f>
        <v>0</v>
      </c>
      <c r="F43" s="46">
        <f>'TOTAL PROJECT BUDGET'!C36</f>
        <v>0</v>
      </c>
      <c r="G43" s="40" t="s">
        <v>219</v>
      </c>
    </row>
    <row r="45" spans="1:7" ht="19.5" customHeight="1" x14ac:dyDescent="0.5">
      <c r="A45" s="48"/>
      <c r="B45" s="49" t="s">
        <v>220</v>
      </c>
      <c r="C45" s="48"/>
      <c r="D45" s="48"/>
      <c r="E45" s="48"/>
      <c r="F45" s="48"/>
      <c r="G45" s="48"/>
    </row>
    <row r="46" spans="1:7" ht="15" customHeight="1" x14ac:dyDescent="0.5">
      <c r="B46" s="50" t="s">
        <v>221</v>
      </c>
      <c r="C46" s="51">
        <f>234000</f>
        <v>234000</v>
      </c>
      <c r="D46" s="51">
        <f>234000</f>
        <v>234000</v>
      </c>
      <c r="E46" s="51">
        <f>234000</f>
        <v>234000</v>
      </c>
      <c r="F46" s="51">
        <f>234000</f>
        <v>234000</v>
      </c>
    </row>
    <row r="47" spans="1:7" ht="15" customHeight="1" x14ac:dyDescent="0.5">
      <c r="B47" s="52" t="s">
        <v>222</v>
      </c>
      <c r="C47" s="53">
        <f>-234000</f>
        <v>-234000</v>
      </c>
      <c r="D47" s="53">
        <f>-234000</f>
        <v>-234000</v>
      </c>
      <c r="E47" s="53">
        <f>-234000</f>
        <v>-234000</v>
      </c>
      <c r="F47" s="53">
        <f>-234000</f>
        <v>-234000</v>
      </c>
    </row>
    <row r="48" spans="1:7" ht="15" customHeight="1" x14ac:dyDescent="0.5">
      <c r="B48" s="54" t="s">
        <v>223</v>
      </c>
      <c r="C48" s="55">
        <f>0</f>
        <v>0</v>
      </c>
      <c r="D48" s="55">
        <f>0</f>
        <v>0</v>
      </c>
      <c r="E48" s="55">
        <f>0</f>
        <v>0</v>
      </c>
      <c r="F48" s="55">
        <f>0</f>
        <v>0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96B23"/>
  </sheetPr>
  <dimension ref="A1:J176"/>
  <sheetViews>
    <sheetView tabSelected="1" topLeftCell="A3" zoomScaleNormal="100" workbookViewId="0">
      <selection activeCell="E20" sqref="E20"/>
    </sheetView>
  </sheetViews>
  <sheetFormatPr defaultColWidth="8.703125" defaultRowHeight="14.35" x14ac:dyDescent="0.5"/>
  <cols>
    <col min="1" max="1" width="2" customWidth="1"/>
    <col min="2" max="2" width="55.76171875" customWidth="1"/>
    <col min="3" max="3" width="13" customWidth="1"/>
    <col min="4" max="7" width="16" customWidth="1"/>
    <col min="8" max="9" width="13" customWidth="1"/>
    <col min="10" max="10" width="46" customWidth="1"/>
  </cols>
  <sheetData>
    <row r="1" spans="1:10" ht="21.75" customHeight="1" x14ac:dyDescent="0.5">
      <c r="A1" s="16"/>
      <c r="B1" s="56" t="s">
        <v>224</v>
      </c>
      <c r="C1" s="16"/>
      <c r="D1" s="16"/>
      <c r="E1" s="16"/>
      <c r="F1" s="16"/>
      <c r="G1" s="16"/>
      <c r="H1" s="16"/>
      <c r="I1" s="16"/>
      <c r="J1" s="16"/>
    </row>
    <row r="2" spans="1:10" ht="15.75" customHeight="1" x14ac:dyDescent="0.5">
      <c r="A2" s="16"/>
      <c r="B2" s="5" t="str">
        <f>ASSUMPTIONS!C5</f>
        <v>Forward Home — Type D 10-Unit Cluster</v>
      </c>
      <c r="C2" s="5"/>
      <c r="D2" s="5"/>
      <c r="E2" s="5"/>
      <c r="F2" s="5"/>
      <c r="G2" s="5"/>
      <c r="H2" s="5"/>
      <c r="I2" s="5"/>
    </row>
    <row r="3" spans="1:10" ht="36" customHeight="1" x14ac:dyDescent="0.5">
      <c r="A3" s="16"/>
      <c r="B3" s="57" t="s">
        <v>225</v>
      </c>
      <c r="C3" s="58" t="s">
        <v>226</v>
      </c>
      <c r="D3" s="59" t="s">
        <v>227</v>
      </c>
      <c r="E3" s="59" t="s">
        <v>228</v>
      </c>
      <c r="F3" s="59" t="s">
        <v>229</v>
      </c>
      <c r="G3" s="59" t="s">
        <v>230</v>
      </c>
      <c r="H3" s="59" t="s">
        <v>231</v>
      </c>
      <c r="I3" s="59" t="s">
        <v>232</v>
      </c>
      <c r="J3" s="57" t="s">
        <v>233</v>
      </c>
    </row>
    <row r="4" spans="1:10" ht="15.75" customHeight="1" x14ac:dyDescent="0.5">
      <c r="A4" s="16"/>
      <c r="B4" s="17" t="s">
        <v>234</v>
      </c>
      <c r="C4" s="16"/>
      <c r="D4" s="16"/>
      <c r="E4" s="16"/>
      <c r="F4" s="16"/>
      <c r="G4" s="16"/>
      <c r="H4" s="16"/>
      <c r="I4" s="16"/>
      <c r="J4" s="16"/>
    </row>
    <row r="5" spans="1:10" ht="15.75" customHeight="1" x14ac:dyDescent="0.5">
      <c r="A5" s="60"/>
      <c r="B5" s="61" t="s">
        <v>235</v>
      </c>
      <c r="C5" s="62" t="s">
        <v>236</v>
      </c>
      <c r="D5" s="60"/>
      <c r="E5" s="60"/>
      <c r="F5" s="60"/>
      <c r="G5" s="60"/>
      <c r="H5" s="60"/>
      <c r="I5" s="60"/>
      <c r="J5" s="60"/>
    </row>
    <row r="6" spans="1:10" ht="31.5" customHeight="1" x14ac:dyDescent="0.5">
      <c r="B6" s="41" t="s">
        <v>237</v>
      </c>
      <c r="C6" s="63" t="s">
        <v>236</v>
      </c>
      <c r="D6" s="64">
        <f>D38*0.08</f>
        <v>486</v>
      </c>
      <c r="E6" s="64">
        <f>E38*0.08</f>
        <v>486</v>
      </c>
      <c r="F6" s="64" t="e">
        <f>F38*0.08</f>
        <v>#VALUE!</v>
      </c>
      <c r="G6" s="64" t="e">
        <f>G38*0.08</f>
        <v>#VALUE!</v>
      </c>
      <c r="H6" s="65" t="s">
        <v>238</v>
      </c>
      <c r="J6" s="40" t="s">
        <v>239</v>
      </c>
    </row>
    <row r="7" spans="1:10" ht="31.5" customHeight="1" x14ac:dyDescent="0.5">
      <c r="B7" s="38" t="s">
        <v>240</v>
      </c>
      <c r="C7" s="66" t="s">
        <v>241</v>
      </c>
      <c r="D7" s="67">
        <v>2500</v>
      </c>
      <c r="E7" s="67">
        <v>2500</v>
      </c>
      <c r="F7" s="67">
        <v>2500</v>
      </c>
      <c r="G7" s="67">
        <v>2500</v>
      </c>
      <c r="H7" s="68" t="s">
        <v>238</v>
      </c>
      <c r="J7" s="40" t="s">
        <v>242</v>
      </c>
    </row>
    <row r="8" spans="1:10" ht="31.5" customHeight="1" x14ac:dyDescent="0.5">
      <c r="B8" s="41" t="s">
        <v>243</v>
      </c>
      <c r="C8" s="63" t="s">
        <v>244</v>
      </c>
      <c r="D8" s="67">
        <v>800</v>
      </c>
      <c r="E8" s="67">
        <v>800</v>
      </c>
      <c r="F8" s="67">
        <v>800</v>
      </c>
      <c r="G8" s="67">
        <v>800</v>
      </c>
      <c r="H8" s="65" t="s">
        <v>238</v>
      </c>
      <c r="J8" s="40" t="s">
        <v>245</v>
      </c>
    </row>
    <row r="9" spans="1:10" ht="31.5" customHeight="1" x14ac:dyDescent="0.5">
      <c r="B9" s="38" t="s">
        <v>246</v>
      </c>
      <c r="C9" s="66" t="s">
        <v>247</v>
      </c>
      <c r="D9" s="64">
        <f>D38*0.1</f>
        <v>607.5</v>
      </c>
      <c r="E9" s="64">
        <f>E38*0.1</f>
        <v>607.5</v>
      </c>
      <c r="F9" s="64" t="e">
        <f>F38*0.1</f>
        <v>#VALUE!</v>
      </c>
      <c r="G9" s="64" t="e">
        <f>G38*0.1</f>
        <v>#VALUE!</v>
      </c>
      <c r="H9" s="68" t="s">
        <v>238</v>
      </c>
      <c r="J9" s="40" t="s">
        <v>248</v>
      </c>
    </row>
    <row r="10" spans="1:10" ht="15.75" customHeight="1" x14ac:dyDescent="0.5">
      <c r="A10" s="12"/>
      <c r="B10" s="69" t="s">
        <v>249</v>
      </c>
      <c r="C10" s="70" t="s">
        <v>250</v>
      </c>
      <c r="D10" s="44">
        <f>D6+D7+D8+D9</f>
        <v>4393.5</v>
      </c>
      <c r="E10" s="44">
        <f>E6+E7+E8+E9</f>
        <v>4393.5</v>
      </c>
      <c r="F10" s="44" t="e">
        <f>F6+F7+F8+F9</f>
        <v>#VALUE!</v>
      </c>
      <c r="G10" s="44" t="e">
        <f>G6+G7+G8+G9</f>
        <v>#VALUE!</v>
      </c>
      <c r="H10" s="12"/>
      <c r="I10" s="12"/>
      <c r="J10" s="12"/>
    </row>
    <row r="11" spans="1:10" ht="15.75" customHeight="1" x14ac:dyDescent="0.5"/>
    <row r="12" spans="1:10" ht="15.75" customHeight="1" x14ac:dyDescent="0.5">
      <c r="A12" s="60"/>
      <c r="B12" s="61" t="s">
        <v>251</v>
      </c>
      <c r="C12" s="62" t="s">
        <v>252</v>
      </c>
      <c r="D12" s="60"/>
      <c r="E12" s="60"/>
      <c r="F12" s="60"/>
      <c r="G12" s="60"/>
      <c r="H12" s="60"/>
      <c r="I12" s="60"/>
      <c r="J12" s="60"/>
    </row>
    <row r="13" spans="1:10" ht="31.5" customHeight="1" x14ac:dyDescent="0.5">
      <c r="B13" s="38" t="s">
        <v>253</v>
      </c>
      <c r="C13" s="66" t="s">
        <v>254</v>
      </c>
      <c r="D13" s="71">
        <v>0</v>
      </c>
      <c r="E13" s="71">
        <v>0</v>
      </c>
      <c r="F13" s="71">
        <v>0</v>
      </c>
      <c r="G13" s="71" t="s">
        <v>238</v>
      </c>
      <c r="H13" s="68" t="s">
        <v>238</v>
      </c>
      <c r="J13" s="40" t="s">
        <v>255</v>
      </c>
    </row>
    <row r="14" spans="1:10" ht="31.5" customHeight="1" x14ac:dyDescent="0.5">
      <c r="B14" s="41" t="s">
        <v>256</v>
      </c>
      <c r="C14" s="63" t="s">
        <v>257</v>
      </c>
      <c r="D14" s="67">
        <v>500</v>
      </c>
      <c r="E14" s="67">
        <v>500</v>
      </c>
      <c r="F14" s="67">
        <v>500</v>
      </c>
      <c r="G14" s="67">
        <v>500</v>
      </c>
      <c r="H14" s="65" t="s">
        <v>238</v>
      </c>
      <c r="J14" s="40" t="s">
        <v>258</v>
      </c>
    </row>
    <row r="15" spans="1:10" ht="31.5" customHeight="1" x14ac:dyDescent="0.5">
      <c r="B15" s="38" t="s">
        <v>259</v>
      </c>
      <c r="C15" s="66" t="s">
        <v>260</v>
      </c>
      <c r="D15" s="67">
        <v>250</v>
      </c>
      <c r="E15" s="67">
        <v>250</v>
      </c>
      <c r="F15" s="67">
        <v>250</v>
      </c>
      <c r="G15" s="67">
        <v>250</v>
      </c>
      <c r="H15" s="68" t="s">
        <v>238</v>
      </c>
      <c r="J15" s="40" t="s">
        <v>261</v>
      </c>
    </row>
    <row r="16" spans="1:10" ht="15.75" customHeight="1" x14ac:dyDescent="0.5">
      <c r="A16" s="12"/>
      <c r="B16" s="69" t="s">
        <v>262</v>
      </c>
      <c r="C16" s="70" t="s">
        <v>252</v>
      </c>
      <c r="D16" s="44">
        <f>D13+D14+D15</f>
        <v>750</v>
      </c>
      <c r="E16" s="44">
        <f>E13+E14+E15</f>
        <v>750</v>
      </c>
      <c r="F16" s="44">
        <f>F13+F14+F15</f>
        <v>750</v>
      </c>
      <c r="G16" s="44" t="e">
        <f>G13+G14+G15</f>
        <v>#VALUE!</v>
      </c>
      <c r="H16" s="12"/>
      <c r="I16" s="12"/>
      <c r="J16" s="12"/>
    </row>
    <row r="17" spans="1:10" ht="15.75" customHeight="1" x14ac:dyDescent="0.5"/>
    <row r="18" spans="1:10" ht="15.75" customHeight="1" x14ac:dyDescent="0.5">
      <c r="A18" s="60"/>
      <c r="B18" s="61" t="s">
        <v>263</v>
      </c>
      <c r="C18" s="62" t="s">
        <v>264</v>
      </c>
      <c r="D18" s="60"/>
      <c r="E18" s="60"/>
      <c r="F18" s="60"/>
      <c r="G18" s="60"/>
      <c r="H18" s="60"/>
      <c r="I18" s="60"/>
      <c r="J18" s="60"/>
    </row>
    <row r="19" spans="1:10" ht="31.5" customHeight="1" x14ac:dyDescent="0.5">
      <c r="B19" s="38" t="s">
        <v>265</v>
      </c>
      <c r="C19" s="66" t="s">
        <v>266</v>
      </c>
      <c r="D19" s="64">
        <f>ASSUMPTIONS!C11*6.5</f>
        <v>8775</v>
      </c>
      <c r="E19" s="64">
        <f>ASSUMPTIONS!C11*6.5</f>
        <v>8775</v>
      </c>
      <c r="F19" s="64" t="e">
        <f>ASSUMPTIONS!C10*6.5</f>
        <v>#VALUE!</v>
      </c>
      <c r="G19" s="64" t="e">
        <f>ASSUMPTIONS!C10*6.5</f>
        <v>#VALUE!</v>
      </c>
      <c r="H19" s="68" t="s">
        <v>238</v>
      </c>
      <c r="J19" s="40" t="s">
        <v>267</v>
      </c>
    </row>
    <row r="20" spans="1:10" ht="31.5" customHeight="1" x14ac:dyDescent="0.5">
      <c r="B20" s="41" t="s">
        <v>268</v>
      </c>
      <c r="C20" s="63" t="s">
        <v>269</v>
      </c>
      <c r="D20" s="64">
        <f>ASSUMPTIONS!C11*ASSUMPTIONS!C39*0.55</f>
        <v>12652.2</v>
      </c>
      <c r="E20" s="72">
        <v>0</v>
      </c>
      <c r="F20" s="72">
        <v>0</v>
      </c>
      <c r="G20" s="72">
        <v>0</v>
      </c>
      <c r="H20" s="65" t="s">
        <v>238</v>
      </c>
      <c r="J20" s="40" t="s">
        <v>270</v>
      </c>
    </row>
    <row r="21" spans="1:10" ht="31.5" customHeight="1" x14ac:dyDescent="0.5">
      <c r="B21" s="38" t="s">
        <v>101</v>
      </c>
      <c r="C21" s="66" t="s">
        <v>271</v>
      </c>
      <c r="D21" s="71">
        <v>0</v>
      </c>
      <c r="E21" s="64">
        <f>ASSUMPTIONS!C11*ASSUMPTIONS!C40</f>
        <v>0</v>
      </c>
      <c r="F21" s="64" t="e">
        <f>ASSUMPTIONS!C10*ASSUMPTIONS!C40</f>
        <v>#VALUE!</v>
      </c>
      <c r="G21" s="64" t="e">
        <f>ASSUMPTIONS!C10*ASSUMPTIONS!C40</f>
        <v>#VALUE!</v>
      </c>
      <c r="H21" s="68" t="s">
        <v>238</v>
      </c>
      <c r="J21" s="40" t="s">
        <v>272</v>
      </c>
    </row>
    <row r="22" spans="1:10" ht="31.5" customHeight="1" x14ac:dyDescent="0.5">
      <c r="B22" s="41" t="s">
        <v>273</v>
      </c>
      <c r="C22" s="63" t="s">
        <v>274</v>
      </c>
      <c r="D22" s="67">
        <v>200</v>
      </c>
      <c r="E22" s="67">
        <v>200</v>
      </c>
      <c r="F22" s="67">
        <v>200</v>
      </c>
      <c r="G22" s="67">
        <v>200</v>
      </c>
      <c r="H22" s="65" t="s">
        <v>238</v>
      </c>
      <c r="J22" s="40" t="s">
        <v>275</v>
      </c>
    </row>
    <row r="23" spans="1:10" ht="15.75" customHeight="1" x14ac:dyDescent="0.5">
      <c r="A23" s="12"/>
      <c r="B23" s="69" t="s">
        <v>276</v>
      </c>
      <c r="C23" s="70" t="s">
        <v>264</v>
      </c>
      <c r="D23" s="44">
        <f>D19+D20+D21+D22</f>
        <v>21627.200000000001</v>
      </c>
      <c r="E23" s="44">
        <f>E19+E20+E21+E22</f>
        <v>8975</v>
      </c>
      <c r="F23" s="44" t="e">
        <f>F19+F20+F21+F22</f>
        <v>#VALUE!</v>
      </c>
      <c r="G23" s="44" t="e">
        <f>G19+G20+G21+G22</f>
        <v>#VALUE!</v>
      </c>
      <c r="H23" s="12"/>
      <c r="I23" s="12"/>
      <c r="J23" s="12"/>
    </row>
    <row r="24" spans="1:10" ht="15.75" customHeight="1" x14ac:dyDescent="0.5"/>
    <row r="25" spans="1:10" ht="15.75" customHeight="1" x14ac:dyDescent="0.5">
      <c r="A25" s="60"/>
      <c r="B25" s="61" t="s">
        <v>277</v>
      </c>
      <c r="C25" s="62" t="s">
        <v>278</v>
      </c>
      <c r="D25" s="60"/>
      <c r="E25" s="60"/>
      <c r="F25" s="60"/>
      <c r="G25" s="60"/>
      <c r="H25" s="60"/>
      <c r="I25" s="60"/>
      <c r="J25" s="60"/>
    </row>
    <row r="26" spans="1:10" ht="31.5" customHeight="1" x14ac:dyDescent="0.5">
      <c r="B26" s="41" t="s">
        <v>279</v>
      </c>
      <c r="C26" s="63" t="s">
        <v>280</v>
      </c>
      <c r="D26" s="64">
        <f>ASSUMPTIONS!C11*ASSUMPTIONS!C39*0.45</f>
        <v>10351.800000000001</v>
      </c>
      <c r="E26" s="64">
        <f>ASSUMPTIONS!C11*ASSUMPTIONS!C39*0.45</f>
        <v>10351.800000000001</v>
      </c>
      <c r="F26" s="64" t="e">
        <f>ASSUMPTIONS!C10*ASSUMPTIONS!C39*0.45</f>
        <v>#VALUE!</v>
      </c>
      <c r="G26" s="64" t="e">
        <f>ASSUMPTIONS!C10*ASSUMPTIONS!C39*0.45</f>
        <v>#VALUE!</v>
      </c>
      <c r="H26" s="65" t="s">
        <v>238</v>
      </c>
      <c r="J26" s="40" t="s">
        <v>281</v>
      </c>
    </row>
    <row r="27" spans="1:10" ht="31.5" customHeight="1" x14ac:dyDescent="0.5">
      <c r="B27" s="38" t="s">
        <v>282</v>
      </c>
      <c r="C27" s="66" t="s">
        <v>283</v>
      </c>
      <c r="D27" s="67">
        <v>400</v>
      </c>
      <c r="E27" s="67">
        <v>400</v>
      </c>
      <c r="F27" s="67">
        <v>400</v>
      </c>
      <c r="G27" s="67">
        <v>400</v>
      </c>
      <c r="H27" s="68" t="s">
        <v>238</v>
      </c>
      <c r="J27" s="40" t="s">
        <v>284</v>
      </c>
    </row>
    <row r="28" spans="1:10" ht="31.5" customHeight="1" x14ac:dyDescent="0.5">
      <c r="B28" s="41" t="s">
        <v>285</v>
      </c>
      <c r="C28" s="63" t="s">
        <v>286</v>
      </c>
      <c r="D28" s="67">
        <v>150</v>
      </c>
      <c r="E28" s="67">
        <v>150</v>
      </c>
      <c r="F28" s="67">
        <v>150</v>
      </c>
      <c r="G28" s="67">
        <v>150</v>
      </c>
      <c r="H28" s="65" t="s">
        <v>238</v>
      </c>
      <c r="J28" s="40" t="s">
        <v>287</v>
      </c>
    </row>
    <row r="29" spans="1:10" ht="15.75" customHeight="1" x14ac:dyDescent="0.5">
      <c r="A29" s="12"/>
      <c r="B29" s="69" t="s">
        <v>288</v>
      </c>
      <c r="C29" s="70" t="s">
        <v>278</v>
      </c>
      <c r="D29" s="44">
        <f>D26+D27+D28</f>
        <v>10901.800000000001</v>
      </c>
      <c r="E29" s="44">
        <f>E26+E27+E28</f>
        <v>10901.800000000001</v>
      </c>
      <c r="F29" s="44" t="e">
        <f>F26+F27+F28</f>
        <v>#VALUE!</v>
      </c>
      <c r="G29" s="44" t="e">
        <f>G26+G27+G28</f>
        <v>#VALUE!</v>
      </c>
      <c r="H29" s="12"/>
      <c r="I29" s="12"/>
      <c r="J29" s="12"/>
    </row>
    <row r="30" spans="1:10" ht="15.75" customHeight="1" x14ac:dyDescent="0.5"/>
    <row r="31" spans="1:10" ht="15.75" customHeight="1" x14ac:dyDescent="0.5">
      <c r="A31" s="60"/>
      <c r="B31" s="61" t="s">
        <v>289</v>
      </c>
      <c r="C31" s="62" t="s">
        <v>290</v>
      </c>
      <c r="D31" s="60"/>
      <c r="E31" s="60"/>
      <c r="F31" s="60"/>
      <c r="G31" s="60"/>
      <c r="H31" s="60"/>
      <c r="I31" s="60"/>
      <c r="J31" s="60"/>
    </row>
    <row r="32" spans="1:10" ht="31.5" customHeight="1" x14ac:dyDescent="0.5">
      <c r="B32" s="41" t="s">
        <v>291</v>
      </c>
      <c r="C32" s="63" t="s">
        <v>292</v>
      </c>
      <c r="D32" s="67">
        <v>1200</v>
      </c>
      <c r="E32" s="67">
        <v>1200</v>
      </c>
      <c r="F32" s="67">
        <v>1800</v>
      </c>
      <c r="G32" s="67">
        <v>1800</v>
      </c>
      <c r="H32" s="65" t="s">
        <v>238</v>
      </c>
      <c r="J32" s="40" t="s">
        <v>293</v>
      </c>
    </row>
    <row r="33" spans="1:10" ht="31.5" customHeight="1" x14ac:dyDescent="0.5">
      <c r="B33" s="38" t="s">
        <v>294</v>
      </c>
      <c r="C33" s="66" t="s">
        <v>295</v>
      </c>
      <c r="D33" s="67">
        <v>3500</v>
      </c>
      <c r="E33" s="67">
        <v>3500</v>
      </c>
      <c r="F33" s="67">
        <v>3500</v>
      </c>
      <c r="G33" s="67">
        <v>3500</v>
      </c>
      <c r="H33" s="68" t="s">
        <v>238</v>
      </c>
      <c r="J33" s="40" t="s">
        <v>296</v>
      </c>
    </row>
    <row r="34" spans="1:10" ht="31.5" customHeight="1" x14ac:dyDescent="0.5">
      <c r="B34" s="41" t="s">
        <v>297</v>
      </c>
      <c r="C34" s="63" t="s">
        <v>298</v>
      </c>
      <c r="D34" s="67">
        <v>1800</v>
      </c>
      <c r="E34" s="67">
        <v>1800</v>
      </c>
      <c r="F34" s="67">
        <v>1800</v>
      </c>
      <c r="G34" s="67">
        <v>1800</v>
      </c>
      <c r="H34" s="65" t="s">
        <v>238</v>
      </c>
      <c r="J34" s="40" t="s">
        <v>299</v>
      </c>
    </row>
    <row r="35" spans="1:10" ht="15.75" customHeight="1" x14ac:dyDescent="0.5">
      <c r="A35" s="12"/>
      <c r="B35" s="69" t="s">
        <v>300</v>
      </c>
      <c r="C35" s="70" t="s">
        <v>290</v>
      </c>
      <c r="D35" s="44">
        <f>D32+D33+D34</f>
        <v>6500</v>
      </c>
      <c r="E35" s="44">
        <f>E32+E33+E34</f>
        <v>6500</v>
      </c>
      <c r="F35" s="44">
        <f>F32+F33+F34</f>
        <v>7100</v>
      </c>
      <c r="G35" s="44">
        <f>G32+G33+G34</f>
        <v>7100</v>
      </c>
      <c r="H35" s="12"/>
      <c r="I35" s="12"/>
      <c r="J35" s="12"/>
    </row>
    <row r="36" spans="1:10" ht="15.75" customHeight="1" x14ac:dyDescent="0.5"/>
    <row r="37" spans="1:10" ht="15.75" customHeight="1" x14ac:dyDescent="0.5">
      <c r="A37" s="60"/>
      <c r="B37" s="61" t="s">
        <v>301</v>
      </c>
      <c r="C37" s="62" t="s">
        <v>302</v>
      </c>
      <c r="D37" s="60"/>
      <c r="E37" s="60"/>
      <c r="F37" s="60"/>
      <c r="G37" s="60"/>
      <c r="H37" s="60"/>
      <c r="I37" s="60"/>
      <c r="J37" s="60"/>
    </row>
    <row r="38" spans="1:10" ht="31.5" customHeight="1" x14ac:dyDescent="0.5">
      <c r="B38" s="41" t="s">
        <v>303</v>
      </c>
      <c r="C38" s="63" t="s">
        <v>304</v>
      </c>
      <c r="D38" s="64">
        <f>ASSUMPTIONS!C11*4.5</f>
        <v>6075</v>
      </c>
      <c r="E38" s="64">
        <f>ASSUMPTIONS!C11*4.5</f>
        <v>6075</v>
      </c>
      <c r="F38" s="72" t="s">
        <v>238</v>
      </c>
      <c r="G38" s="72" t="s">
        <v>238</v>
      </c>
      <c r="H38" s="65" t="s">
        <v>238</v>
      </c>
      <c r="J38" s="40" t="s">
        <v>305</v>
      </c>
    </row>
    <row r="39" spans="1:10" ht="31.5" customHeight="1" x14ac:dyDescent="0.5">
      <c r="B39" s="38" t="s">
        <v>306</v>
      </c>
      <c r="C39" s="66" t="s">
        <v>307</v>
      </c>
      <c r="D39" s="71">
        <v>0</v>
      </c>
      <c r="E39" s="71">
        <v>0</v>
      </c>
      <c r="F39" s="64" t="e">
        <f>ASSUMPTIONS!C10*9.8</f>
        <v>#VALUE!</v>
      </c>
      <c r="G39" s="64" t="e">
        <f>ASSUMPTIONS!C10*9.8</f>
        <v>#VALUE!</v>
      </c>
      <c r="H39" s="68" t="s">
        <v>238</v>
      </c>
      <c r="J39" s="40" t="s">
        <v>308</v>
      </c>
    </row>
    <row r="40" spans="1:10" ht="31.5" customHeight="1" x14ac:dyDescent="0.5">
      <c r="B40" s="41" t="s">
        <v>309</v>
      </c>
      <c r="C40" s="63" t="s">
        <v>310</v>
      </c>
      <c r="D40" s="64">
        <f>ASSUMPTIONS!C11*5.2</f>
        <v>7020</v>
      </c>
      <c r="E40" s="64">
        <f>ASSUMPTIONS!C11*5.2</f>
        <v>7020</v>
      </c>
      <c r="F40" s="64" t="e">
        <f>ASSUMPTIONS!C10*5.2</f>
        <v>#VALUE!</v>
      </c>
      <c r="G40" s="64" t="e">
        <f>ASSUMPTIONS!C10*5.2</f>
        <v>#VALUE!</v>
      </c>
      <c r="H40" s="65" t="s">
        <v>238</v>
      </c>
      <c r="J40" s="40" t="s">
        <v>311</v>
      </c>
    </row>
    <row r="41" spans="1:10" ht="31.5" customHeight="1" x14ac:dyDescent="0.5">
      <c r="B41" s="38" t="s">
        <v>312</v>
      </c>
      <c r="C41" s="66" t="s">
        <v>313</v>
      </c>
      <c r="D41" s="64">
        <f>ASSUMPTIONS!C11*4.8</f>
        <v>6480</v>
      </c>
      <c r="E41" s="64">
        <f>ASSUMPTIONS!C11*4.8</f>
        <v>6480</v>
      </c>
      <c r="F41" s="64" t="e">
        <f>ASSUMPTIONS!C10*4.8</f>
        <v>#VALUE!</v>
      </c>
      <c r="G41" s="64" t="e">
        <f>ASSUMPTIONS!C10*4.8</f>
        <v>#VALUE!</v>
      </c>
      <c r="H41" s="68" t="s">
        <v>238</v>
      </c>
      <c r="J41" s="40" t="s">
        <v>314</v>
      </c>
    </row>
    <row r="42" spans="1:10" ht="31.5" customHeight="1" x14ac:dyDescent="0.5">
      <c r="B42" s="41" t="s">
        <v>315</v>
      </c>
      <c r="C42" s="63" t="s">
        <v>316</v>
      </c>
      <c r="D42" s="67">
        <v>800</v>
      </c>
      <c r="E42" s="67">
        <v>800</v>
      </c>
      <c r="F42" s="67">
        <v>800</v>
      </c>
      <c r="G42" s="67">
        <v>800</v>
      </c>
      <c r="H42" s="65" t="s">
        <v>238</v>
      </c>
      <c r="J42" s="40" t="s">
        <v>317</v>
      </c>
    </row>
    <row r="43" spans="1:10" ht="31.5" customHeight="1" x14ac:dyDescent="0.5">
      <c r="B43" s="38" t="s">
        <v>318</v>
      </c>
      <c r="C43" s="66" t="s">
        <v>319</v>
      </c>
      <c r="D43" s="67">
        <v>4500</v>
      </c>
      <c r="E43" s="67">
        <v>4500</v>
      </c>
      <c r="F43" s="67">
        <v>4500</v>
      </c>
      <c r="G43" s="67">
        <v>4500</v>
      </c>
      <c r="H43" s="68" t="s">
        <v>238</v>
      </c>
      <c r="J43" s="40" t="s">
        <v>320</v>
      </c>
    </row>
    <row r="44" spans="1:10" ht="15.75" customHeight="1" x14ac:dyDescent="0.5">
      <c r="A44" s="12"/>
      <c r="B44" s="69" t="s">
        <v>321</v>
      </c>
      <c r="C44" s="70" t="s">
        <v>302</v>
      </c>
      <c r="D44" s="44">
        <f>D38+D39+D40+D41+D42+D43</f>
        <v>24875</v>
      </c>
      <c r="E44" s="44">
        <f>E38+E39+E40+E41+E42+E43</f>
        <v>24875</v>
      </c>
      <c r="F44" s="44" t="e">
        <f>F38+F39+F40+F41+F42+F43</f>
        <v>#VALUE!</v>
      </c>
      <c r="G44" s="44" t="e">
        <f>G38+G39+G40+G41+G42+G43</f>
        <v>#VALUE!</v>
      </c>
      <c r="H44" s="12"/>
      <c r="I44" s="12"/>
      <c r="J44" s="12"/>
    </row>
    <row r="45" spans="1:10" ht="15.75" customHeight="1" x14ac:dyDescent="0.5"/>
    <row r="46" spans="1:10" ht="15.75" customHeight="1" x14ac:dyDescent="0.5">
      <c r="A46" s="60"/>
      <c r="B46" s="61" t="s">
        <v>322</v>
      </c>
      <c r="C46" s="62" t="s">
        <v>323</v>
      </c>
      <c r="D46" s="60"/>
      <c r="E46" s="60"/>
      <c r="F46" s="60"/>
      <c r="G46" s="60"/>
      <c r="H46" s="60"/>
      <c r="I46" s="60"/>
      <c r="J46" s="60"/>
    </row>
    <row r="47" spans="1:10" ht="31.5" customHeight="1" x14ac:dyDescent="0.5">
      <c r="B47" s="38" t="s">
        <v>324</v>
      </c>
      <c r="C47" s="66" t="s">
        <v>325</v>
      </c>
      <c r="D47" s="64">
        <f>ASSUMPTIONS!C11*ASSUMPTIONS!C38</f>
        <v>22005</v>
      </c>
      <c r="E47" s="64">
        <f>ASSUMPTIONS!C11*ASSUMPTIONS!C38</f>
        <v>22005</v>
      </c>
      <c r="F47" s="64" t="e">
        <f>ASSUMPTIONS!C10*ASSUMPTIONS!C38</f>
        <v>#VALUE!</v>
      </c>
      <c r="G47" s="64" t="e">
        <f>ASSUMPTIONS!C10*ASSUMPTIONS!C38</f>
        <v>#VALUE!</v>
      </c>
      <c r="H47" s="68" t="s">
        <v>238</v>
      </c>
      <c r="J47" s="40" t="s">
        <v>326</v>
      </c>
    </row>
    <row r="48" spans="1:10" ht="31.5" customHeight="1" x14ac:dyDescent="0.5">
      <c r="B48" s="41" t="s">
        <v>327</v>
      </c>
      <c r="C48" s="63" t="s">
        <v>328</v>
      </c>
      <c r="D48" s="64">
        <f>ASSUMPTIONS!C11*1.2</f>
        <v>1620</v>
      </c>
      <c r="E48" s="64">
        <f>ASSUMPTIONS!C11*1.4</f>
        <v>1889.9999999999998</v>
      </c>
      <c r="F48" s="64" t="e">
        <f>ASSUMPTIONS!C10*1.4</f>
        <v>#VALUE!</v>
      </c>
      <c r="G48" s="64" t="e">
        <f>ASSUMPTIONS!C10*1.4</f>
        <v>#VALUE!</v>
      </c>
      <c r="H48" s="65" t="s">
        <v>238</v>
      </c>
      <c r="J48" s="40" t="s">
        <v>329</v>
      </c>
    </row>
    <row r="49" spans="1:10" ht="31.5" customHeight="1" x14ac:dyDescent="0.5">
      <c r="B49" s="38" t="s">
        <v>330</v>
      </c>
      <c r="C49" s="66" t="s">
        <v>331</v>
      </c>
      <c r="D49" s="64">
        <f>ASSUMPTIONS!C11*3.2</f>
        <v>4320</v>
      </c>
      <c r="E49" s="64">
        <f>ASSUMPTIONS!C11*3.2</f>
        <v>4320</v>
      </c>
      <c r="F49" s="64" t="e">
        <f>ASSUMPTIONS!C10*3.2</f>
        <v>#VALUE!</v>
      </c>
      <c r="G49" s="64" t="e">
        <f>ASSUMPTIONS!C10*3.2</f>
        <v>#VALUE!</v>
      </c>
      <c r="H49" s="68" t="s">
        <v>238</v>
      </c>
      <c r="J49" s="40" t="s">
        <v>332</v>
      </c>
    </row>
    <row r="50" spans="1:10" ht="31.5" customHeight="1" x14ac:dyDescent="0.5">
      <c r="B50" s="41" t="s">
        <v>333</v>
      </c>
      <c r="C50" s="63" t="s">
        <v>334</v>
      </c>
      <c r="D50" s="72">
        <v>0</v>
      </c>
      <c r="E50" s="72">
        <v>0</v>
      </c>
      <c r="F50" s="64" t="e">
        <f>ASSUMPTIONS!C10*1.33</f>
        <v>#VALUE!</v>
      </c>
      <c r="G50" s="64" t="e">
        <f>ASSUMPTIONS!C10*1.33</f>
        <v>#VALUE!</v>
      </c>
      <c r="H50" s="65" t="s">
        <v>238</v>
      </c>
      <c r="J50" s="40" t="s">
        <v>335</v>
      </c>
    </row>
    <row r="51" spans="1:10" ht="31.5" customHeight="1" x14ac:dyDescent="0.5">
      <c r="B51" s="38" t="s">
        <v>336</v>
      </c>
      <c r="C51" s="66" t="s">
        <v>337</v>
      </c>
      <c r="D51" s="64">
        <f>ASSUMPTIONS!C11*4.8</f>
        <v>6480</v>
      </c>
      <c r="E51" s="64">
        <f>ASSUMPTIONS!C11*4.8</f>
        <v>6480</v>
      </c>
      <c r="F51" s="71">
        <v>0</v>
      </c>
      <c r="G51" s="71">
        <v>0</v>
      </c>
      <c r="H51" s="68" t="s">
        <v>238</v>
      </c>
      <c r="J51" s="40" t="s">
        <v>338</v>
      </c>
    </row>
    <row r="52" spans="1:10" ht="31.5" customHeight="1" x14ac:dyDescent="0.5">
      <c r="B52" s="41" t="s">
        <v>339</v>
      </c>
      <c r="C52" s="63" t="s">
        <v>340</v>
      </c>
      <c r="D52" s="67">
        <v>600</v>
      </c>
      <c r="E52" s="67">
        <v>600</v>
      </c>
      <c r="F52" s="67">
        <v>600</v>
      </c>
      <c r="G52" s="67">
        <v>600</v>
      </c>
      <c r="H52" s="65" t="s">
        <v>238</v>
      </c>
      <c r="J52" s="40" t="s">
        <v>341</v>
      </c>
    </row>
    <row r="53" spans="1:10" ht="31.5" customHeight="1" x14ac:dyDescent="0.5">
      <c r="B53" s="38" t="s">
        <v>342</v>
      </c>
      <c r="C53" s="66" t="s">
        <v>343</v>
      </c>
      <c r="D53" s="67">
        <v>400</v>
      </c>
      <c r="E53" s="71">
        <v>0</v>
      </c>
      <c r="F53" s="71">
        <v>0</v>
      </c>
      <c r="G53" s="71">
        <v>0</v>
      </c>
      <c r="H53" s="68" t="s">
        <v>238</v>
      </c>
      <c r="J53" s="40" t="s">
        <v>344</v>
      </c>
    </row>
    <row r="54" spans="1:10" ht="15.75" customHeight="1" x14ac:dyDescent="0.5">
      <c r="A54" s="12"/>
      <c r="B54" s="69" t="s">
        <v>345</v>
      </c>
      <c r="C54" s="70" t="s">
        <v>323</v>
      </c>
      <c r="D54" s="44">
        <f>D47+D48+D49+D50+D51+D52+D53</f>
        <v>35425</v>
      </c>
      <c r="E54" s="44">
        <f>E47+E48+E49+E50+E51+E52+E53</f>
        <v>35295</v>
      </c>
      <c r="F54" s="44" t="e">
        <f>F47+F48+F49+F50+F51+F52+F53</f>
        <v>#VALUE!</v>
      </c>
      <c r="G54" s="44" t="e">
        <f>G47+G48+G49+G50+G51+G52+G53</f>
        <v>#VALUE!</v>
      </c>
      <c r="H54" s="12"/>
      <c r="I54" s="12"/>
      <c r="J54" s="12"/>
    </row>
    <row r="55" spans="1:10" ht="15.75" customHeight="1" x14ac:dyDescent="0.5"/>
    <row r="56" spans="1:10" ht="15.75" customHeight="1" x14ac:dyDescent="0.5">
      <c r="A56" s="60"/>
      <c r="B56" s="61" t="s">
        <v>346</v>
      </c>
      <c r="C56" s="62" t="s">
        <v>347</v>
      </c>
      <c r="D56" s="60"/>
      <c r="E56" s="60"/>
      <c r="F56" s="60"/>
      <c r="G56" s="60"/>
      <c r="H56" s="60"/>
      <c r="I56" s="60"/>
      <c r="J56" s="60"/>
    </row>
    <row r="57" spans="1:10" ht="31.5" customHeight="1" x14ac:dyDescent="0.5">
      <c r="B57" s="38" t="s">
        <v>348</v>
      </c>
      <c r="C57" s="66" t="s">
        <v>349</v>
      </c>
      <c r="D57" s="67">
        <v>7800</v>
      </c>
      <c r="E57" s="67">
        <v>9200</v>
      </c>
      <c r="F57" s="71">
        <v>0</v>
      </c>
      <c r="G57" s="71">
        <v>0</v>
      </c>
      <c r="H57" s="68" t="s">
        <v>238</v>
      </c>
      <c r="J57" s="40" t="s">
        <v>350</v>
      </c>
    </row>
    <row r="58" spans="1:10" ht="31.5" customHeight="1" x14ac:dyDescent="0.5">
      <c r="B58" s="41" t="s">
        <v>351</v>
      </c>
      <c r="C58" s="63" t="s">
        <v>352</v>
      </c>
      <c r="D58" s="72">
        <v>0</v>
      </c>
      <c r="E58" s="72">
        <v>0</v>
      </c>
      <c r="F58" s="67">
        <v>13200</v>
      </c>
      <c r="G58" s="67">
        <v>13200</v>
      </c>
      <c r="H58" s="65" t="s">
        <v>238</v>
      </c>
      <c r="J58" s="40" t="s">
        <v>353</v>
      </c>
    </row>
    <row r="59" spans="1:10" ht="31.5" customHeight="1" x14ac:dyDescent="0.5">
      <c r="B59" s="38" t="s">
        <v>354</v>
      </c>
      <c r="C59" s="66" t="s">
        <v>355</v>
      </c>
      <c r="D59" s="67">
        <v>3200</v>
      </c>
      <c r="E59" s="67">
        <v>3200</v>
      </c>
      <c r="F59" s="67">
        <v>3200</v>
      </c>
      <c r="G59" s="67">
        <v>3200</v>
      </c>
      <c r="H59" s="68" t="s">
        <v>238</v>
      </c>
      <c r="J59" s="40" t="s">
        <v>356</v>
      </c>
    </row>
    <row r="60" spans="1:10" ht="31.5" customHeight="1" x14ac:dyDescent="0.5">
      <c r="B60" s="41" t="s">
        <v>357</v>
      </c>
      <c r="C60" s="63" t="s">
        <v>358</v>
      </c>
      <c r="D60" s="67">
        <v>2400</v>
      </c>
      <c r="E60" s="67">
        <v>2400</v>
      </c>
      <c r="F60" s="67">
        <v>2400</v>
      </c>
      <c r="G60" s="67">
        <v>2400</v>
      </c>
      <c r="H60" s="65" t="s">
        <v>238</v>
      </c>
      <c r="J60" s="40" t="s">
        <v>359</v>
      </c>
    </row>
    <row r="61" spans="1:10" ht="31.5" customHeight="1" x14ac:dyDescent="0.5">
      <c r="B61" s="38" t="s">
        <v>360</v>
      </c>
      <c r="C61" s="66" t="s">
        <v>361</v>
      </c>
      <c r="D61" s="67">
        <v>600</v>
      </c>
      <c r="E61" s="67">
        <v>600</v>
      </c>
      <c r="F61" s="67">
        <v>600</v>
      </c>
      <c r="G61" s="67">
        <v>600</v>
      </c>
      <c r="H61" s="68" t="s">
        <v>238</v>
      </c>
      <c r="J61" s="40" t="s">
        <v>341</v>
      </c>
    </row>
    <row r="62" spans="1:10" ht="15.75" customHeight="1" x14ac:dyDescent="0.5">
      <c r="A62" s="12"/>
      <c r="B62" s="69" t="s">
        <v>362</v>
      </c>
      <c r="C62" s="70" t="s">
        <v>347</v>
      </c>
      <c r="D62" s="44">
        <f>D57+D58+D59+D60+D61</f>
        <v>14000</v>
      </c>
      <c r="E62" s="44">
        <f>E57+E58+E59+E60+E61</f>
        <v>15400</v>
      </c>
      <c r="F62" s="44">
        <f>F57+F58+F59+F60+F61</f>
        <v>19400</v>
      </c>
      <c r="G62" s="44">
        <f>G57+G58+G59+G60+G61</f>
        <v>19400</v>
      </c>
      <c r="H62" s="12"/>
      <c r="I62" s="12"/>
      <c r="J62" s="12"/>
    </row>
    <row r="63" spans="1:10" ht="15.75" customHeight="1" x14ac:dyDescent="0.5"/>
    <row r="64" spans="1:10" ht="15.75" customHeight="1" x14ac:dyDescent="0.5">
      <c r="A64" s="60"/>
      <c r="B64" s="61" t="s">
        <v>363</v>
      </c>
      <c r="C64" s="62" t="s">
        <v>364</v>
      </c>
      <c r="D64" s="60"/>
      <c r="E64" s="60"/>
      <c r="F64" s="60"/>
      <c r="G64" s="60"/>
      <c r="H64" s="60"/>
      <c r="I64" s="60"/>
      <c r="J64" s="60"/>
    </row>
    <row r="65" spans="1:10" ht="31.5" customHeight="1" x14ac:dyDescent="0.5">
      <c r="B65" s="38" t="s">
        <v>365</v>
      </c>
      <c r="C65" s="66" t="s">
        <v>366</v>
      </c>
      <c r="D65" s="64">
        <f>ASSUMPTIONS!C11*5.2</f>
        <v>7020</v>
      </c>
      <c r="E65" s="64">
        <f>ASSUMPTIONS!C11*5.2</f>
        <v>7020</v>
      </c>
      <c r="F65" s="64" t="e">
        <f>ASSUMPTIONS!C10*5.2</f>
        <v>#VALUE!</v>
      </c>
      <c r="G65" s="64" t="e">
        <f>ASSUMPTIONS!C10*5.2</f>
        <v>#VALUE!</v>
      </c>
      <c r="H65" s="68" t="s">
        <v>238</v>
      </c>
      <c r="J65" s="40" t="s">
        <v>367</v>
      </c>
    </row>
    <row r="66" spans="1:10" ht="31.5" customHeight="1" x14ac:dyDescent="0.5">
      <c r="B66" s="41" t="s">
        <v>368</v>
      </c>
      <c r="C66" s="63" t="s">
        <v>369</v>
      </c>
      <c r="D66" s="64">
        <f>ASSUMPTIONS!C11*2.8</f>
        <v>3779.9999999999995</v>
      </c>
      <c r="E66" s="64">
        <f>ASSUMPTIONS!C11*2.8</f>
        <v>3779.9999999999995</v>
      </c>
      <c r="F66" s="64" t="e">
        <f>ASSUMPTIONS!C10*2.8</f>
        <v>#VALUE!</v>
      </c>
      <c r="G66" s="64" t="e">
        <f>ASSUMPTIONS!C10*2.8</f>
        <v>#VALUE!</v>
      </c>
      <c r="H66" s="65" t="s">
        <v>238</v>
      </c>
      <c r="J66" s="40" t="s">
        <v>370</v>
      </c>
    </row>
    <row r="67" spans="1:10" ht="31.5" customHeight="1" x14ac:dyDescent="0.5">
      <c r="B67" s="38" t="s">
        <v>371</v>
      </c>
      <c r="C67" s="66" t="s">
        <v>372</v>
      </c>
      <c r="D67" s="64">
        <f>ASSUMPTIONS!C1*3.5</f>
        <v>0</v>
      </c>
      <c r="E67" s="64">
        <f>ASSUMPTIONS!C11*3.5</f>
        <v>4725</v>
      </c>
      <c r="F67" s="64" t="e">
        <f>ASSUMPTIONS!C10*3.8</f>
        <v>#VALUE!</v>
      </c>
      <c r="G67" s="64" t="e">
        <f>ASSUMPTIONS!C10*3.8</f>
        <v>#VALUE!</v>
      </c>
      <c r="H67" s="68" t="s">
        <v>238</v>
      </c>
      <c r="J67" s="40" t="s">
        <v>373</v>
      </c>
    </row>
    <row r="68" spans="1:10" ht="31.5" customHeight="1" x14ac:dyDescent="0.5">
      <c r="B68" s="41" t="s">
        <v>374</v>
      </c>
      <c r="C68" s="63" t="s">
        <v>375</v>
      </c>
      <c r="D68" s="64">
        <f>ASSUMPTIONS!C11*1.8</f>
        <v>2430</v>
      </c>
      <c r="E68" s="64">
        <f>ASSUMPTIONS!C11*1.8</f>
        <v>2430</v>
      </c>
      <c r="F68" s="64" t="e">
        <f>ASSUMPTIONS!C10*1.8</f>
        <v>#VALUE!</v>
      </c>
      <c r="G68" s="64" t="e">
        <f>ASSUMPTIONS!C10*1.8</f>
        <v>#VALUE!</v>
      </c>
      <c r="H68" s="65" t="s">
        <v>238</v>
      </c>
      <c r="J68" s="40" t="s">
        <v>376</v>
      </c>
    </row>
    <row r="69" spans="1:10" ht="31.5" customHeight="1" x14ac:dyDescent="0.5">
      <c r="B69" s="38" t="s">
        <v>377</v>
      </c>
      <c r="C69" s="66" t="s">
        <v>378</v>
      </c>
      <c r="D69" s="64">
        <f>ASSUMPTIONS!C11*1.5</f>
        <v>2025</v>
      </c>
      <c r="E69" s="64">
        <f>ASSUMPTIONS!C11*1.5</f>
        <v>2025</v>
      </c>
      <c r="F69" s="64" t="e">
        <f>ASSUMPTIONS!C10*1.8</f>
        <v>#VALUE!</v>
      </c>
      <c r="G69" s="64" t="e">
        <f>ASSUMPTIONS!C10*1.8</f>
        <v>#VALUE!</v>
      </c>
      <c r="H69" s="68" t="s">
        <v>238</v>
      </c>
      <c r="J69" s="40" t="s">
        <v>379</v>
      </c>
    </row>
    <row r="70" spans="1:10" ht="31.5" customHeight="1" x14ac:dyDescent="0.5">
      <c r="B70" s="41" t="s">
        <v>380</v>
      </c>
      <c r="C70" s="63" t="s">
        <v>381</v>
      </c>
      <c r="D70" s="72">
        <v>0</v>
      </c>
      <c r="E70" s="67">
        <v>500</v>
      </c>
      <c r="F70" s="67">
        <v>500</v>
      </c>
      <c r="G70" s="67">
        <v>500</v>
      </c>
      <c r="H70" s="65" t="s">
        <v>238</v>
      </c>
      <c r="J70" s="40" t="s">
        <v>382</v>
      </c>
    </row>
    <row r="71" spans="1:10" ht="15.75" customHeight="1" x14ac:dyDescent="0.5">
      <c r="A71" s="12"/>
      <c r="B71" s="69" t="s">
        <v>383</v>
      </c>
      <c r="C71" s="70" t="s">
        <v>364</v>
      </c>
      <c r="D71" s="44">
        <f>D65+D66+D67+D68+D69+D70</f>
        <v>15255</v>
      </c>
      <c r="E71" s="44">
        <f>E65+E66+E67+E68+E69+E70</f>
        <v>20480</v>
      </c>
      <c r="F71" s="44" t="e">
        <f>F65+F66+F67+F68+F69+F70</f>
        <v>#VALUE!</v>
      </c>
      <c r="G71" s="44" t="e">
        <f>G65+G66+G67+G68+G69+G70</f>
        <v>#VALUE!</v>
      </c>
      <c r="H71" s="12"/>
      <c r="I71" s="12"/>
      <c r="J71" s="12"/>
    </row>
    <row r="72" spans="1:10" ht="15.75" customHeight="1" x14ac:dyDescent="0.5"/>
    <row r="73" spans="1:10" ht="15.75" customHeight="1" x14ac:dyDescent="0.5">
      <c r="A73" s="60"/>
      <c r="B73" s="61" t="s">
        <v>384</v>
      </c>
      <c r="C73" s="62" t="s">
        <v>385</v>
      </c>
      <c r="D73" s="60"/>
      <c r="E73" s="60"/>
      <c r="F73" s="60"/>
      <c r="G73" s="60"/>
      <c r="H73" s="60"/>
      <c r="I73" s="60"/>
      <c r="J73" s="60"/>
    </row>
    <row r="74" spans="1:10" ht="31.5" customHeight="1" x14ac:dyDescent="0.5">
      <c r="B74" s="41" t="s">
        <v>386</v>
      </c>
      <c r="C74" s="63" t="s">
        <v>387</v>
      </c>
      <c r="D74" s="67">
        <v>8450</v>
      </c>
      <c r="E74" s="72">
        <v>0</v>
      </c>
      <c r="F74" s="72">
        <v>0</v>
      </c>
      <c r="G74" s="72">
        <v>0</v>
      </c>
      <c r="H74" s="65">
        <v>0</v>
      </c>
      <c r="J74" s="40" t="s">
        <v>388</v>
      </c>
    </row>
    <row r="75" spans="1:10" ht="31.5" customHeight="1" x14ac:dyDescent="0.5">
      <c r="B75" s="38" t="s">
        <v>389</v>
      </c>
      <c r="C75" s="66" t="s">
        <v>390</v>
      </c>
      <c r="D75" s="71">
        <v>0</v>
      </c>
      <c r="E75" s="67">
        <v>9650</v>
      </c>
      <c r="F75" s="67">
        <v>11050</v>
      </c>
      <c r="G75" s="67">
        <v>11050</v>
      </c>
      <c r="H75" s="68" t="s">
        <v>238</v>
      </c>
      <c r="J75" s="40" t="s">
        <v>391</v>
      </c>
    </row>
    <row r="76" spans="1:10" ht="31.5" customHeight="1" x14ac:dyDescent="0.5">
      <c r="B76" s="41" t="s">
        <v>392</v>
      </c>
      <c r="C76" s="63" t="s">
        <v>393</v>
      </c>
      <c r="D76" s="67">
        <v>1200</v>
      </c>
      <c r="E76" s="67">
        <v>1200</v>
      </c>
      <c r="F76" s="67">
        <v>1200</v>
      </c>
      <c r="G76" s="67">
        <v>1200</v>
      </c>
      <c r="H76" s="65" t="s">
        <v>238</v>
      </c>
      <c r="J76" s="40" t="s">
        <v>394</v>
      </c>
    </row>
    <row r="77" spans="1:10" ht="31.5" customHeight="1" x14ac:dyDescent="0.5">
      <c r="B77" s="38" t="s">
        <v>395</v>
      </c>
      <c r="C77" s="66" t="s">
        <v>396</v>
      </c>
      <c r="D77" s="67">
        <v>300</v>
      </c>
      <c r="E77" s="67">
        <v>300</v>
      </c>
      <c r="F77" s="67">
        <v>300</v>
      </c>
      <c r="G77" s="67">
        <v>300</v>
      </c>
      <c r="H77" s="68" t="s">
        <v>238</v>
      </c>
      <c r="J77" s="40" t="s">
        <v>397</v>
      </c>
    </row>
    <row r="78" spans="1:10" ht="31.5" customHeight="1" x14ac:dyDescent="0.5">
      <c r="B78" s="41" t="s">
        <v>398</v>
      </c>
      <c r="C78" s="63" t="s">
        <v>399</v>
      </c>
      <c r="D78" s="67">
        <v>800</v>
      </c>
      <c r="E78" s="67">
        <v>800</v>
      </c>
      <c r="F78" s="67">
        <v>800</v>
      </c>
      <c r="G78" s="67">
        <v>800</v>
      </c>
      <c r="H78" s="65" t="s">
        <v>238</v>
      </c>
      <c r="J78" s="40" t="s">
        <v>400</v>
      </c>
    </row>
    <row r="79" spans="1:10" ht="31.5" customHeight="1" x14ac:dyDescent="0.5">
      <c r="B79" s="38" t="s">
        <v>401</v>
      </c>
      <c r="C79" s="66" t="s">
        <v>402</v>
      </c>
      <c r="D79" s="67">
        <v>250</v>
      </c>
      <c r="E79" s="67">
        <v>250</v>
      </c>
      <c r="F79" s="67">
        <v>250</v>
      </c>
      <c r="G79" s="67">
        <v>250</v>
      </c>
      <c r="H79" s="68" t="s">
        <v>238</v>
      </c>
      <c r="J79" s="40" t="s">
        <v>403</v>
      </c>
    </row>
    <row r="80" spans="1:10" ht="15.75" customHeight="1" x14ac:dyDescent="0.5">
      <c r="A80" s="12"/>
      <c r="B80" s="69" t="s">
        <v>404</v>
      </c>
      <c r="C80" s="70" t="s">
        <v>385</v>
      </c>
      <c r="D80" s="44">
        <f>D74+D75+D76+D77+D78+D79</f>
        <v>11000</v>
      </c>
      <c r="E80" s="44">
        <f>E74+E75+E76+E77+E78+E79</f>
        <v>12200</v>
      </c>
      <c r="F80" s="44">
        <f>F74+F75+F76+F77+F78+F79</f>
        <v>13600</v>
      </c>
      <c r="G80" s="44">
        <f>G74+G75+G76+G77+G78+G79</f>
        <v>13600</v>
      </c>
      <c r="H80" s="12"/>
      <c r="I80" s="12"/>
      <c r="J80" s="12"/>
    </row>
    <row r="81" spans="1:10" ht="15.75" customHeight="1" x14ac:dyDescent="0.5"/>
    <row r="82" spans="1:10" ht="15.75" customHeight="1" x14ac:dyDescent="0.5">
      <c r="A82" s="60"/>
      <c r="B82" s="61" t="s">
        <v>405</v>
      </c>
      <c r="C82" s="62" t="s">
        <v>406</v>
      </c>
      <c r="D82" s="60"/>
      <c r="E82" s="60"/>
      <c r="F82" s="60"/>
      <c r="G82" s="60"/>
      <c r="H82" s="60"/>
      <c r="I82" s="60"/>
      <c r="J82" s="60"/>
    </row>
    <row r="83" spans="1:10" ht="31.5" customHeight="1" x14ac:dyDescent="0.5">
      <c r="B83" s="38" t="s">
        <v>407</v>
      </c>
      <c r="C83" s="66" t="s">
        <v>408</v>
      </c>
      <c r="D83" s="67">
        <v>4500</v>
      </c>
      <c r="E83" s="67">
        <v>4500</v>
      </c>
      <c r="F83" s="67">
        <v>5000</v>
      </c>
      <c r="G83" s="67">
        <v>5000</v>
      </c>
      <c r="H83" s="68" t="s">
        <v>238</v>
      </c>
      <c r="J83" s="40" t="s">
        <v>409</v>
      </c>
    </row>
    <row r="84" spans="1:10" ht="31.5" customHeight="1" x14ac:dyDescent="0.5">
      <c r="B84" s="41" t="s">
        <v>410</v>
      </c>
      <c r="C84" s="63" t="s">
        <v>411</v>
      </c>
      <c r="D84" s="67">
        <v>2100</v>
      </c>
      <c r="E84" s="67">
        <v>2100</v>
      </c>
      <c r="F84" s="67">
        <v>2100</v>
      </c>
      <c r="G84" s="67">
        <v>2100</v>
      </c>
      <c r="H84" s="65" t="s">
        <v>238</v>
      </c>
      <c r="J84" s="40" t="s">
        <v>412</v>
      </c>
    </row>
    <row r="85" spans="1:10" ht="31.5" customHeight="1" x14ac:dyDescent="0.5">
      <c r="B85" s="38" t="s">
        <v>413</v>
      </c>
      <c r="C85" s="66" t="s">
        <v>414</v>
      </c>
      <c r="D85" s="71">
        <v>0</v>
      </c>
      <c r="E85" s="67">
        <v>750</v>
      </c>
      <c r="F85" s="67">
        <v>750</v>
      </c>
      <c r="G85" s="67">
        <v>750</v>
      </c>
      <c r="H85" s="68" t="s">
        <v>238</v>
      </c>
      <c r="J85" s="40" t="s">
        <v>415</v>
      </c>
    </row>
    <row r="86" spans="1:10" ht="31.5" customHeight="1" x14ac:dyDescent="0.5">
      <c r="B86" s="41" t="s">
        <v>416</v>
      </c>
      <c r="C86" s="63" t="s">
        <v>417</v>
      </c>
      <c r="D86" s="72">
        <v>0</v>
      </c>
      <c r="E86" s="72">
        <v>0</v>
      </c>
      <c r="F86" s="72">
        <v>0</v>
      </c>
      <c r="G86" s="67">
        <v>1000</v>
      </c>
      <c r="H86" s="65" t="s">
        <v>238</v>
      </c>
      <c r="J86" s="40" t="s">
        <v>418</v>
      </c>
    </row>
    <row r="87" spans="1:10" ht="31.5" customHeight="1" x14ac:dyDescent="0.5">
      <c r="B87" s="38" t="s">
        <v>419</v>
      </c>
      <c r="C87" s="66" t="s">
        <v>420</v>
      </c>
      <c r="D87" s="71">
        <v>0</v>
      </c>
      <c r="E87" s="71">
        <v>0</v>
      </c>
      <c r="F87" s="71">
        <v>0</v>
      </c>
      <c r="G87" s="67">
        <v>10000</v>
      </c>
      <c r="H87" s="68" t="s">
        <v>238</v>
      </c>
      <c r="J87" s="40" t="s">
        <v>421</v>
      </c>
    </row>
    <row r="88" spans="1:10" ht="15.75" customHeight="1" x14ac:dyDescent="0.5">
      <c r="A88" s="12"/>
      <c r="B88" s="69" t="s">
        <v>422</v>
      </c>
      <c r="C88" s="70" t="s">
        <v>406</v>
      </c>
      <c r="D88" s="44">
        <f>D83+D84+D85+D86+D87</f>
        <v>6600</v>
      </c>
      <c r="E88" s="44">
        <f>E83+E84+E85+E86+E87</f>
        <v>7350</v>
      </c>
      <c r="F88" s="44">
        <f>F83+F84+F85+F86+F87</f>
        <v>7850</v>
      </c>
      <c r="G88" s="44">
        <f>G83+G84+G85+G86+G87</f>
        <v>18850</v>
      </c>
      <c r="H88" s="12"/>
      <c r="I88" s="12"/>
      <c r="J88" s="12"/>
    </row>
    <row r="89" spans="1:10" ht="15.75" customHeight="1" x14ac:dyDescent="0.5"/>
    <row r="90" spans="1:10" ht="15.75" customHeight="1" x14ac:dyDescent="0.5">
      <c r="A90" s="60"/>
      <c r="B90" s="61" t="s">
        <v>423</v>
      </c>
      <c r="C90" s="62" t="s">
        <v>424</v>
      </c>
      <c r="D90" s="60"/>
      <c r="E90" s="60"/>
      <c r="F90" s="60"/>
      <c r="G90" s="60"/>
      <c r="H90" s="60"/>
      <c r="I90" s="60"/>
      <c r="J90" s="60"/>
    </row>
    <row r="91" spans="1:10" ht="31.5" customHeight="1" x14ac:dyDescent="0.5">
      <c r="B91" s="38" t="s">
        <v>425</v>
      </c>
      <c r="C91" s="66" t="s">
        <v>426</v>
      </c>
      <c r="D91" s="67">
        <v>1500</v>
      </c>
      <c r="E91" s="67">
        <v>1500</v>
      </c>
      <c r="F91" s="67">
        <v>2000</v>
      </c>
      <c r="G91" s="67">
        <v>2000</v>
      </c>
      <c r="H91" s="68" t="s">
        <v>238</v>
      </c>
      <c r="J91" s="40" t="s">
        <v>427</v>
      </c>
    </row>
    <row r="92" spans="1:10" ht="31.5" customHeight="1" x14ac:dyDescent="0.5">
      <c r="B92" s="41" t="s">
        <v>428</v>
      </c>
      <c r="C92" s="63" t="s">
        <v>429</v>
      </c>
      <c r="D92" s="67">
        <v>600</v>
      </c>
      <c r="E92" s="67">
        <v>600</v>
      </c>
      <c r="F92" s="67">
        <v>800</v>
      </c>
      <c r="G92" s="67">
        <v>800</v>
      </c>
      <c r="H92" s="65" t="s">
        <v>238</v>
      </c>
      <c r="J92" s="40" t="s">
        <v>430</v>
      </c>
    </row>
    <row r="93" spans="1:10" ht="15.75" customHeight="1" x14ac:dyDescent="0.5">
      <c r="A93" s="12"/>
      <c r="B93" s="69" t="s">
        <v>431</v>
      </c>
      <c r="C93" s="70" t="s">
        <v>424</v>
      </c>
      <c r="D93" s="44">
        <f>D91+D92</f>
        <v>2100</v>
      </c>
      <c r="E93" s="44">
        <f>E91+E92</f>
        <v>2100</v>
      </c>
      <c r="F93" s="44">
        <f>F91+F92</f>
        <v>2800</v>
      </c>
      <c r="G93" s="44">
        <f>G91+G92</f>
        <v>2800</v>
      </c>
      <c r="H93" s="12"/>
      <c r="I93" s="12"/>
      <c r="J93" s="12"/>
    </row>
    <row r="94" spans="1:10" ht="15.75" customHeight="1" x14ac:dyDescent="0.5"/>
    <row r="95" spans="1:10" ht="15.75" customHeight="1" x14ac:dyDescent="0.5">
      <c r="A95" s="60"/>
      <c r="B95" s="61" t="s">
        <v>432</v>
      </c>
      <c r="C95" s="62" t="s">
        <v>433</v>
      </c>
      <c r="D95" s="60"/>
      <c r="E95" s="60"/>
      <c r="F95" s="60"/>
      <c r="G95" s="60"/>
      <c r="H95" s="60"/>
      <c r="I95" s="60"/>
      <c r="J95" s="60"/>
    </row>
    <row r="96" spans="1:10" ht="31.5" customHeight="1" x14ac:dyDescent="0.5">
      <c r="B96" s="41" t="s">
        <v>434</v>
      </c>
      <c r="C96" s="63" t="s">
        <v>435</v>
      </c>
      <c r="D96" s="72">
        <v>0</v>
      </c>
      <c r="E96" s="72">
        <v>0</v>
      </c>
      <c r="F96" s="72">
        <v>0</v>
      </c>
      <c r="G96" s="72">
        <v>0</v>
      </c>
      <c r="H96" s="65">
        <v>0</v>
      </c>
      <c r="J96" s="40" t="s">
        <v>436</v>
      </c>
    </row>
    <row r="97" spans="1:10" ht="15.75" customHeight="1" x14ac:dyDescent="0.5">
      <c r="A97" s="12"/>
      <c r="B97" s="69" t="s">
        <v>437</v>
      </c>
      <c r="C97" s="70" t="s">
        <v>433</v>
      </c>
      <c r="D97" s="44">
        <f>D96</f>
        <v>0</v>
      </c>
      <c r="E97" s="44">
        <f>E96</f>
        <v>0</v>
      </c>
      <c r="F97" s="44">
        <f>F96</f>
        <v>0</v>
      </c>
      <c r="G97" s="44">
        <f>G96</f>
        <v>0</v>
      </c>
      <c r="H97" s="12"/>
      <c r="I97" s="12"/>
      <c r="J97" s="12"/>
    </row>
    <row r="98" spans="1:10" ht="15.75" customHeight="1" x14ac:dyDescent="0.5"/>
    <row r="99" spans="1:10" ht="15.75" customHeight="1" x14ac:dyDescent="0.5">
      <c r="A99" s="60"/>
      <c r="B99" s="61" t="s">
        <v>438</v>
      </c>
      <c r="C99" s="62" t="s">
        <v>439</v>
      </c>
      <c r="D99" s="60"/>
      <c r="E99" s="60"/>
      <c r="F99" s="60"/>
      <c r="G99" s="60"/>
      <c r="H99" s="60"/>
      <c r="I99" s="60"/>
      <c r="J99" s="60"/>
    </row>
    <row r="100" spans="1:10" ht="31.5" customHeight="1" x14ac:dyDescent="0.5">
      <c r="B100" s="41" t="s">
        <v>440</v>
      </c>
      <c r="C100" s="63" t="s">
        <v>441</v>
      </c>
      <c r="D100" s="64">
        <f>ASSUMPTIONS!C11*4.2</f>
        <v>5670</v>
      </c>
      <c r="E100" s="64">
        <f>ASSUMPTIONS!C11*4.2</f>
        <v>5670</v>
      </c>
      <c r="F100" s="64" t="e">
        <f>ASSUMPTIONS!C10*4.2</f>
        <v>#VALUE!</v>
      </c>
      <c r="G100" s="64" t="e">
        <f>ASSUMPTIONS!C10*4.2</f>
        <v>#VALUE!</v>
      </c>
      <c r="H100" s="65">
        <v>0</v>
      </c>
      <c r="J100" s="40" t="s">
        <v>442</v>
      </c>
    </row>
    <row r="101" spans="1:10" ht="31.5" customHeight="1" x14ac:dyDescent="0.5">
      <c r="B101" s="38" t="s">
        <v>443</v>
      </c>
      <c r="C101" s="66" t="s">
        <v>444</v>
      </c>
      <c r="D101" s="71">
        <v>0</v>
      </c>
      <c r="E101" s="71">
        <v>0</v>
      </c>
      <c r="F101" s="71">
        <v>0</v>
      </c>
      <c r="G101" s="71">
        <v>0</v>
      </c>
      <c r="H101" s="68">
        <v>0</v>
      </c>
      <c r="J101" s="40" t="s">
        <v>445</v>
      </c>
    </row>
    <row r="102" spans="1:10" ht="15.75" customHeight="1" x14ac:dyDescent="0.5">
      <c r="A102" s="12"/>
      <c r="B102" s="69" t="s">
        <v>446</v>
      </c>
      <c r="C102" s="70" t="s">
        <v>439</v>
      </c>
      <c r="D102" s="44">
        <f>D100+D101</f>
        <v>5670</v>
      </c>
      <c r="E102" s="44">
        <f>E100+E101</f>
        <v>5670</v>
      </c>
      <c r="F102" s="44" t="e">
        <f>F100+F101</f>
        <v>#VALUE!</v>
      </c>
      <c r="G102" s="44" t="e">
        <f>G100+G101</f>
        <v>#VALUE!</v>
      </c>
      <c r="H102" s="12"/>
      <c r="I102" s="12"/>
      <c r="J102" s="12"/>
    </row>
    <row r="103" spans="1:10" ht="15.75" customHeight="1" x14ac:dyDescent="0.5"/>
    <row r="104" spans="1:10" ht="15.75" customHeight="1" x14ac:dyDescent="0.5">
      <c r="A104" s="60"/>
      <c r="B104" s="61" t="s">
        <v>447</v>
      </c>
      <c r="C104" s="62" t="s">
        <v>448</v>
      </c>
      <c r="D104" s="60"/>
      <c r="E104" s="60"/>
      <c r="F104" s="60"/>
      <c r="G104" s="60"/>
      <c r="H104" s="60"/>
      <c r="I104" s="60"/>
      <c r="J104" s="60"/>
    </row>
    <row r="105" spans="1:10" ht="31.5" customHeight="1" x14ac:dyDescent="0.5">
      <c r="B105" s="38" t="s">
        <v>449</v>
      </c>
      <c r="C105" s="66" t="s">
        <v>450</v>
      </c>
      <c r="D105" s="64">
        <f>ASSUMPTIONS!C11*3.8</f>
        <v>5130</v>
      </c>
      <c r="E105" s="64">
        <f>ASSUMPTIONS!C11*3.8</f>
        <v>5130</v>
      </c>
      <c r="F105" s="64" t="e">
        <f>ASSUMPTIONS!C10*3.8</f>
        <v>#VALUE!</v>
      </c>
      <c r="G105" s="64" t="e">
        <f>ASSUMPTIONS!C10*3.8</f>
        <v>#VALUE!</v>
      </c>
      <c r="H105" s="68" t="s">
        <v>238</v>
      </c>
      <c r="J105" s="40" t="s">
        <v>451</v>
      </c>
    </row>
    <row r="106" spans="1:10" ht="31.5" customHeight="1" x14ac:dyDescent="0.5">
      <c r="B106" s="41" t="s">
        <v>452</v>
      </c>
      <c r="C106" s="63" t="s">
        <v>453</v>
      </c>
      <c r="D106" s="64">
        <f>ASSUMPTIONS!C11*2.4</f>
        <v>3240</v>
      </c>
      <c r="E106" s="64">
        <f>ASSUMPTIONS!C11*2.4</f>
        <v>3240</v>
      </c>
      <c r="F106" s="64" t="e">
        <f>ASSUMPTIONS!C10*2.4</f>
        <v>#VALUE!</v>
      </c>
      <c r="G106" s="64" t="e">
        <f>ASSUMPTIONS!C10*2.4</f>
        <v>#VALUE!</v>
      </c>
      <c r="H106" s="65" t="s">
        <v>238</v>
      </c>
      <c r="J106" s="40" t="s">
        <v>454</v>
      </c>
    </row>
    <row r="107" spans="1:10" ht="31.5" customHeight="1" x14ac:dyDescent="0.5">
      <c r="B107" s="38" t="s">
        <v>455</v>
      </c>
      <c r="C107" s="66" t="s">
        <v>456</v>
      </c>
      <c r="D107" s="67">
        <v>3800</v>
      </c>
      <c r="E107" s="67">
        <v>3800</v>
      </c>
      <c r="F107" s="67">
        <v>4500</v>
      </c>
      <c r="G107" s="67">
        <v>4500</v>
      </c>
      <c r="H107" s="68" t="s">
        <v>238</v>
      </c>
      <c r="J107" s="40" t="s">
        <v>457</v>
      </c>
    </row>
    <row r="108" spans="1:10" ht="31.5" customHeight="1" x14ac:dyDescent="0.5">
      <c r="B108" s="41" t="s">
        <v>458</v>
      </c>
      <c r="C108" s="63" t="s">
        <v>459</v>
      </c>
      <c r="D108" s="72">
        <v>0</v>
      </c>
      <c r="E108" s="72">
        <v>0</v>
      </c>
      <c r="F108" s="72" t="s">
        <v>238</v>
      </c>
      <c r="G108" s="72" t="s">
        <v>238</v>
      </c>
      <c r="H108" s="65" t="s">
        <v>238</v>
      </c>
      <c r="J108" s="40" t="s">
        <v>460</v>
      </c>
    </row>
    <row r="109" spans="1:10" ht="31.5" customHeight="1" x14ac:dyDescent="0.5">
      <c r="B109" s="38" t="s">
        <v>461</v>
      </c>
      <c r="C109" s="66" t="s">
        <v>462</v>
      </c>
      <c r="D109" s="64">
        <f>ASSUMPTIONS!C11*1.2</f>
        <v>1620</v>
      </c>
      <c r="E109" s="64">
        <f>ASSUMPTIONS!C11*1.2</f>
        <v>1620</v>
      </c>
      <c r="F109" s="64" t="e">
        <f>ASSUMPTIONS!C10*1.2</f>
        <v>#VALUE!</v>
      </c>
      <c r="G109" s="64" t="e">
        <f>ASSUMPTIONS!C10*1.2</f>
        <v>#VALUE!</v>
      </c>
      <c r="H109" s="68" t="s">
        <v>238</v>
      </c>
      <c r="J109" s="40" t="s">
        <v>463</v>
      </c>
    </row>
    <row r="110" spans="1:10" ht="31.5" customHeight="1" x14ac:dyDescent="0.5">
      <c r="B110" s="41" t="s">
        <v>464</v>
      </c>
      <c r="C110" s="63" t="s">
        <v>465</v>
      </c>
      <c r="D110" s="72">
        <v>0</v>
      </c>
      <c r="E110" s="72">
        <v>0</v>
      </c>
      <c r="F110" s="72">
        <v>0</v>
      </c>
      <c r="G110" s="67">
        <v>4000</v>
      </c>
      <c r="H110" s="65" t="s">
        <v>238</v>
      </c>
      <c r="J110" s="40" t="s">
        <v>466</v>
      </c>
    </row>
    <row r="111" spans="1:10" ht="15.75" customHeight="1" x14ac:dyDescent="0.5">
      <c r="A111" s="12"/>
      <c r="B111" s="69" t="s">
        <v>467</v>
      </c>
      <c r="C111" s="70" t="s">
        <v>448</v>
      </c>
      <c r="D111" s="44">
        <f>D105+D106+D107+D108+D109+D110</f>
        <v>13790</v>
      </c>
      <c r="E111" s="44">
        <f>E105+E106+E107+E108+E109+E110</f>
        <v>13790</v>
      </c>
      <c r="F111" s="44" t="e">
        <f>F105+F106+F107+F108+F109+F110</f>
        <v>#VALUE!</v>
      </c>
      <c r="G111" s="44" t="e">
        <f>G105+G106+G107+G108+G109+G110</f>
        <v>#VALUE!</v>
      </c>
      <c r="H111" s="12"/>
      <c r="I111" s="12"/>
      <c r="J111" s="12"/>
    </row>
    <row r="112" spans="1:10" ht="15.75" customHeight="1" x14ac:dyDescent="0.5"/>
    <row r="113" spans="1:10" ht="15.75" customHeight="1" x14ac:dyDescent="0.5">
      <c r="A113" s="60"/>
      <c r="B113" s="61" t="s">
        <v>468</v>
      </c>
      <c r="C113" s="62" t="s">
        <v>469</v>
      </c>
      <c r="D113" s="60"/>
      <c r="E113" s="60"/>
      <c r="F113" s="60"/>
      <c r="G113" s="60"/>
      <c r="H113" s="60"/>
      <c r="I113" s="60"/>
      <c r="J113" s="60"/>
    </row>
    <row r="114" spans="1:10" ht="31.5" customHeight="1" x14ac:dyDescent="0.5">
      <c r="B114" s="41" t="s">
        <v>470</v>
      </c>
      <c r="C114" s="63" t="s">
        <v>471</v>
      </c>
      <c r="D114" s="64">
        <f>ASSUMPTIONS!C11*ASSUMPTIONS!C41</f>
        <v>0</v>
      </c>
      <c r="E114" s="72">
        <v>0</v>
      </c>
      <c r="F114" s="72">
        <v>0</v>
      </c>
      <c r="G114" s="72">
        <v>0</v>
      </c>
      <c r="H114" s="65">
        <v>0</v>
      </c>
      <c r="J114" s="40" t="s">
        <v>472</v>
      </c>
    </row>
    <row r="115" spans="1:10" ht="31.5" customHeight="1" x14ac:dyDescent="0.5">
      <c r="B115" s="38" t="s">
        <v>473</v>
      </c>
      <c r="C115" s="66" t="s">
        <v>474</v>
      </c>
      <c r="D115" s="71">
        <v>0</v>
      </c>
      <c r="E115" s="64">
        <f>ASSUMPTIONS!C11*ASSUMPTIONS!C42</f>
        <v>1350</v>
      </c>
      <c r="F115" s="71">
        <v>0</v>
      </c>
      <c r="G115" s="64" t="e">
        <f>ASSUMPTIONS!C10*ASSUMPTIONS!C42</f>
        <v>#VALUE!</v>
      </c>
      <c r="H115" s="68">
        <v>0</v>
      </c>
      <c r="J115" s="40" t="s">
        <v>475</v>
      </c>
    </row>
    <row r="116" spans="1:10" ht="31.5" customHeight="1" x14ac:dyDescent="0.5">
      <c r="B116" s="41" t="s">
        <v>476</v>
      </c>
      <c r="C116" s="63" t="s">
        <v>477</v>
      </c>
      <c r="D116" s="72">
        <v>0</v>
      </c>
      <c r="E116" s="72">
        <v>0</v>
      </c>
      <c r="F116" s="64" t="e">
        <f>ASSUMPTIONS!C10*ASSUMPTIONS!C43</f>
        <v>#VALUE!</v>
      </c>
      <c r="G116" s="72">
        <v>0</v>
      </c>
      <c r="H116" s="65">
        <v>0</v>
      </c>
      <c r="J116" s="40" t="s">
        <v>478</v>
      </c>
    </row>
    <row r="117" spans="1:10" ht="31.5" customHeight="1" x14ac:dyDescent="0.5">
      <c r="B117" s="38" t="s">
        <v>479</v>
      </c>
      <c r="C117" s="66" t="s">
        <v>480</v>
      </c>
      <c r="D117" s="71">
        <v>0</v>
      </c>
      <c r="E117" s="67">
        <v>2700</v>
      </c>
      <c r="F117" s="67">
        <v>2700</v>
      </c>
      <c r="G117" s="67">
        <v>2700</v>
      </c>
      <c r="H117" s="68">
        <v>0</v>
      </c>
      <c r="J117" s="40" t="s">
        <v>481</v>
      </c>
    </row>
    <row r="118" spans="1:10" ht="31.5" customHeight="1" x14ac:dyDescent="0.5">
      <c r="B118" s="41" t="s">
        <v>482</v>
      </c>
      <c r="C118" s="63" t="s">
        <v>483</v>
      </c>
      <c r="D118" s="67">
        <v>500</v>
      </c>
      <c r="E118" s="67">
        <v>500</v>
      </c>
      <c r="F118" s="67">
        <v>500</v>
      </c>
      <c r="G118" s="67">
        <v>500</v>
      </c>
      <c r="H118" s="65">
        <v>0</v>
      </c>
      <c r="J118" s="40" t="s">
        <v>484</v>
      </c>
    </row>
    <row r="119" spans="1:10" ht="31.5" customHeight="1" x14ac:dyDescent="0.5">
      <c r="B119" s="38" t="s">
        <v>485</v>
      </c>
      <c r="C119" s="66" t="s">
        <v>486</v>
      </c>
      <c r="D119" s="67">
        <v>800</v>
      </c>
      <c r="E119" s="67">
        <v>800</v>
      </c>
      <c r="F119" s="67">
        <v>800</v>
      </c>
      <c r="G119" s="67">
        <v>800</v>
      </c>
      <c r="H119" s="68">
        <v>0</v>
      </c>
      <c r="J119" s="40" t="s">
        <v>487</v>
      </c>
    </row>
    <row r="120" spans="1:10" ht="31.5" customHeight="1" x14ac:dyDescent="0.5">
      <c r="B120" s="41" t="s">
        <v>488</v>
      </c>
      <c r="C120" s="63" t="s">
        <v>489</v>
      </c>
      <c r="D120" s="67">
        <v>400</v>
      </c>
      <c r="E120" s="67">
        <v>600</v>
      </c>
      <c r="F120" s="67">
        <v>600</v>
      </c>
      <c r="G120" s="67">
        <v>600</v>
      </c>
      <c r="H120" s="65">
        <v>0</v>
      </c>
      <c r="J120" s="40" t="s">
        <v>490</v>
      </c>
    </row>
    <row r="121" spans="1:10" ht="15.75" customHeight="1" x14ac:dyDescent="0.5">
      <c r="A121" s="12"/>
      <c r="B121" s="69" t="s">
        <v>491</v>
      </c>
      <c r="C121" s="70" t="s">
        <v>469</v>
      </c>
      <c r="D121" s="44">
        <f>D114+D115+D116+D117+D118+D119+D120</f>
        <v>1700</v>
      </c>
      <c r="E121" s="44">
        <f>E114+E115+E116+E117+E118+E119+E120</f>
        <v>5950</v>
      </c>
      <c r="F121" s="44" t="e">
        <f>F114+F115+F116+F117+F118+F119+F120</f>
        <v>#VALUE!</v>
      </c>
      <c r="G121" s="44" t="e">
        <f>G114+G115+G116+G117+G118+G119+G120</f>
        <v>#VALUE!</v>
      </c>
      <c r="H121" s="12"/>
      <c r="I121" s="12"/>
      <c r="J121" s="12"/>
    </row>
    <row r="122" spans="1:10" ht="15.75" customHeight="1" x14ac:dyDescent="0.5"/>
    <row r="123" spans="1:10" ht="15.75" customHeight="1" x14ac:dyDescent="0.5">
      <c r="A123" s="60"/>
      <c r="B123" s="61" t="s">
        <v>492</v>
      </c>
      <c r="C123" s="62" t="s">
        <v>493</v>
      </c>
      <c r="D123" s="60"/>
      <c r="E123" s="60"/>
      <c r="F123" s="60"/>
      <c r="G123" s="60"/>
      <c r="H123" s="60"/>
      <c r="I123" s="60"/>
      <c r="J123" s="60"/>
    </row>
    <row r="124" spans="1:10" ht="31.5" customHeight="1" x14ac:dyDescent="0.5">
      <c r="B124" s="41" t="s">
        <v>494</v>
      </c>
      <c r="C124" s="63" t="s">
        <v>495</v>
      </c>
      <c r="D124" s="67">
        <v>3200</v>
      </c>
      <c r="E124" s="72">
        <v>0</v>
      </c>
      <c r="F124" s="72">
        <v>0</v>
      </c>
      <c r="G124" s="72">
        <v>0</v>
      </c>
      <c r="H124" s="65">
        <v>0</v>
      </c>
      <c r="J124" s="40" t="s">
        <v>496</v>
      </c>
    </row>
    <row r="125" spans="1:10" ht="31.5" customHeight="1" x14ac:dyDescent="0.5">
      <c r="B125" s="38" t="s">
        <v>497</v>
      </c>
      <c r="C125" s="66" t="s">
        <v>498</v>
      </c>
      <c r="D125" s="71">
        <v>0</v>
      </c>
      <c r="E125" s="67">
        <v>4000</v>
      </c>
      <c r="F125" s="67">
        <v>4000</v>
      </c>
      <c r="G125" s="67">
        <v>4000</v>
      </c>
      <c r="H125" s="68">
        <v>0</v>
      </c>
      <c r="J125" s="40" t="s">
        <v>499</v>
      </c>
    </row>
    <row r="126" spans="1:10" ht="31.5" customHeight="1" x14ac:dyDescent="0.5">
      <c r="B126" s="41" t="s">
        <v>500</v>
      </c>
      <c r="C126" s="63" t="s">
        <v>501</v>
      </c>
      <c r="D126" s="64">
        <f>ASSUMPTIONS!C11*4.8</f>
        <v>6480</v>
      </c>
      <c r="E126" s="64">
        <f>ASSUMPTIONS!C11*4.8</f>
        <v>6480</v>
      </c>
      <c r="F126" s="64" t="e">
        <f>ASSUMPTIONS!C10*4.8</f>
        <v>#VALUE!</v>
      </c>
      <c r="G126" s="64" t="e">
        <f>ASSUMPTIONS!C10*4.8</f>
        <v>#VALUE!</v>
      </c>
      <c r="H126" s="65">
        <v>0</v>
      </c>
      <c r="J126" s="40" t="s">
        <v>502</v>
      </c>
    </row>
    <row r="127" spans="1:10" ht="31.5" customHeight="1" x14ac:dyDescent="0.5">
      <c r="B127" s="38" t="s">
        <v>503</v>
      </c>
      <c r="C127" s="66" t="s">
        <v>504</v>
      </c>
      <c r="D127" s="64">
        <f>ASSUMPTIONS!C11*2.2</f>
        <v>2970.0000000000005</v>
      </c>
      <c r="E127" s="64">
        <f>ASSUMPTIONS!C11*2.2</f>
        <v>2970.0000000000005</v>
      </c>
      <c r="F127" s="64" t="e">
        <f>ASSUMPTIONS!C10*2.4</f>
        <v>#VALUE!</v>
      </c>
      <c r="G127" s="64" t="e">
        <f>ASSUMPTIONS!C10*2.4</f>
        <v>#VALUE!</v>
      </c>
      <c r="H127" s="68">
        <v>0</v>
      </c>
      <c r="J127" s="40" t="s">
        <v>505</v>
      </c>
    </row>
    <row r="128" spans="1:10" ht="31.5" customHeight="1" x14ac:dyDescent="0.5">
      <c r="B128" s="41" t="s">
        <v>506</v>
      </c>
      <c r="C128" s="63" t="s">
        <v>507</v>
      </c>
      <c r="D128" s="67">
        <v>600</v>
      </c>
      <c r="E128" s="67">
        <v>600</v>
      </c>
      <c r="F128" s="67">
        <v>600</v>
      </c>
      <c r="G128" s="67">
        <v>600</v>
      </c>
      <c r="H128" s="65">
        <v>0</v>
      </c>
      <c r="J128" s="40" t="s">
        <v>508</v>
      </c>
    </row>
    <row r="129" spans="1:10" ht="31.5" customHeight="1" x14ac:dyDescent="0.5">
      <c r="B129" s="38" t="s">
        <v>509</v>
      </c>
      <c r="C129" s="66" t="s">
        <v>510</v>
      </c>
      <c r="D129" s="67">
        <v>400</v>
      </c>
      <c r="E129" s="67">
        <v>400</v>
      </c>
      <c r="F129" s="67">
        <v>400</v>
      </c>
      <c r="G129" s="67">
        <v>400</v>
      </c>
      <c r="H129" s="68">
        <v>0</v>
      </c>
      <c r="J129" s="40" t="s">
        <v>511</v>
      </c>
    </row>
    <row r="130" spans="1:10" ht="31.5" customHeight="1" x14ac:dyDescent="0.5">
      <c r="B130" s="41" t="s">
        <v>512</v>
      </c>
      <c r="C130" s="63" t="s">
        <v>513</v>
      </c>
      <c r="D130" s="67">
        <v>350</v>
      </c>
      <c r="E130" s="67">
        <v>350</v>
      </c>
      <c r="F130" s="67">
        <v>350</v>
      </c>
      <c r="G130" s="67">
        <v>350</v>
      </c>
      <c r="H130" s="65">
        <v>0</v>
      </c>
      <c r="J130" s="40" t="s">
        <v>514</v>
      </c>
    </row>
    <row r="131" spans="1:10" ht="15.75" customHeight="1" x14ac:dyDescent="0.5">
      <c r="A131" s="12"/>
      <c r="B131" s="69" t="s">
        <v>515</v>
      </c>
      <c r="C131" s="70" t="s">
        <v>493</v>
      </c>
      <c r="D131" s="44">
        <f>D124+D125+D126+D127+D128+D129+D130</f>
        <v>14000</v>
      </c>
      <c r="E131" s="44">
        <f>E124+E125+E126+E127+E128+E129+E130</f>
        <v>14800</v>
      </c>
      <c r="F131" s="44" t="e">
        <f>F124+F125+F126+F127+F128+F129+F130</f>
        <v>#VALUE!</v>
      </c>
      <c r="G131" s="44" t="e">
        <f>G124+G125+G126+G127+G128+G129+G130</f>
        <v>#VALUE!</v>
      </c>
      <c r="H131" s="12"/>
      <c r="I131" s="12"/>
      <c r="J131" s="12"/>
    </row>
    <row r="132" spans="1:10" ht="15.75" customHeight="1" x14ac:dyDescent="0.5"/>
    <row r="133" spans="1:10" ht="15.75" customHeight="1" x14ac:dyDescent="0.5">
      <c r="A133" s="60"/>
      <c r="B133" s="61" t="s">
        <v>516</v>
      </c>
      <c r="C133" s="62" t="s">
        <v>517</v>
      </c>
      <c r="D133" s="60"/>
      <c r="E133" s="60"/>
      <c r="F133" s="60"/>
      <c r="G133" s="60"/>
      <c r="H133" s="60"/>
      <c r="I133" s="60"/>
      <c r="J133" s="60"/>
    </row>
    <row r="134" spans="1:10" ht="31.5" customHeight="1" x14ac:dyDescent="0.5">
      <c r="B134" s="41" t="s">
        <v>518</v>
      </c>
      <c r="C134" s="63" t="s">
        <v>519</v>
      </c>
      <c r="D134" s="67">
        <v>1200</v>
      </c>
      <c r="E134" s="72">
        <v>0</v>
      </c>
      <c r="F134" s="72" t="s">
        <v>238</v>
      </c>
      <c r="G134" s="72" t="s">
        <v>238</v>
      </c>
      <c r="H134" s="65" t="s">
        <v>238</v>
      </c>
      <c r="J134" s="40" t="s">
        <v>520</v>
      </c>
    </row>
    <row r="135" spans="1:10" ht="31.5" customHeight="1" x14ac:dyDescent="0.5">
      <c r="B135" s="38" t="s">
        <v>521</v>
      </c>
      <c r="C135" s="66" t="s">
        <v>522</v>
      </c>
      <c r="D135" s="71">
        <v>0</v>
      </c>
      <c r="E135" s="67">
        <v>17250</v>
      </c>
      <c r="F135" s="71" t="s">
        <v>238</v>
      </c>
      <c r="G135" s="71" t="s">
        <v>238</v>
      </c>
      <c r="H135" s="68" t="s">
        <v>238</v>
      </c>
      <c r="J135" s="40" t="s">
        <v>523</v>
      </c>
    </row>
    <row r="136" spans="1:10" ht="31.5" customHeight="1" x14ac:dyDescent="0.5">
      <c r="B136" s="41" t="s">
        <v>524</v>
      </c>
      <c r="C136" s="63" t="s">
        <v>525</v>
      </c>
      <c r="D136" s="72">
        <v>0</v>
      </c>
      <c r="E136" s="72">
        <v>0</v>
      </c>
      <c r="F136" s="67">
        <v>25750</v>
      </c>
      <c r="G136" s="72" t="s">
        <v>238</v>
      </c>
      <c r="H136" s="65" t="s">
        <v>238</v>
      </c>
      <c r="J136" s="40" t="s">
        <v>526</v>
      </c>
    </row>
    <row r="137" spans="1:10" ht="31.5" customHeight="1" x14ac:dyDescent="0.5">
      <c r="B137" s="38" t="s">
        <v>527</v>
      </c>
      <c r="C137" s="66" t="s">
        <v>528</v>
      </c>
      <c r="D137" s="71">
        <v>0</v>
      </c>
      <c r="E137" s="71">
        <v>0</v>
      </c>
      <c r="F137" s="71" t="s">
        <v>238</v>
      </c>
      <c r="G137" s="67">
        <v>28250</v>
      </c>
      <c r="H137" s="68" t="s">
        <v>238</v>
      </c>
      <c r="J137" s="40" t="s">
        <v>529</v>
      </c>
    </row>
    <row r="138" spans="1:10" ht="31.5" customHeight="1" x14ac:dyDescent="0.5">
      <c r="B138" s="41" t="s">
        <v>530</v>
      </c>
      <c r="C138" s="63" t="s">
        <v>531</v>
      </c>
      <c r="D138" s="72">
        <v>0</v>
      </c>
      <c r="E138" s="67">
        <v>11500</v>
      </c>
      <c r="F138" s="67">
        <v>11500</v>
      </c>
      <c r="G138" s="72" t="s">
        <v>238</v>
      </c>
      <c r="H138" s="65" t="s">
        <v>238</v>
      </c>
      <c r="J138" s="40" t="s">
        <v>532</v>
      </c>
    </row>
    <row r="139" spans="1:10" ht="31.5" customHeight="1" x14ac:dyDescent="0.5">
      <c r="B139" s="38" t="s">
        <v>533</v>
      </c>
      <c r="C139" s="66" t="s">
        <v>534</v>
      </c>
      <c r="D139" s="71">
        <v>0</v>
      </c>
      <c r="E139" s="71">
        <v>0</v>
      </c>
      <c r="F139" s="71" t="s">
        <v>238</v>
      </c>
      <c r="G139" s="67">
        <v>18000</v>
      </c>
      <c r="H139" s="68" t="s">
        <v>238</v>
      </c>
      <c r="J139" s="40" t="s">
        <v>535</v>
      </c>
    </row>
    <row r="140" spans="1:10" ht="15.75" customHeight="1" x14ac:dyDescent="0.5">
      <c r="A140" s="12"/>
      <c r="B140" s="69" t="s">
        <v>536</v>
      </c>
      <c r="C140" s="70" t="s">
        <v>517</v>
      </c>
      <c r="D140" s="44">
        <f>D134+D135+D136+D137+D138+D139</f>
        <v>1200</v>
      </c>
      <c r="E140" s="44">
        <f>E134+E135+E136+E137+E138+E139</f>
        <v>28750</v>
      </c>
      <c r="F140" s="44" t="e">
        <f>F134+F135+F136+F137+F138+F139</f>
        <v>#VALUE!</v>
      </c>
      <c r="G140" s="44" t="e">
        <f>G134+G135+G136+G137+G138+G139</f>
        <v>#VALUE!</v>
      </c>
      <c r="H140" s="12"/>
      <c r="I140" s="12"/>
      <c r="J140" s="12"/>
    </row>
    <row r="141" spans="1:10" ht="15.75" customHeight="1" x14ac:dyDescent="0.5"/>
    <row r="142" spans="1:10" ht="15.75" customHeight="1" x14ac:dyDescent="0.5">
      <c r="A142" s="60"/>
      <c r="B142" s="61" t="s">
        <v>537</v>
      </c>
      <c r="C142" s="62" t="s">
        <v>538</v>
      </c>
      <c r="D142" s="60"/>
      <c r="E142" s="60"/>
      <c r="F142" s="60"/>
      <c r="G142" s="60"/>
      <c r="H142" s="60"/>
      <c r="I142" s="60"/>
      <c r="J142" s="60"/>
    </row>
    <row r="143" spans="1:10" ht="31.5" customHeight="1" x14ac:dyDescent="0.5">
      <c r="B143" s="38" t="s">
        <v>539</v>
      </c>
      <c r="C143" s="66" t="s">
        <v>540</v>
      </c>
      <c r="D143" s="67">
        <v>800</v>
      </c>
      <c r="E143" s="67">
        <v>800</v>
      </c>
      <c r="F143" s="67">
        <v>800</v>
      </c>
      <c r="G143" s="67">
        <v>800</v>
      </c>
      <c r="H143" s="68" t="s">
        <v>238</v>
      </c>
      <c r="J143" s="40" t="s">
        <v>541</v>
      </c>
    </row>
    <row r="144" spans="1:10" ht="31.5" customHeight="1" x14ac:dyDescent="0.5">
      <c r="B144" s="41" t="s">
        <v>542</v>
      </c>
      <c r="C144" s="63" t="s">
        <v>543</v>
      </c>
      <c r="D144" s="67">
        <v>400</v>
      </c>
      <c r="E144" s="67">
        <v>600</v>
      </c>
      <c r="F144" s="67">
        <v>600</v>
      </c>
      <c r="G144" s="67">
        <v>600</v>
      </c>
      <c r="H144" s="65" t="s">
        <v>238</v>
      </c>
      <c r="J144" s="40" t="s">
        <v>544</v>
      </c>
    </row>
    <row r="145" spans="1:10" ht="31.5" customHeight="1" x14ac:dyDescent="0.5">
      <c r="B145" s="38" t="s">
        <v>545</v>
      </c>
      <c r="C145" s="66" t="s">
        <v>546</v>
      </c>
      <c r="D145" s="67">
        <v>500</v>
      </c>
      <c r="E145" s="67">
        <v>500</v>
      </c>
      <c r="F145" s="67">
        <v>500</v>
      </c>
      <c r="G145" s="67">
        <v>500</v>
      </c>
      <c r="H145" s="68" t="s">
        <v>238</v>
      </c>
      <c r="J145" s="40" t="s">
        <v>547</v>
      </c>
    </row>
    <row r="146" spans="1:10" ht="15.75" customHeight="1" x14ac:dyDescent="0.5">
      <c r="A146" s="12"/>
      <c r="B146" s="69" t="s">
        <v>548</v>
      </c>
      <c r="C146" s="70" t="s">
        <v>538</v>
      </c>
      <c r="D146" s="44">
        <f>D143+D144+D145</f>
        <v>1700</v>
      </c>
      <c r="E146" s="44">
        <f>E143+E144+E145</f>
        <v>1900</v>
      </c>
      <c r="F146" s="44">
        <f>F143+F144+F145</f>
        <v>1900</v>
      </c>
      <c r="G146" s="44">
        <f>G143+G144+G145</f>
        <v>1900</v>
      </c>
      <c r="H146" s="12"/>
      <c r="I146" s="12"/>
      <c r="J146" s="12"/>
    </row>
    <row r="147" spans="1:10" ht="15.75" customHeight="1" x14ac:dyDescent="0.5"/>
    <row r="148" spans="1:10" ht="15.75" customHeight="1" x14ac:dyDescent="0.5">
      <c r="A148" s="60"/>
      <c r="B148" s="61" t="s">
        <v>549</v>
      </c>
      <c r="C148" s="62" t="s">
        <v>550</v>
      </c>
      <c r="D148" s="60"/>
      <c r="E148" s="60"/>
      <c r="F148" s="60"/>
      <c r="G148" s="60"/>
      <c r="H148" s="60"/>
      <c r="I148" s="60"/>
      <c r="J148" s="60"/>
    </row>
    <row r="149" spans="1:10" ht="31.5" customHeight="1" x14ac:dyDescent="0.5">
      <c r="B149" s="38" t="s">
        <v>551</v>
      </c>
      <c r="C149" s="66" t="s">
        <v>552</v>
      </c>
      <c r="D149" s="71">
        <v>0</v>
      </c>
      <c r="E149" s="71">
        <v>0</v>
      </c>
      <c r="F149" s="71" t="s">
        <v>238</v>
      </c>
      <c r="G149" s="71" t="s">
        <v>238</v>
      </c>
      <c r="H149" s="68" t="s">
        <v>238</v>
      </c>
      <c r="J149" s="40" t="s">
        <v>553</v>
      </c>
    </row>
    <row r="150" spans="1:10" ht="31.5" customHeight="1" x14ac:dyDescent="0.5">
      <c r="B150" s="41" t="s">
        <v>554</v>
      </c>
      <c r="C150" s="63" t="s">
        <v>555</v>
      </c>
      <c r="D150" s="67">
        <v>1500</v>
      </c>
      <c r="E150" s="67">
        <v>1500</v>
      </c>
      <c r="F150" s="67">
        <v>1500</v>
      </c>
      <c r="G150" s="67">
        <v>1500</v>
      </c>
      <c r="H150" s="65" t="s">
        <v>238</v>
      </c>
      <c r="J150" s="40" t="s">
        <v>556</v>
      </c>
    </row>
    <row r="151" spans="1:10" ht="31.5" customHeight="1" x14ac:dyDescent="0.5">
      <c r="B151" s="38" t="s">
        <v>557</v>
      </c>
      <c r="C151" s="66" t="s">
        <v>558</v>
      </c>
      <c r="D151" s="71">
        <v>0</v>
      </c>
      <c r="E151" s="71">
        <v>0</v>
      </c>
      <c r="F151" s="71">
        <v>0</v>
      </c>
      <c r="G151" s="71">
        <v>0</v>
      </c>
      <c r="H151" s="68" t="s">
        <v>238</v>
      </c>
      <c r="J151" s="40" t="s">
        <v>559</v>
      </c>
    </row>
    <row r="152" spans="1:10" ht="31.5" customHeight="1" x14ac:dyDescent="0.5">
      <c r="B152" s="41" t="s">
        <v>560</v>
      </c>
      <c r="C152" s="63" t="s">
        <v>561</v>
      </c>
      <c r="D152" s="72">
        <v>0</v>
      </c>
      <c r="E152" s="67">
        <v>7350</v>
      </c>
      <c r="F152" s="72">
        <v>0</v>
      </c>
      <c r="G152" s="72">
        <v>0</v>
      </c>
      <c r="H152" s="65" t="s">
        <v>238</v>
      </c>
      <c r="J152" s="40" t="s">
        <v>562</v>
      </c>
    </row>
    <row r="153" spans="1:10" ht="31.5" customHeight="1" x14ac:dyDescent="0.5">
      <c r="B153" s="38" t="s">
        <v>563</v>
      </c>
      <c r="C153" s="66" t="s">
        <v>564</v>
      </c>
      <c r="D153" s="71">
        <v>0</v>
      </c>
      <c r="E153" s="71">
        <v>0</v>
      </c>
      <c r="F153" s="67">
        <v>14000</v>
      </c>
      <c r="G153" s="71">
        <v>0</v>
      </c>
      <c r="H153" s="68" t="s">
        <v>238</v>
      </c>
      <c r="J153" s="40" t="s">
        <v>565</v>
      </c>
    </row>
    <row r="154" spans="1:10" ht="31.5" customHeight="1" x14ac:dyDescent="0.5">
      <c r="B154" s="41" t="s">
        <v>566</v>
      </c>
      <c r="C154" s="63" t="s">
        <v>567</v>
      </c>
      <c r="D154" s="72">
        <v>0</v>
      </c>
      <c r="E154" s="72">
        <v>0</v>
      </c>
      <c r="F154" s="72">
        <v>0</v>
      </c>
      <c r="G154" s="67">
        <v>14000</v>
      </c>
      <c r="H154" s="65" t="s">
        <v>238</v>
      </c>
      <c r="J154" s="40" t="s">
        <v>568</v>
      </c>
    </row>
    <row r="155" spans="1:10" ht="31.5" customHeight="1" x14ac:dyDescent="0.5">
      <c r="B155" s="38" t="s">
        <v>569</v>
      </c>
      <c r="C155" s="66" t="s">
        <v>570</v>
      </c>
      <c r="D155" s="71">
        <v>0</v>
      </c>
      <c r="E155" s="71">
        <v>0</v>
      </c>
      <c r="F155" s="67">
        <v>1600</v>
      </c>
      <c r="G155" s="71">
        <v>0</v>
      </c>
      <c r="H155" s="68" t="s">
        <v>238</v>
      </c>
      <c r="J155" s="40" t="s">
        <v>571</v>
      </c>
    </row>
    <row r="156" spans="1:10" ht="15.75" customHeight="1" x14ac:dyDescent="0.5">
      <c r="A156" s="12"/>
      <c r="B156" s="69" t="s">
        <v>572</v>
      </c>
      <c r="C156" s="70" t="s">
        <v>550</v>
      </c>
      <c r="D156" s="44">
        <f>D149+D150+D151+D152+D153+D154+D155</f>
        <v>1500</v>
      </c>
      <c r="E156" s="44">
        <f>E149+E150+E151+E152+E153+E154+E155</f>
        <v>8850</v>
      </c>
      <c r="F156" s="44" t="e">
        <f>F149+F150+F151+F152+F153+F154+F155</f>
        <v>#VALUE!</v>
      </c>
      <c r="G156" s="44" t="e">
        <f>G149+G150+G151+G152+G153+G154+G155</f>
        <v>#VALUE!</v>
      </c>
      <c r="H156" s="12"/>
      <c r="I156" s="12"/>
      <c r="J156" s="12"/>
    </row>
    <row r="157" spans="1:10" ht="15.75" customHeight="1" x14ac:dyDescent="0.5"/>
    <row r="158" spans="1:10" ht="15.75" customHeight="1" x14ac:dyDescent="0.5">
      <c r="A158" s="16"/>
      <c r="B158" s="17" t="s">
        <v>573</v>
      </c>
      <c r="C158" s="16"/>
      <c r="D158" s="16"/>
      <c r="E158" s="16"/>
      <c r="F158" s="16"/>
      <c r="G158" s="16"/>
      <c r="H158" s="16"/>
      <c r="I158" s="16"/>
      <c r="J158" s="16"/>
    </row>
    <row r="159" spans="1:10" ht="18" customHeight="1" x14ac:dyDescent="0.5">
      <c r="A159" s="73"/>
      <c r="B159" s="74" t="s">
        <v>574</v>
      </c>
      <c r="C159" s="75" t="s">
        <v>575</v>
      </c>
      <c r="D159" s="76">
        <f>D10+D16+D23+D29+D35+D44+D54+D62+D71+D80+D88+D93+D97+D102+D111+D121+D131+D140+D146+D156</f>
        <v>192987.5</v>
      </c>
      <c r="E159" s="76">
        <f>E10+E16+E23+E29+E35+E44+E54+E62+E71+E80+E88+E93+E97+E102+E111+E121+E131+E140+E146+E156</f>
        <v>228930.3</v>
      </c>
      <c r="F159" s="76" t="e">
        <f>F10+F16+F23+F29+F35+F44+F54+F62+F71+F80+F88+F93+F97+F102+F111+F121+F131+F140+F146+F156</f>
        <v>#VALUE!</v>
      </c>
      <c r="G159" s="76" t="e">
        <f>G10+G16+G23+G29+G35+G44+G54+G62+G71+G80+G88+G93+G97+G102+G111+G121+G131+G140+G146+G156</f>
        <v>#VALUE!</v>
      </c>
      <c r="H159" s="73"/>
      <c r="I159" s="73"/>
      <c r="J159" s="73"/>
    </row>
    <row r="160" spans="1:10" ht="15.75" customHeight="1" x14ac:dyDescent="0.5">
      <c r="A160" s="12"/>
      <c r="B160" s="77" t="s">
        <v>576</v>
      </c>
      <c r="C160" s="12"/>
      <c r="D160" s="78">
        <f>D159*ASSUMPTIONS!C11</f>
        <v>260533125</v>
      </c>
      <c r="E160" s="78">
        <f>E159*ASSUMPTIONS!C11</f>
        <v>309055905</v>
      </c>
      <c r="F160" s="78" t="e">
        <f>F159*ASSUMPTIONS!C11</f>
        <v>#VALUE!</v>
      </c>
      <c r="G160" s="78" t="e">
        <f>G159*ASSUMPTIONS!C11</f>
        <v>#VALUE!</v>
      </c>
      <c r="H160" s="12"/>
      <c r="I160" s="12"/>
      <c r="J160" s="12"/>
    </row>
    <row r="162" spans="1:10" ht="19.5" customHeight="1" x14ac:dyDescent="0.5">
      <c r="A162" s="48"/>
      <c r="B162" s="49" t="s">
        <v>577</v>
      </c>
      <c r="C162" s="79" t="s">
        <v>578</v>
      </c>
      <c r="D162" s="48"/>
      <c r="E162" s="48"/>
      <c r="F162" s="48"/>
      <c r="G162" s="48"/>
      <c r="H162" s="48"/>
      <c r="I162" s="48"/>
      <c r="J162" s="48"/>
    </row>
    <row r="163" spans="1:10" ht="27.75" customHeight="1" x14ac:dyDescent="0.5">
      <c r="A163" s="80"/>
      <c r="B163" s="4" t="s">
        <v>579</v>
      </c>
      <c r="C163" s="4"/>
      <c r="D163" s="4"/>
      <c r="E163" s="4"/>
      <c r="F163" s="4"/>
      <c r="G163" s="4"/>
      <c r="H163" s="4"/>
      <c r="I163" s="4"/>
      <c r="J163" s="4"/>
    </row>
    <row r="164" spans="1:10" ht="15.75" customHeight="1" x14ac:dyDescent="0.5">
      <c r="A164" s="80"/>
      <c r="B164" s="41" t="s">
        <v>580</v>
      </c>
      <c r="C164" s="63" t="s">
        <v>581</v>
      </c>
      <c r="D164" s="81">
        <v>1800</v>
      </c>
      <c r="E164" s="81">
        <v>1800</v>
      </c>
      <c r="F164" s="81">
        <v>1800</v>
      </c>
      <c r="G164" s="81">
        <v>1800</v>
      </c>
      <c r="J164" s="40" t="s">
        <v>582</v>
      </c>
    </row>
    <row r="165" spans="1:10" ht="15.75" customHeight="1" x14ac:dyDescent="0.5">
      <c r="A165" s="80"/>
      <c r="B165" s="38" t="s">
        <v>583</v>
      </c>
      <c r="C165" s="66" t="s">
        <v>584</v>
      </c>
      <c r="D165" s="81">
        <v>3200</v>
      </c>
      <c r="E165" s="81">
        <v>3200</v>
      </c>
      <c r="F165" s="81">
        <v>3200</v>
      </c>
      <c r="G165" s="81">
        <v>3200</v>
      </c>
      <c r="J165" s="40" t="s">
        <v>585</v>
      </c>
    </row>
    <row r="166" spans="1:10" ht="15.75" customHeight="1" x14ac:dyDescent="0.5">
      <c r="A166" s="80"/>
      <c r="B166" s="41" t="s">
        <v>586</v>
      </c>
      <c r="C166" s="63" t="s">
        <v>587</v>
      </c>
      <c r="D166" s="81">
        <v>4500</v>
      </c>
      <c r="E166" s="81">
        <v>4500</v>
      </c>
      <c r="F166" s="81">
        <v>4500</v>
      </c>
      <c r="G166" s="81">
        <v>4500</v>
      </c>
      <c r="J166" s="40" t="s">
        <v>588</v>
      </c>
    </row>
    <row r="167" spans="1:10" ht="15.75" customHeight="1" x14ac:dyDescent="0.5">
      <c r="A167" s="80"/>
      <c r="B167" s="38" t="s">
        <v>589</v>
      </c>
      <c r="C167" s="66" t="s">
        <v>590</v>
      </c>
      <c r="D167" s="81">
        <v>3800</v>
      </c>
      <c r="E167" s="81">
        <v>3800</v>
      </c>
      <c r="F167" s="81">
        <v>3800</v>
      </c>
      <c r="G167" s="81">
        <v>3800</v>
      </c>
      <c r="J167" s="40" t="s">
        <v>591</v>
      </c>
    </row>
    <row r="168" spans="1:10" ht="15.75" customHeight="1" x14ac:dyDescent="0.5">
      <c r="A168" s="80"/>
      <c r="B168" s="41" t="s">
        <v>592</v>
      </c>
      <c r="C168" s="63" t="s">
        <v>593</v>
      </c>
      <c r="D168" s="81">
        <v>2400</v>
      </c>
      <c r="E168" s="81">
        <v>2400</v>
      </c>
      <c r="F168" s="81">
        <v>2400</v>
      </c>
      <c r="G168" s="81">
        <v>2400</v>
      </c>
      <c r="J168" s="40" t="s">
        <v>594</v>
      </c>
    </row>
    <row r="169" spans="1:10" ht="15.75" customHeight="1" x14ac:dyDescent="0.5">
      <c r="A169" s="80"/>
      <c r="B169" s="38" t="s">
        <v>595</v>
      </c>
      <c r="C169" s="66" t="s">
        <v>596</v>
      </c>
      <c r="D169" s="81">
        <v>3500</v>
      </c>
      <c r="E169" s="81">
        <v>3500</v>
      </c>
      <c r="F169" s="81">
        <v>3500</v>
      </c>
      <c r="G169" s="81">
        <v>3500</v>
      </c>
      <c r="J169" s="40" t="s">
        <v>597</v>
      </c>
    </row>
    <row r="170" spans="1:10" ht="15.75" customHeight="1" x14ac:dyDescent="0.5">
      <c r="A170" s="80"/>
      <c r="B170" s="41" t="s">
        <v>598</v>
      </c>
      <c r="C170" s="63" t="s">
        <v>599</v>
      </c>
      <c r="D170" s="65" t="s">
        <v>238</v>
      </c>
      <c r="E170" s="65" t="s">
        <v>238</v>
      </c>
      <c r="F170" s="65" t="s">
        <v>238</v>
      </c>
      <c r="G170" s="65" t="s">
        <v>238</v>
      </c>
      <c r="J170" s="40" t="s">
        <v>600</v>
      </c>
    </row>
    <row r="171" spans="1:10" ht="15.75" customHeight="1" x14ac:dyDescent="0.5">
      <c r="A171" s="80"/>
      <c r="B171" s="38" t="s">
        <v>601</v>
      </c>
      <c r="C171" s="66" t="s">
        <v>602</v>
      </c>
      <c r="D171" s="81">
        <v>2800</v>
      </c>
      <c r="E171" s="81">
        <v>2800</v>
      </c>
      <c r="F171" s="81">
        <v>2800</v>
      </c>
      <c r="G171" s="81">
        <v>2800</v>
      </c>
      <c r="J171" s="40" t="s">
        <v>603</v>
      </c>
    </row>
    <row r="172" spans="1:10" ht="15.75" customHeight="1" x14ac:dyDescent="0.5">
      <c r="A172" s="80"/>
      <c r="B172" s="41" t="s">
        <v>604</v>
      </c>
      <c r="C172" s="63" t="s">
        <v>605</v>
      </c>
      <c r="D172" s="81">
        <v>600</v>
      </c>
      <c r="E172" s="81">
        <v>600</v>
      </c>
      <c r="F172" s="81">
        <v>600</v>
      </c>
      <c r="G172" s="81">
        <v>600</v>
      </c>
      <c r="J172" s="40" t="s">
        <v>606</v>
      </c>
    </row>
    <row r="173" spans="1:10" ht="15.75" customHeight="1" x14ac:dyDescent="0.5">
      <c r="A173" s="80"/>
      <c r="B173" s="38" t="s">
        <v>607</v>
      </c>
      <c r="C173" s="66" t="s">
        <v>608</v>
      </c>
      <c r="D173" s="81">
        <v>800</v>
      </c>
      <c r="E173" s="81">
        <v>800</v>
      </c>
      <c r="F173" s="81">
        <v>800</v>
      </c>
      <c r="G173" s="81">
        <v>800</v>
      </c>
      <c r="J173" s="40" t="s">
        <v>609</v>
      </c>
    </row>
    <row r="174" spans="1:10" ht="15.75" customHeight="1" x14ac:dyDescent="0.5">
      <c r="A174" s="80"/>
      <c r="B174" s="82" t="s">
        <v>610</v>
      </c>
      <c r="C174" s="83" t="s">
        <v>578</v>
      </c>
      <c r="D174" s="84">
        <f>SUM(D164,D165,D166,D167,D168,D169,D170,D171,D172,D173)</f>
        <v>23400</v>
      </c>
      <c r="E174" s="84">
        <f>SUM(E164,E165,E166,E167,E168,E169,E170,E171,E172,E173)</f>
        <v>23400</v>
      </c>
      <c r="F174" s="84">
        <f>SUM(F164,F165,F166,F167,F168,F169,F170,F171,F172,F173)</f>
        <v>23400</v>
      </c>
      <c r="G174" s="84">
        <f>SUM(G164,G165,G166,G167,G168,G169,G170,G171,G172,G173)</f>
        <v>23400</v>
      </c>
      <c r="H174" s="80"/>
      <c r="I174" s="80"/>
      <c r="J174" s="80"/>
    </row>
    <row r="175" spans="1:10" ht="15.75" customHeight="1" x14ac:dyDescent="0.5">
      <c r="A175" s="85"/>
      <c r="B175" s="86" t="s">
        <v>611</v>
      </c>
      <c r="C175" s="87" t="s">
        <v>612</v>
      </c>
      <c r="D175" s="88">
        <f>-D174</f>
        <v>-23400</v>
      </c>
      <c r="E175" s="88">
        <f>-E174</f>
        <v>-23400</v>
      </c>
      <c r="F175" s="88">
        <f>-F174</f>
        <v>-23400</v>
      </c>
      <c r="G175" s="88">
        <f>-G174</f>
        <v>-23400</v>
      </c>
      <c r="H175" s="85"/>
      <c r="I175" s="85"/>
      <c r="J175" s="89" t="s">
        <v>613</v>
      </c>
    </row>
    <row r="176" spans="1:10" ht="15.75" customHeight="1" x14ac:dyDescent="0.5">
      <c r="A176" s="60"/>
      <c r="B176" s="61" t="s">
        <v>614</v>
      </c>
      <c r="C176" s="60"/>
      <c r="D176" s="90">
        <f>D174+D175</f>
        <v>0</v>
      </c>
      <c r="E176" s="90">
        <f>E174+E175</f>
        <v>0</v>
      </c>
      <c r="F176" s="90">
        <f>F174+F175</f>
        <v>0</v>
      </c>
      <c r="G176" s="90">
        <f>G174+G175</f>
        <v>0</v>
      </c>
      <c r="H176" s="60"/>
      <c r="I176" s="60"/>
      <c r="J176" s="91" t="s">
        <v>615</v>
      </c>
    </row>
  </sheetData>
  <mergeCells count="2">
    <mergeCell ref="B2:I2"/>
    <mergeCell ref="B163:J16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E56"/>
  </sheetPr>
  <dimension ref="A1:H44"/>
  <sheetViews>
    <sheetView zoomScaleNormal="100" workbookViewId="0"/>
  </sheetViews>
  <sheetFormatPr defaultColWidth="8.703125" defaultRowHeight="14.35" x14ac:dyDescent="0.5"/>
  <cols>
    <col min="1" max="1" width="3" customWidth="1"/>
    <col min="2" max="2" width="44" customWidth="1"/>
    <col min="3" max="3" width="14" customWidth="1"/>
    <col min="4" max="4" width="4" customWidth="1"/>
    <col min="5" max="5" width="16" customWidth="1"/>
    <col min="6" max="6" width="14" customWidth="1"/>
    <col min="7" max="7" width="16" customWidth="1"/>
    <col min="8" max="8" width="52" customWidth="1"/>
  </cols>
  <sheetData>
    <row r="1" spans="1:8" ht="21.75" customHeight="1" x14ac:dyDescent="0.5">
      <c r="A1" s="9"/>
      <c r="B1" s="20" t="s">
        <v>616</v>
      </c>
      <c r="C1" s="9"/>
      <c r="D1" s="9"/>
      <c r="E1" s="9"/>
      <c r="F1" s="9"/>
      <c r="G1" s="9"/>
      <c r="H1" s="9"/>
    </row>
    <row r="2" spans="1:8" ht="15.75" customHeight="1" x14ac:dyDescent="0.5">
      <c r="A2" s="11"/>
      <c r="B2" s="7" t="s">
        <v>617</v>
      </c>
      <c r="C2" s="7"/>
      <c r="D2" s="7"/>
      <c r="E2" s="7"/>
      <c r="F2" s="7"/>
      <c r="G2" s="7"/>
    </row>
    <row r="3" spans="1:8" ht="15.75" customHeight="1" x14ac:dyDescent="0.5">
      <c r="A3" s="27"/>
      <c r="B3" s="28" t="s">
        <v>618</v>
      </c>
      <c r="C3" s="27"/>
      <c r="D3" s="27"/>
      <c r="E3" s="27"/>
      <c r="F3" s="27"/>
      <c r="G3" s="27"/>
      <c r="H3" s="27"/>
    </row>
    <row r="4" spans="1:8" ht="36" customHeight="1" x14ac:dyDescent="0.5">
      <c r="B4" s="92" t="s">
        <v>619</v>
      </c>
      <c r="C4" s="93" t="s">
        <v>620</v>
      </c>
      <c r="E4" s="93" t="s">
        <v>621</v>
      </c>
      <c r="F4" s="93" t="s">
        <v>622</v>
      </c>
      <c r="G4" s="93" t="s">
        <v>623</v>
      </c>
      <c r="H4" s="93" t="s">
        <v>624</v>
      </c>
    </row>
    <row r="5" spans="1:8" ht="31.5" customHeight="1" x14ac:dyDescent="0.5">
      <c r="B5" s="13" t="s">
        <v>625</v>
      </c>
      <c r="C5" s="3">
        <f>'BID SUMMARY'!C12</f>
        <v>22005</v>
      </c>
      <c r="D5" s="3"/>
      <c r="E5" s="3"/>
      <c r="F5" s="3"/>
      <c r="G5" s="3"/>
      <c r="H5" s="24" t="s">
        <v>626</v>
      </c>
    </row>
    <row r="6" spans="1:8" ht="31.5" customHeight="1" x14ac:dyDescent="0.5">
      <c r="B6" s="13" t="s">
        <v>627</v>
      </c>
      <c r="C6" s="94" t="str">
        <f>ASSUMPTIONS!C8</f>
        <v>New Construction — Residential</v>
      </c>
      <c r="H6" s="24" t="s">
        <v>628</v>
      </c>
    </row>
    <row r="7" spans="1:8" ht="31.5" customHeight="1" x14ac:dyDescent="0.5">
      <c r="B7" s="13" t="s">
        <v>629</v>
      </c>
      <c r="C7" s="26" t="str">
        <f>ASSUMPTIONS!C10</f>
        <v>City of Wilmington Vacant Lot Cluster, Wilmington DE 19801</v>
      </c>
      <c r="H7" s="24" t="s">
        <v>630</v>
      </c>
    </row>
    <row r="8" spans="1:8" ht="15.75" customHeight="1" x14ac:dyDescent="0.5">
      <c r="A8" s="27"/>
      <c r="B8" s="28" t="s">
        <v>631</v>
      </c>
      <c r="C8" s="27"/>
      <c r="D8" s="27"/>
      <c r="E8" s="27"/>
      <c r="F8" s="27"/>
      <c r="G8" s="27"/>
      <c r="H8" s="27"/>
    </row>
    <row r="9" spans="1:8" ht="15.75" customHeight="1" x14ac:dyDescent="0.5">
      <c r="A9" s="27"/>
      <c r="B9" s="28" t="s">
        <v>632</v>
      </c>
      <c r="C9" s="27"/>
      <c r="D9" s="27"/>
      <c r="E9" s="27"/>
      <c r="F9" s="27"/>
      <c r="G9" s="27"/>
      <c r="H9" s="27"/>
    </row>
    <row r="10" spans="1:8" ht="31.5" customHeight="1" x14ac:dyDescent="0.5">
      <c r="B10" s="35" t="s">
        <v>633</v>
      </c>
      <c r="C10" s="23" t="s">
        <v>634</v>
      </c>
      <c r="H10" s="24" t="s">
        <v>635</v>
      </c>
    </row>
    <row r="11" spans="1:8" ht="31.5" customHeight="1" x14ac:dyDescent="0.5">
      <c r="B11" s="35" t="s">
        <v>636</v>
      </c>
      <c r="C11" s="23" t="s">
        <v>637</v>
      </c>
      <c r="H11" s="24" t="s">
        <v>638</v>
      </c>
    </row>
    <row r="12" spans="1:8" ht="15.75" customHeight="1" x14ac:dyDescent="0.5"/>
    <row r="13" spans="1:8" ht="15.75" customHeight="1" x14ac:dyDescent="0.5">
      <c r="A13" s="27"/>
      <c r="B13" s="28" t="s">
        <v>639</v>
      </c>
      <c r="C13" s="27"/>
      <c r="D13" s="27"/>
      <c r="E13" s="27"/>
      <c r="F13" s="27"/>
      <c r="G13" s="27"/>
      <c r="H13" s="27"/>
    </row>
    <row r="14" spans="1:8" ht="31.5" customHeight="1" x14ac:dyDescent="0.5">
      <c r="B14" s="41" t="s">
        <v>640</v>
      </c>
      <c r="C14" s="95">
        <v>7.3999999999999996E-2</v>
      </c>
      <c r="E14" s="64">
        <f>'BID SUMMARY'!C12*C14</f>
        <v>1628.37</v>
      </c>
      <c r="G14" s="64">
        <f>IF(AND(F14&lt;&gt;"",F14&lt;&gt;0),F14,E14)</f>
        <v>1628.37</v>
      </c>
      <c r="H14" s="40" t="s">
        <v>641</v>
      </c>
    </row>
    <row r="15" spans="1:8" ht="31.5" customHeight="1" x14ac:dyDescent="0.5">
      <c r="B15" s="38" t="s">
        <v>642</v>
      </c>
      <c r="C15" s="95">
        <v>0</v>
      </c>
      <c r="E15" s="64">
        <f>'BID SUMMARY'!C12*C15</f>
        <v>0</v>
      </c>
      <c r="G15" s="64">
        <f>IF(AND(F15&lt;&gt;"",F15&lt;&gt;0),F15,E15)</f>
        <v>0</v>
      </c>
      <c r="H15" s="40" t="s">
        <v>643</v>
      </c>
    </row>
    <row r="16" spans="1:8" ht="15.75" customHeight="1" x14ac:dyDescent="0.5">
      <c r="B16" s="96" t="s">
        <v>644</v>
      </c>
      <c r="G16" s="44">
        <f>F14+F15</f>
        <v>0</v>
      </c>
    </row>
    <row r="17" spans="1:8" ht="15.75" customHeight="1" x14ac:dyDescent="0.5"/>
    <row r="18" spans="1:8" ht="15.75" customHeight="1" x14ac:dyDescent="0.5">
      <c r="A18" s="27"/>
      <c r="B18" s="28" t="s">
        <v>645</v>
      </c>
      <c r="C18" s="27"/>
      <c r="D18" s="27"/>
      <c r="E18" s="27"/>
      <c r="F18" s="27"/>
      <c r="G18" s="27"/>
      <c r="H18" s="27"/>
    </row>
    <row r="19" spans="1:8" ht="31.5" customHeight="1" x14ac:dyDescent="0.5">
      <c r="B19" s="38" t="s">
        <v>646</v>
      </c>
      <c r="C19" s="95">
        <v>1.4999999999999999E-2</v>
      </c>
      <c r="E19" s="64">
        <f>'BID SUMMARY'!C12*C19</f>
        <v>330.07499999999999</v>
      </c>
      <c r="G19" s="64">
        <f t="shared" ref="G19:G29" si="0">IF(AND(F19&lt;&gt;"",F19&lt;&gt;0),F19,E19)</f>
        <v>330.07499999999999</v>
      </c>
      <c r="H19" s="40" t="s">
        <v>647</v>
      </c>
    </row>
    <row r="20" spans="1:8" ht="31.5" customHeight="1" x14ac:dyDescent="0.5">
      <c r="B20" s="41" t="s">
        <v>648</v>
      </c>
      <c r="C20" s="95">
        <v>8.9999999999999993E-3</v>
      </c>
      <c r="E20" s="64">
        <f>'BID SUMMARY'!C12*C20</f>
        <v>198.04499999999999</v>
      </c>
      <c r="G20" s="64">
        <f t="shared" si="0"/>
        <v>198.04499999999999</v>
      </c>
      <c r="H20" s="40" t="s">
        <v>649</v>
      </c>
    </row>
    <row r="21" spans="1:8" ht="31.5" customHeight="1" x14ac:dyDescent="0.5">
      <c r="B21" s="38" t="s">
        <v>650</v>
      </c>
      <c r="C21" s="95">
        <v>1.2E-2</v>
      </c>
      <c r="E21" s="64">
        <f>'BID SUMMARY'!C12*C21</f>
        <v>264.06</v>
      </c>
      <c r="G21" s="64">
        <f t="shared" si="0"/>
        <v>264.06</v>
      </c>
      <c r="H21" s="40" t="s">
        <v>651</v>
      </c>
    </row>
    <row r="22" spans="1:8" ht="31.5" customHeight="1" x14ac:dyDescent="0.5">
      <c r="B22" s="41" t="s">
        <v>652</v>
      </c>
      <c r="C22" s="95">
        <v>8.0000000000000002E-3</v>
      </c>
      <c r="E22" s="64">
        <f>'BID SUMMARY'!C12*C22</f>
        <v>176.04</v>
      </c>
      <c r="G22" s="64">
        <f t="shared" si="0"/>
        <v>176.04</v>
      </c>
      <c r="H22" s="40" t="s">
        <v>653</v>
      </c>
    </row>
    <row r="23" spans="1:8" ht="31.5" customHeight="1" x14ac:dyDescent="0.5">
      <c r="B23" s="38" t="s">
        <v>654</v>
      </c>
      <c r="C23" s="95">
        <v>6.0000000000000001E-3</v>
      </c>
      <c r="E23" s="64">
        <f>'BID SUMMARY'!C12*C23</f>
        <v>132.03</v>
      </c>
      <c r="G23" s="64">
        <f t="shared" si="0"/>
        <v>132.03</v>
      </c>
      <c r="H23" s="40" t="s">
        <v>655</v>
      </c>
    </row>
    <row r="24" spans="1:8" ht="31.5" customHeight="1" x14ac:dyDescent="0.5">
      <c r="B24" s="41" t="s">
        <v>656</v>
      </c>
      <c r="C24" s="95">
        <v>8.0000000000000002E-3</v>
      </c>
      <c r="E24" s="64">
        <f>'BID SUMMARY'!C12*C24</f>
        <v>176.04</v>
      </c>
      <c r="G24" s="64">
        <f t="shared" si="0"/>
        <v>176.04</v>
      </c>
      <c r="H24" s="40" t="s">
        <v>657</v>
      </c>
    </row>
    <row r="25" spans="1:8" ht="31.5" customHeight="1" x14ac:dyDescent="0.5">
      <c r="B25" s="38" t="s">
        <v>658</v>
      </c>
      <c r="C25" s="95">
        <v>4.0000000000000001E-3</v>
      </c>
      <c r="E25" s="64">
        <f>'BID SUMMARY'!C12*C25</f>
        <v>88.02</v>
      </c>
      <c r="G25" s="64">
        <f t="shared" si="0"/>
        <v>88.02</v>
      </c>
      <c r="H25" s="40" t="s">
        <v>659</v>
      </c>
    </row>
    <row r="26" spans="1:8" ht="31.5" customHeight="1" x14ac:dyDescent="0.5">
      <c r="B26" s="41" t="s">
        <v>660</v>
      </c>
      <c r="C26" s="95">
        <v>3.0000000000000001E-3</v>
      </c>
      <c r="E26" s="64">
        <f>'BID SUMMARY'!C12*C26</f>
        <v>66.015000000000001</v>
      </c>
      <c r="G26" s="64">
        <f t="shared" si="0"/>
        <v>66.015000000000001</v>
      </c>
      <c r="H26" s="40" t="s">
        <v>661</v>
      </c>
    </row>
    <row r="27" spans="1:8" ht="31.5" customHeight="1" x14ac:dyDescent="0.5">
      <c r="B27" s="38" t="s">
        <v>662</v>
      </c>
      <c r="C27" s="95">
        <v>3.0000000000000001E-3</v>
      </c>
      <c r="E27" s="64">
        <f>'BID SUMMARY'!C12*C27</f>
        <v>66.015000000000001</v>
      </c>
      <c r="G27" s="64">
        <f t="shared" si="0"/>
        <v>66.015000000000001</v>
      </c>
      <c r="H27" s="40" t="s">
        <v>663</v>
      </c>
    </row>
    <row r="28" spans="1:8" ht="31.5" customHeight="1" x14ac:dyDescent="0.5">
      <c r="B28" s="41" t="s">
        <v>664</v>
      </c>
      <c r="C28" s="95">
        <v>0</v>
      </c>
      <c r="E28" s="64">
        <f>'BID SUMMARY'!C12*C28</f>
        <v>0</v>
      </c>
      <c r="G28" s="64">
        <f t="shared" si="0"/>
        <v>0</v>
      </c>
      <c r="H28" s="40" t="s">
        <v>665</v>
      </c>
    </row>
    <row r="29" spans="1:8" ht="31.5" customHeight="1" x14ac:dyDescent="0.5">
      <c r="B29" s="38" t="s">
        <v>666</v>
      </c>
      <c r="C29" s="95">
        <v>0</v>
      </c>
      <c r="E29" s="64">
        <f>'BID SUMMARY'!C12*C29</f>
        <v>0</v>
      </c>
      <c r="G29" s="64">
        <f t="shared" si="0"/>
        <v>0</v>
      </c>
      <c r="H29" s="40" t="s">
        <v>667</v>
      </c>
    </row>
    <row r="30" spans="1:8" ht="15.75" customHeight="1" x14ac:dyDescent="0.5">
      <c r="B30" s="96" t="s">
        <v>668</v>
      </c>
      <c r="G30" s="44">
        <f>SUM(G19:G29)</f>
        <v>1496.3400000000001</v>
      </c>
    </row>
    <row r="31" spans="1:8" ht="15.75" customHeight="1" x14ac:dyDescent="0.5"/>
    <row r="32" spans="1:8" ht="15.75" customHeight="1" x14ac:dyDescent="0.5">
      <c r="A32" s="27"/>
      <c r="B32" s="28" t="s">
        <v>669</v>
      </c>
      <c r="C32" s="27"/>
      <c r="D32" s="27"/>
      <c r="E32" s="27"/>
      <c r="F32" s="27"/>
      <c r="G32" s="27"/>
      <c r="H32" s="27"/>
    </row>
    <row r="33" spans="1:8" ht="31.5" customHeight="1" x14ac:dyDescent="0.5">
      <c r="B33" s="38" t="s">
        <v>670</v>
      </c>
      <c r="C33" s="95">
        <v>0</v>
      </c>
      <c r="E33" s="64">
        <f>'BID SUMMARY'!C12*C33</f>
        <v>0</v>
      </c>
      <c r="G33" s="64">
        <f t="shared" ref="G33:G39" si="1">IF(AND(F33&lt;&gt;"",F33&lt;&gt;0),F33,E33)</f>
        <v>0</v>
      </c>
      <c r="H33" s="40" t="s">
        <v>671</v>
      </c>
    </row>
    <row r="34" spans="1:8" ht="31.5" customHeight="1" x14ac:dyDescent="0.5">
      <c r="B34" s="41" t="s">
        <v>672</v>
      </c>
      <c r="C34" s="95">
        <v>1.4999999999999999E-2</v>
      </c>
      <c r="E34" s="64">
        <f>'BID SUMMARY'!C12*C34</f>
        <v>330.07499999999999</v>
      </c>
      <c r="G34" s="64">
        <f t="shared" si="1"/>
        <v>330.07499999999999</v>
      </c>
      <c r="H34" s="40" t="s">
        <v>673</v>
      </c>
    </row>
    <row r="35" spans="1:8" ht="31.5" customHeight="1" x14ac:dyDescent="0.5">
      <c r="B35" s="38" t="s">
        <v>674</v>
      </c>
      <c r="C35" s="95">
        <v>8.0000000000000002E-3</v>
      </c>
      <c r="E35" s="64">
        <f>'BID SUMMARY'!C12*C35</f>
        <v>176.04</v>
      </c>
      <c r="G35" s="64">
        <f t="shared" si="1"/>
        <v>176.04</v>
      </c>
      <c r="H35" s="40" t="s">
        <v>675</v>
      </c>
    </row>
    <row r="36" spans="1:8" ht="31.5" customHeight="1" x14ac:dyDescent="0.5">
      <c r="B36" s="41" t="s">
        <v>676</v>
      </c>
      <c r="C36" s="95">
        <v>4.0000000000000001E-3</v>
      </c>
      <c r="E36" s="64">
        <f>'BID SUMMARY'!C12*C36</f>
        <v>88.02</v>
      </c>
      <c r="G36" s="64">
        <f t="shared" si="1"/>
        <v>88.02</v>
      </c>
      <c r="H36" s="40" t="s">
        <v>677</v>
      </c>
    </row>
    <row r="37" spans="1:8" ht="31.5" customHeight="1" x14ac:dyDescent="0.5">
      <c r="B37" s="38" t="s">
        <v>678</v>
      </c>
      <c r="C37" s="95">
        <v>3.0000000000000001E-3</v>
      </c>
      <c r="E37" s="64">
        <f>'BID SUMMARY'!C12*C37</f>
        <v>66.015000000000001</v>
      </c>
      <c r="G37" s="64">
        <f t="shared" si="1"/>
        <v>66.015000000000001</v>
      </c>
      <c r="H37" s="40" t="s">
        <v>679</v>
      </c>
    </row>
    <row r="38" spans="1:8" ht="31.5" customHeight="1" x14ac:dyDescent="0.5">
      <c r="B38" s="41" t="s">
        <v>680</v>
      </c>
      <c r="C38" s="95">
        <v>0.01</v>
      </c>
      <c r="E38" s="64">
        <f>'BID SUMMARY'!C12*C38</f>
        <v>220.05</v>
      </c>
      <c r="G38" s="64">
        <f t="shared" si="1"/>
        <v>220.05</v>
      </c>
      <c r="H38" s="40" t="s">
        <v>681</v>
      </c>
    </row>
    <row r="39" spans="1:8" ht="31.5" customHeight="1" x14ac:dyDescent="0.5">
      <c r="B39" s="38" t="s">
        <v>682</v>
      </c>
      <c r="C39" s="95">
        <v>0</v>
      </c>
      <c r="E39" s="64">
        <f>'BID SUMMARY'!C12*C39</f>
        <v>0</v>
      </c>
      <c r="G39" s="64">
        <f t="shared" si="1"/>
        <v>0</v>
      </c>
      <c r="H39" s="40" t="s">
        <v>683</v>
      </c>
    </row>
    <row r="40" spans="1:8" ht="15.75" customHeight="1" x14ac:dyDescent="0.5">
      <c r="B40" s="96" t="s">
        <v>684</v>
      </c>
      <c r="G40" s="44">
        <f>SUM(G33:G39)</f>
        <v>880.2</v>
      </c>
    </row>
    <row r="41" spans="1:8" ht="15.75" customHeight="1" x14ac:dyDescent="0.5"/>
    <row r="42" spans="1:8" ht="18" customHeight="1" x14ac:dyDescent="0.5">
      <c r="A42" s="73"/>
      <c r="B42" s="74" t="s">
        <v>215</v>
      </c>
      <c r="C42" s="73"/>
      <c r="D42" s="73"/>
      <c r="E42" s="73"/>
      <c r="F42" s="73"/>
      <c r="G42" s="76">
        <f>G16+G30+G40</f>
        <v>2376.54</v>
      </c>
      <c r="H42" s="73"/>
    </row>
    <row r="43" spans="1:8" ht="15.75" customHeight="1" x14ac:dyDescent="0.5"/>
    <row r="44" spans="1:8" ht="31.5" customHeight="1" x14ac:dyDescent="0.5">
      <c r="B44" s="6" t="s">
        <v>685</v>
      </c>
      <c r="C44" s="6"/>
      <c r="D44" s="6"/>
      <c r="E44" s="6"/>
      <c r="F44" s="6"/>
      <c r="G44" s="6"/>
    </row>
  </sheetData>
  <mergeCells count="3">
    <mergeCell ref="B2:G2"/>
    <mergeCell ref="C5:G5"/>
    <mergeCell ref="B44:G4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34AB7"/>
  </sheetPr>
  <dimension ref="A1:G53"/>
  <sheetViews>
    <sheetView zoomScaleNormal="100" workbookViewId="0"/>
  </sheetViews>
  <sheetFormatPr defaultColWidth="8.703125" defaultRowHeight="14.35" x14ac:dyDescent="0.5"/>
  <cols>
    <col min="1" max="1" width="3" customWidth="1"/>
    <col min="2" max="2" width="48" customWidth="1"/>
    <col min="3" max="3" width="20" customWidth="1"/>
    <col min="4" max="5" width="14" customWidth="1"/>
    <col min="6" max="6" width="52" customWidth="1"/>
    <col min="7" max="7" width="3" customWidth="1"/>
  </cols>
  <sheetData>
    <row r="1" spans="1:7" ht="21.75" customHeight="1" x14ac:dyDescent="0.5">
      <c r="A1" s="9"/>
      <c r="B1" s="20" t="s">
        <v>686</v>
      </c>
      <c r="C1" s="9"/>
      <c r="D1" s="9"/>
      <c r="E1" s="9"/>
      <c r="F1" s="9"/>
      <c r="G1" s="9"/>
    </row>
    <row r="2" spans="1:7" ht="15.75" customHeight="1" x14ac:dyDescent="0.5">
      <c r="A2" s="11"/>
      <c r="B2" s="7" t="str">
        <f>ASSUMPTIONS!C5 &amp; "   |   " &amp; "ROM Date: " &amp; ASSUMPTIONS!C6</f>
        <v>Forward Home — Type D 10-Unit Cluster   |   ROM Date: May 2026</v>
      </c>
      <c r="C2" s="7"/>
      <c r="D2" s="7"/>
      <c r="E2" s="7"/>
    </row>
    <row r="3" spans="1:7" ht="15.75" customHeight="1" x14ac:dyDescent="0.5"/>
    <row r="4" spans="1:7" ht="15.75" customHeight="1" x14ac:dyDescent="0.5">
      <c r="B4" s="97" t="s">
        <v>687</v>
      </c>
      <c r="C4" s="97" t="s">
        <v>688</v>
      </c>
      <c r="D4" s="97" t="s">
        <v>689</v>
      </c>
      <c r="E4" s="97" t="s">
        <v>690</v>
      </c>
      <c r="F4" s="97" t="s">
        <v>42</v>
      </c>
    </row>
    <row r="5" spans="1:7" ht="15.75" customHeight="1" x14ac:dyDescent="0.5">
      <c r="A5" s="27"/>
      <c r="B5" s="28" t="s">
        <v>691</v>
      </c>
      <c r="C5" s="27"/>
      <c r="D5" s="27"/>
      <c r="E5" s="27"/>
      <c r="F5" s="27"/>
      <c r="G5" s="27"/>
    </row>
    <row r="6" spans="1:7" ht="31.5" customHeight="1" x14ac:dyDescent="0.5">
      <c r="B6" s="41" t="s">
        <v>692</v>
      </c>
      <c r="C6" s="64">
        <f>'BID SUMMARY'!C7</f>
        <v>200</v>
      </c>
      <c r="D6" s="98">
        <f>IFERROR(C7/C13,0)</f>
        <v>0</v>
      </c>
      <c r="E6" s="98">
        <f>IFERROR(C7/C36,0)</f>
        <v>0</v>
      </c>
      <c r="F6" s="40" t="s">
        <v>693</v>
      </c>
    </row>
    <row r="7" spans="1:7" ht="31.5" customHeight="1" x14ac:dyDescent="0.5">
      <c r="B7" s="38" t="s">
        <v>694</v>
      </c>
      <c r="C7" s="64">
        <f>'BID SUMMARY'!C8</f>
        <v>10351.800000000001</v>
      </c>
      <c r="D7" s="98">
        <f>IFERROR(C8/C13,0)</f>
        <v>0</v>
      </c>
      <c r="E7" s="98">
        <f>IFERROR(C8/C36,0)</f>
        <v>0</v>
      </c>
      <c r="F7" s="40" t="s">
        <v>695</v>
      </c>
    </row>
    <row r="8" spans="1:7" ht="15.75" customHeight="1" x14ac:dyDescent="0.5">
      <c r="B8" s="41" t="s">
        <v>198</v>
      </c>
      <c r="C8" s="64">
        <f>'BID SUMMARY'!C9</f>
        <v>10901.800000000001</v>
      </c>
      <c r="D8" s="98">
        <f>IFERROR(C9/C13,0)</f>
        <v>0</v>
      </c>
      <c r="E8" s="98">
        <f>IFERROR(C9/C36,0)</f>
        <v>0</v>
      </c>
    </row>
    <row r="9" spans="1:7" ht="31.5" customHeight="1" x14ac:dyDescent="0.5">
      <c r="B9" s="38" t="s">
        <v>696</v>
      </c>
      <c r="C9" s="64">
        <f>'BID SUMMARY'!C10</f>
        <v>3500</v>
      </c>
      <c r="D9" s="98">
        <f>IFERROR(C10/C13,0)</f>
        <v>0</v>
      </c>
      <c r="E9" s="98">
        <f>IFERROR(C10/C36,0)</f>
        <v>0</v>
      </c>
      <c r="F9" s="40" t="s">
        <v>697</v>
      </c>
    </row>
    <row r="10" spans="1:7" ht="15.75" customHeight="1" x14ac:dyDescent="0.5">
      <c r="B10" s="41" t="s">
        <v>202</v>
      </c>
      <c r="C10" s="64">
        <f>'BID SUMMARY'!C11</f>
        <v>6075</v>
      </c>
      <c r="D10" s="98">
        <f>IFERROR(C11/C13,0)</f>
        <v>0</v>
      </c>
      <c r="E10" s="98">
        <f>IFERROR(C11/C36,0)</f>
        <v>0</v>
      </c>
    </row>
    <row r="11" spans="1:7" ht="15.75" customHeight="1" x14ac:dyDescent="0.5">
      <c r="B11" s="43" t="s">
        <v>698</v>
      </c>
      <c r="C11" s="44">
        <f>'BID SUMMARY'!C12</f>
        <v>22005</v>
      </c>
      <c r="D11" s="99">
        <v>1</v>
      </c>
      <c r="E11" s="99">
        <f>IFERROR(C13/C36,0)</f>
        <v>0</v>
      </c>
    </row>
    <row r="12" spans="1:7" ht="15.75" customHeight="1" x14ac:dyDescent="0.5"/>
    <row r="13" spans="1:7" ht="15.75" customHeight="1" x14ac:dyDescent="0.5">
      <c r="A13" s="27"/>
      <c r="B13" s="28" t="s">
        <v>699</v>
      </c>
      <c r="C13" s="27"/>
      <c r="D13" s="27"/>
      <c r="E13" s="27"/>
      <c r="F13" s="27"/>
      <c r="G13" s="27"/>
    </row>
    <row r="14" spans="1:7" ht="31.5" customHeight="1" x14ac:dyDescent="0.5">
      <c r="B14" s="41" t="s">
        <v>700</v>
      </c>
      <c r="C14" s="64">
        <f>'SOFT COSTS'!G54</f>
        <v>0</v>
      </c>
      <c r="D14" s="98">
        <f>IFERROR(C16/C13,0)</f>
        <v>0</v>
      </c>
      <c r="E14" s="98">
        <f>IFERROR(C16/C36,0)</f>
        <v>0</v>
      </c>
      <c r="F14" s="40" t="s">
        <v>701</v>
      </c>
    </row>
    <row r="15" spans="1:7" ht="15.75" customHeight="1" x14ac:dyDescent="0.5">
      <c r="B15" s="38" t="s">
        <v>646</v>
      </c>
      <c r="C15" s="64">
        <f>'SOFT COSTS'!G57</f>
        <v>0</v>
      </c>
      <c r="D15" s="98">
        <f>IFERROR(C17/C13,0)</f>
        <v>0</v>
      </c>
      <c r="E15" s="98">
        <f>IFERROR(C17/C36,0)</f>
        <v>0</v>
      </c>
    </row>
    <row r="16" spans="1:7" ht="31.5" customHeight="1" x14ac:dyDescent="0.5">
      <c r="B16" s="41" t="s">
        <v>702</v>
      </c>
      <c r="C16" s="64">
        <f>IFERROR(SUM('SOFT COSTS'!G58,'SOFT COSTS'!G59,'SOFT COSTS'!G60,'SOFT COSTS'!G61),0)</f>
        <v>0</v>
      </c>
      <c r="D16" s="98">
        <f>IFERROR(C18/C13,0)</f>
        <v>0</v>
      </c>
      <c r="E16" s="98">
        <f>IFERROR(C18/C36,0)</f>
        <v>0</v>
      </c>
      <c r="F16" s="40" t="s">
        <v>703</v>
      </c>
    </row>
    <row r="17" spans="1:7" ht="15.75" customHeight="1" x14ac:dyDescent="0.5">
      <c r="B17" s="38" t="s">
        <v>704</v>
      </c>
      <c r="C17" s="64">
        <f>IFERROR(SUM('SOFT COSTS'!G62,'SOFT COSTS'!G63),0)</f>
        <v>0</v>
      </c>
      <c r="D17" s="98">
        <f>IFERROR(C19/C13,0)</f>
        <v>0</v>
      </c>
      <c r="E17" s="98">
        <f>IFERROR(C19/C36,0)</f>
        <v>0</v>
      </c>
    </row>
    <row r="18" spans="1:7" ht="31.5" customHeight="1" x14ac:dyDescent="0.5">
      <c r="B18" s="41" t="s">
        <v>213</v>
      </c>
      <c r="C18" s="64">
        <f>'SOFT COSTS'!G85</f>
        <v>0</v>
      </c>
      <c r="D18" s="98">
        <f>IFERROR(C20/C13,0)</f>
        <v>0</v>
      </c>
      <c r="E18" s="98">
        <f>IFERROR(C20/C36,0)</f>
        <v>0</v>
      </c>
      <c r="F18" s="40" t="s">
        <v>705</v>
      </c>
    </row>
    <row r="19" spans="1:7" ht="15.75" customHeight="1" x14ac:dyDescent="0.5">
      <c r="B19" s="43" t="s">
        <v>215</v>
      </c>
      <c r="C19" s="44">
        <f>'SOFT COSTS'!G86</f>
        <v>0</v>
      </c>
      <c r="D19" s="99">
        <f>IFERROR(C25/C13,0)</f>
        <v>0</v>
      </c>
      <c r="E19" s="99">
        <f>IFERROR(C25/C36,0)</f>
        <v>0</v>
      </c>
    </row>
    <row r="20" spans="1:7" ht="15.75" customHeight="1" x14ac:dyDescent="0.5"/>
    <row r="21" spans="1:7" ht="15.75" customHeight="1" x14ac:dyDescent="0.5">
      <c r="A21" s="27"/>
      <c r="B21" s="28" t="s">
        <v>706</v>
      </c>
      <c r="C21" s="27"/>
      <c r="D21" s="27"/>
      <c r="E21" s="27"/>
      <c r="F21" s="27"/>
      <c r="G21" s="27"/>
    </row>
    <row r="22" spans="1:7" ht="31.5" customHeight="1" x14ac:dyDescent="0.5">
      <c r="B22" s="41" t="s">
        <v>707</v>
      </c>
      <c r="C22" s="64">
        <f>IFERROR(D28*C13,0)</f>
        <v>0</v>
      </c>
      <c r="D22" s="98">
        <v>0.05</v>
      </c>
      <c r="E22" s="98">
        <f>IFERROR(C28/C36,0)</f>
        <v>0</v>
      </c>
      <c r="F22" s="40" t="s">
        <v>708</v>
      </c>
    </row>
    <row r="23" spans="1:7" ht="31.5" customHeight="1" x14ac:dyDescent="0.5">
      <c r="B23" s="38" t="s">
        <v>709</v>
      </c>
      <c r="C23" s="64">
        <v>0</v>
      </c>
      <c r="D23" s="98">
        <v>0</v>
      </c>
      <c r="E23" s="98">
        <f>IFERROR(C29/C36,0)</f>
        <v>0</v>
      </c>
      <c r="F23" s="40" t="s">
        <v>710</v>
      </c>
    </row>
    <row r="24" spans="1:7" ht="31.5" customHeight="1" x14ac:dyDescent="0.5">
      <c r="B24" s="41" t="s">
        <v>711</v>
      </c>
      <c r="C24" s="64">
        <v>0</v>
      </c>
      <c r="D24" s="98">
        <v>0</v>
      </c>
      <c r="E24" s="98"/>
      <c r="F24" s="40" t="s">
        <v>712</v>
      </c>
    </row>
    <row r="25" spans="1:7" ht="31.5" customHeight="1" x14ac:dyDescent="0.5">
      <c r="B25" s="38" t="s">
        <v>713</v>
      </c>
      <c r="C25" s="64">
        <v>0</v>
      </c>
      <c r="D25" s="98">
        <v>0</v>
      </c>
      <c r="E25" s="98"/>
      <c r="F25" s="40" t="s">
        <v>714</v>
      </c>
    </row>
    <row r="26" spans="1:7" ht="15.75" customHeight="1" x14ac:dyDescent="0.5">
      <c r="B26" s="43" t="s">
        <v>715</v>
      </c>
      <c r="C26" s="44">
        <f>C28+C29+C30+C31</f>
        <v>0</v>
      </c>
      <c r="D26" s="99">
        <f>IFERROR(C34/C13,0)</f>
        <v>0</v>
      </c>
      <c r="E26" s="99">
        <f>IFERROR(C34/C36,0)</f>
        <v>0</v>
      </c>
    </row>
    <row r="27" spans="1:7" ht="15.75" customHeight="1" x14ac:dyDescent="0.5"/>
    <row r="28" spans="1:7" ht="19.5" customHeight="1" x14ac:dyDescent="0.5">
      <c r="A28" s="73"/>
      <c r="B28" s="100" t="s">
        <v>146</v>
      </c>
      <c r="C28" s="101">
        <f>C13+C25+C34</f>
        <v>0</v>
      </c>
      <c r="D28" s="73"/>
      <c r="E28" s="73"/>
      <c r="F28" s="73"/>
      <c r="G28" s="73"/>
    </row>
    <row r="29" spans="1:7" ht="15.75" customHeight="1" x14ac:dyDescent="0.5"/>
    <row r="30" spans="1:7" ht="15.75" customHeight="1" x14ac:dyDescent="0.5">
      <c r="A30" s="9"/>
      <c r="B30" s="22" t="s">
        <v>716</v>
      </c>
      <c r="C30" s="9"/>
      <c r="D30" s="9"/>
      <c r="E30" s="9"/>
      <c r="F30" s="9"/>
      <c r="G30" s="9"/>
    </row>
    <row r="31" spans="1:7" ht="15.75" customHeight="1" x14ac:dyDescent="0.5">
      <c r="B31" s="35" t="s">
        <v>717</v>
      </c>
      <c r="C31" s="34">
        <f>C36</f>
        <v>0</v>
      </c>
    </row>
    <row r="32" spans="1:7" ht="15.75" customHeight="1" x14ac:dyDescent="0.5">
      <c r="B32" s="35" t="s">
        <v>718</v>
      </c>
      <c r="C32" s="34">
        <f>'BID SUMMARY'!C12</f>
        <v>22005</v>
      </c>
    </row>
    <row r="33" spans="1:7" ht="15.75" customHeight="1" x14ac:dyDescent="0.5">
      <c r="B33" s="35" t="s">
        <v>145</v>
      </c>
      <c r="C33" s="34">
        <f>'SOFT COSTS'!G86</f>
        <v>0</v>
      </c>
    </row>
    <row r="34" spans="1:7" ht="15.75" customHeight="1" x14ac:dyDescent="0.5">
      <c r="B34" s="35" t="s">
        <v>719</v>
      </c>
      <c r="C34" s="30">
        <f>IFERROR('SOFT COSTS'!G86/'BID SUMMARY'!C12,0)</f>
        <v>0</v>
      </c>
    </row>
    <row r="35" spans="1:7" ht="15.75" customHeight="1" x14ac:dyDescent="0.5">
      <c r="B35" s="35" t="s">
        <v>720</v>
      </c>
      <c r="C35" s="102">
        <f>IFERROR(C36/ASSUMPTIONS!C12,0)</f>
        <v>0</v>
      </c>
    </row>
    <row r="36" spans="1:7" ht="15.75" customHeight="1" x14ac:dyDescent="0.5">
      <c r="B36" s="35" t="s">
        <v>721</v>
      </c>
      <c r="C36" s="102">
        <f>'BID SUMMARY'!C14</f>
        <v>0</v>
      </c>
    </row>
    <row r="38" spans="1:7" ht="19.5" customHeight="1" x14ac:dyDescent="0.5">
      <c r="A38" s="48"/>
      <c r="B38" s="49" t="s">
        <v>722</v>
      </c>
      <c r="C38" s="48"/>
      <c r="D38" s="48"/>
      <c r="E38" s="48"/>
      <c r="F38" s="48"/>
      <c r="G38" s="48"/>
    </row>
    <row r="39" spans="1:7" ht="31.5" customHeight="1" x14ac:dyDescent="0.5">
      <c r="A39" s="80"/>
      <c r="B39" s="4" t="s">
        <v>723</v>
      </c>
      <c r="C39" s="4"/>
      <c r="D39" s="4"/>
      <c r="E39" s="4"/>
      <c r="F39" s="4"/>
      <c r="G39" s="80"/>
    </row>
    <row r="40" spans="1:7" ht="15" customHeight="1" x14ac:dyDescent="0.5">
      <c r="B40" s="41" t="s">
        <v>724</v>
      </c>
      <c r="C40" s="81">
        <v>18000</v>
      </c>
      <c r="D40" s="98">
        <f>IFERROR(C40/'BID SUMMARY'!C12,0)</f>
        <v>0.81799591002044991</v>
      </c>
      <c r="F40" s="103" t="s">
        <v>725</v>
      </c>
    </row>
    <row r="41" spans="1:7" ht="15" customHeight="1" x14ac:dyDescent="0.5">
      <c r="B41" s="38" t="s">
        <v>726</v>
      </c>
      <c r="C41" s="81">
        <v>32000</v>
      </c>
      <c r="D41" s="98">
        <f>IFERROR(C41/'BID SUMMARY'!C12,0)</f>
        <v>1.4542149511474665</v>
      </c>
      <c r="F41" s="103" t="s">
        <v>725</v>
      </c>
    </row>
    <row r="42" spans="1:7" ht="15" customHeight="1" x14ac:dyDescent="0.5">
      <c r="B42" s="41" t="s">
        <v>727</v>
      </c>
      <c r="C42" s="81">
        <v>45000</v>
      </c>
      <c r="D42" s="98">
        <f>IFERROR(C42/'BID SUMMARY'!C12,0)</f>
        <v>2.0449897750511248</v>
      </c>
      <c r="F42" s="103" t="s">
        <v>725</v>
      </c>
    </row>
    <row r="43" spans="1:7" ht="15" customHeight="1" x14ac:dyDescent="0.5">
      <c r="B43" s="38" t="s">
        <v>728</v>
      </c>
      <c r="C43" s="81">
        <v>38000</v>
      </c>
      <c r="D43" s="98">
        <f>IFERROR(C43/'BID SUMMARY'!C12,0)</f>
        <v>1.7268802544876165</v>
      </c>
      <c r="F43" s="103" t="s">
        <v>725</v>
      </c>
    </row>
    <row r="44" spans="1:7" ht="15" customHeight="1" x14ac:dyDescent="0.5">
      <c r="B44" s="41" t="s">
        <v>729</v>
      </c>
      <c r="C44" s="81">
        <v>24000</v>
      </c>
      <c r="D44" s="98">
        <f>IFERROR(C44/'BID SUMMARY'!C12,0)</f>
        <v>1.0906612133606</v>
      </c>
      <c r="F44" s="103" t="s">
        <v>725</v>
      </c>
    </row>
    <row r="45" spans="1:7" ht="15" customHeight="1" x14ac:dyDescent="0.5">
      <c r="B45" s="38" t="s">
        <v>730</v>
      </c>
      <c r="C45" s="81">
        <v>35000</v>
      </c>
      <c r="D45" s="98">
        <f>IFERROR(C45/'BID SUMMARY'!C12,0)</f>
        <v>1.5905476028175414</v>
      </c>
      <c r="F45" s="103" t="s">
        <v>725</v>
      </c>
    </row>
    <row r="46" spans="1:7" ht="15" customHeight="1" x14ac:dyDescent="0.5">
      <c r="B46" s="41" t="s">
        <v>731</v>
      </c>
      <c r="C46" s="81">
        <v>28000</v>
      </c>
      <c r="D46" s="98">
        <f>IFERROR(C46/'BID SUMMARY'!C12,0)</f>
        <v>1.2724380822540331</v>
      </c>
      <c r="F46" s="103" t="s">
        <v>725</v>
      </c>
    </row>
    <row r="47" spans="1:7" ht="15" customHeight="1" x14ac:dyDescent="0.5">
      <c r="B47" s="38" t="s">
        <v>732</v>
      </c>
      <c r="C47" s="81">
        <v>6000</v>
      </c>
      <c r="D47" s="98">
        <f>IFERROR(C47/'BID SUMMARY'!C12,0)</f>
        <v>0.27266530334014999</v>
      </c>
      <c r="F47" s="103" t="s">
        <v>725</v>
      </c>
    </row>
    <row r="48" spans="1:7" ht="15" customHeight="1" x14ac:dyDescent="0.5">
      <c r="B48" s="41" t="s">
        <v>733</v>
      </c>
      <c r="C48" s="81">
        <v>8000</v>
      </c>
      <c r="D48" s="98">
        <f>IFERROR(C48/'BID SUMMARY'!C12,0)</f>
        <v>0.36355373778686662</v>
      </c>
      <c r="F48" s="103" t="s">
        <v>725</v>
      </c>
    </row>
    <row r="49" spans="1:7" ht="15.75" customHeight="1" x14ac:dyDescent="0.5">
      <c r="A49" s="80"/>
      <c r="B49" s="82" t="s">
        <v>734</v>
      </c>
      <c r="C49" s="84">
        <f>SUM(C40+C41+C42+C43+C44+C45+C46+C47+C48)</f>
        <v>234000</v>
      </c>
      <c r="D49" s="80"/>
      <c r="E49" s="80"/>
      <c r="F49" s="104" t="s">
        <v>735</v>
      </c>
      <c r="G49" s="80"/>
    </row>
    <row r="50" spans="1:7" ht="31.5" customHeight="1" x14ac:dyDescent="0.5">
      <c r="A50" s="85"/>
      <c r="B50" s="86" t="s">
        <v>736</v>
      </c>
      <c r="C50" s="88">
        <f>-C49</f>
        <v>-234000</v>
      </c>
      <c r="D50" s="105">
        <f>IFERROR(C50/'BID SUMMARY'!C12,0)</f>
        <v>-10.633946830265849</v>
      </c>
      <c r="E50" s="85"/>
      <c r="F50" s="89" t="s">
        <v>737</v>
      </c>
      <c r="G50" s="85"/>
    </row>
    <row r="51" spans="1:7" ht="15.75" customHeight="1" x14ac:dyDescent="0.5">
      <c r="A51" s="60"/>
      <c r="B51" s="61" t="s">
        <v>614</v>
      </c>
      <c r="C51" s="90">
        <f>C49+C50</f>
        <v>0</v>
      </c>
      <c r="D51" s="60"/>
      <c r="E51" s="60"/>
      <c r="F51" s="106" t="s">
        <v>738</v>
      </c>
      <c r="G51" s="60"/>
    </row>
    <row r="53" spans="1:7" ht="43.5" customHeight="1" x14ac:dyDescent="0.5">
      <c r="A53" s="80"/>
      <c r="B53" s="107" t="s">
        <v>739</v>
      </c>
      <c r="C53" s="80"/>
      <c r="D53" s="80"/>
      <c r="E53" s="80"/>
      <c r="F53" s="108" t="s">
        <v>740</v>
      </c>
      <c r="G53" s="80"/>
    </row>
  </sheetData>
  <mergeCells count="2">
    <mergeCell ref="B2:E2"/>
    <mergeCell ref="B39:F3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96B23"/>
  </sheetPr>
  <dimension ref="A1:N195"/>
  <sheetViews>
    <sheetView zoomScaleNormal="100" workbookViewId="0"/>
  </sheetViews>
  <sheetFormatPr defaultColWidth="8.703125" defaultRowHeight="14.35" x14ac:dyDescent="0.5"/>
  <cols>
    <col min="1" max="1" width="2" customWidth="1"/>
    <col min="2" max="2" width="46" customWidth="1"/>
    <col min="3" max="3" width="12" customWidth="1"/>
    <col min="4" max="7" width="16" customWidth="1"/>
    <col min="8" max="8" width="14" customWidth="1"/>
    <col min="9" max="10" width="16" customWidth="1"/>
    <col min="11" max="11" width="14" customWidth="1"/>
    <col min="12" max="12" width="12" customWidth="1"/>
    <col min="13" max="13" width="36" customWidth="1"/>
    <col min="14" max="14" width="3" customWidth="1"/>
  </cols>
  <sheetData>
    <row r="1" spans="1:14" ht="21.75" customHeight="1" x14ac:dyDescent="0.5">
      <c r="A1" s="9"/>
      <c r="B1" s="10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75" customHeight="1" x14ac:dyDescent="0.5">
      <c r="A2" s="11"/>
      <c r="B2" s="2" t="str">
        <f>COVER!C4 &amp; "  ·  " &amp; "M4Di ALDi Controls  ·  G0 ROM Baseline"</f>
        <v xml:space="preserve">  ·  M4Di ALDi Controls  ·  G0 ROM Baseline</v>
      </c>
      <c r="C2" s="2"/>
      <c r="D2" s="2"/>
      <c r="E2" s="2"/>
      <c r="F2" s="2"/>
      <c r="G2" s="2"/>
      <c r="H2" s="2"/>
      <c r="I2" s="2"/>
      <c r="J2" s="2"/>
      <c r="K2" s="11"/>
      <c r="L2" s="11"/>
      <c r="M2" s="11"/>
      <c r="N2" s="11"/>
    </row>
    <row r="3" spans="1:14" ht="43.5" customHeight="1" x14ac:dyDescent="0.5">
      <c r="A3" s="16"/>
      <c r="B3" s="57" t="s">
        <v>687</v>
      </c>
      <c r="C3" s="58" t="s">
        <v>226</v>
      </c>
      <c r="D3" s="59" t="s">
        <v>741</v>
      </c>
      <c r="E3" s="59" t="s">
        <v>742</v>
      </c>
      <c r="F3" s="59" t="s">
        <v>743</v>
      </c>
      <c r="G3" s="59" t="s">
        <v>744</v>
      </c>
      <c r="H3" s="59" t="s">
        <v>231</v>
      </c>
      <c r="I3" s="109" t="s">
        <v>745</v>
      </c>
      <c r="J3" s="109" t="s">
        <v>746</v>
      </c>
      <c r="K3" s="109" t="s">
        <v>747</v>
      </c>
      <c r="L3" s="110" t="s">
        <v>748</v>
      </c>
      <c r="M3" s="110" t="s">
        <v>749</v>
      </c>
      <c r="N3" s="111" t="s">
        <v>750</v>
      </c>
    </row>
    <row r="4" spans="1:14" ht="15.75" customHeight="1" x14ac:dyDescent="0.5">
      <c r="A4" s="16"/>
      <c r="B4" s="1" t="s">
        <v>751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customHeight="1" x14ac:dyDescent="0.5">
      <c r="A5" s="16"/>
      <c r="B5" s="17" t="s">
        <v>752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75" customHeight="1" x14ac:dyDescent="0.5">
      <c r="A6" s="60"/>
      <c r="B6" s="61" t="s">
        <v>753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</row>
    <row r="7" spans="1:14" ht="31.5" customHeight="1" x14ac:dyDescent="0.5">
      <c r="A7" s="112"/>
      <c r="B7" s="113" t="s">
        <v>237</v>
      </c>
      <c r="C7" s="66" t="s">
        <v>236</v>
      </c>
      <c r="D7" s="67"/>
      <c r="E7" s="114"/>
      <c r="F7" s="114"/>
      <c r="G7" s="114"/>
      <c r="H7" s="64" t="str">
        <f>IF(AND(ISNUMBER(D7),ISNUMBER(E7)),E7-D7,"")</f>
        <v/>
      </c>
      <c r="I7" s="115"/>
      <c r="J7" s="115"/>
      <c r="K7" s="116" t="str">
        <f>IF(AND(ISNUMBER(D7),ISNUMBER(I7)),I7-D7,"")</f>
        <v/>
      </c>
      <c r="L7" s="117">
        <f>IFERROR(G7-F7,"-")</f>
        <v>0</v>
      </c>
      <c r="M7" s="118" t="str">
        <f>IFERROR((G7-F7)/F7,"-")</f>
        <v>-</v>
      </c>
      <c r="N7" s="119" t="s">
        <v>754</v>
      </c>
    </row>
    <row r="8" spans="1:14" ht="31.5" customHeight="1" x14ac:dyDescent="0.5">
      <c r="A8" s="60"/>
      <c r="B8" s="120" t="s">
        <v>755</v>
      </c>
      <c r="C8" s="63" t="s">
        <v>241</v>
      </c>
      <c r="D8" s="67"/>
      <c r="E8" s="121"/>
      <c r="F8" s="121"/>
      <c r="G8" s="121"/>
      <c r="H8" s="64" t="str">
        <f>IF(AND(ISNUMBER(D8),ISNUMBER(E8)),E8-D8,"")</f>
        <v/>
      </c>
      <c r="I8" s="115"/>
      <c r="J8" s="115"/>
      <c r="K8" s="116" t="str">
        <f>IF(AND(ISNUMBER(D8),ISNUMBER(I8)),I8-D8,"")</f>
        <v/>
      </c>
      <c r="L8" s="117">
        <f>IFERROR(G8-F8,"-")</f>
        <v>0</v>
      </c>
      <c r="M8" s="118" t="str">
        <f>IFERROR((G8-F8)/F8,"-")</f>
        <v>-</v>
      </c>
      <c r="N8" s="122" t="s">
        <v>403</v>
      </c>
    </row>
    <row r="9" spans="1:14" ht="31.5" customHeight="1" x14ac:dyDescent="0.5">
      <c r="A9" s="112"/>
      <c r="B9" s="113" t="s">
        <v>756</v>
      </c>
      <c r="C9" s="66" t="s">
        <v>244</v>
      </c>
      <c r="D9" s="67"/>
      <c r="E9" s="114"/>
      <c r="F9" s="114"/>
      <c r="G9" s="114"/>
      <c r="H9" s="64" t="str">
        <f>IF(AND(ISNUMBER(D9),ISNUMBER(E9)),E9-D9,"")</f>
        <v/>
      </c>
      <c r="I9" s="115"/>
      <c r="J9" s="115"/>
      <c r="K9" s="116" t="str">
        <f>IF(AND(ISNUMBER(D9),ISNUMBER(I9)),I9-D9,"")</f>
        <v/>
      </c>
      <c r="L9" s="117">
        <f>IFERROR(G9-F9,"-")</f>
        <v>0</v>
      </c>
      <c r="M9" s="118" t="str">
        <f>IFERROR((G9-F9)/F9,"-")</f>
        <v>-</v>
      </c>
      <c r="N9" s="119" t="s">
        <v>403</v>
      </c>
    </row>
    <row r="10" spans="1:14" ht="31.5" customHeight="1" x14ac:dyDescent="0.5">
      <c r="A10" s="60"/>
      <c r="B10" s="120" t="s">
        <v>757</v>
      </c>
      <c r="C10" s="63" t="s">
        <v>247</v>
      </c>
      <c r="D10" s="67"/>
      <c r="E10" s="121"/>
      <c r="F10" s="121"/>
      <c r="G10" s="121"/>
      <c r="H10" s="64" t="str">
        <f>IF(AND(ISNUMBER(D10),ISNUMBER(E10)),E10-D10,"")</f>
        <v/>
      </c>
      <c r="I10" s="115"/>
      <c r="J10" s="115"/>
      <c r="K10" s="116" t="str">
        <f>IF(AND(ISNUMBER(D10),ISNUMBER(I10)),I10-D10,"")</f>
        <v/>
      </c>
      <c r="L10" s="117">
        <f>IFERROR(G10-F10,"-")</f>
        <v>0</v>
      </c>
      <c r="M10" s="118" t="str">
        <f>IFERROR((G10-F10)/F10,"-")</f>
        <v>-</v>
      </c>
      <c r="N10" s="122" t="s">
        <v>758</v>
      </c>
    </row>
    <row r="11" spans="1:14" ht="15.75" customHeight="1" x14ac:dyDescent="0.5">
      <c r="A11" s="12"/>
      <c r="B11" s="69" t="s">
        <v>759</v>
      </c>
      <c r="C11" s="70" t="s">
        <v>250</v>
      </c>
      <c r="D11" s="44">
        <f>SUM(D7,D8,D9,D10)</f>
        <v>0</v>
      </c>
      <c r="E11" s="44">
        <f>SUM(E7,E8,E9,E10)</f>
        <v>0</v>
      </c>
      <c r="F11" s="44">
        <f>SUM(F7,F8,F9,F10)</f>
        <v>0</v>
      </c>
      <c r="G11" s="44">
        <f>SUM(G7,G8,G9,G10)</f>
        <v>0</v>
      </c>
      <c r="H11" s="12"/>
      <c r="I11" s="12"/>
      <c r="J11" s="12"/>
      <c r="K11" s="12"/>
      <c r="L11" s="12"/>
      <c r="M11" s="12"/>
      <c r="N11" s="12"/>
    </row>
    <row r="12" spans="1:14" ht="15.75" customHeight="1" x14ac:dyDescent="0.5">
      <c r="A12" s="60"/>
      <c r="B12" s="61" t="s">
        <v>760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 spans="1:14" ht="31.5" customHeight="1" x14ac:dyDescent="0.5">
      <c r="A13" s="112"/>
      <c r="B13" s="113" t="s">
        <v>761</v>
      </c>
      <c r="C13" s="66" t="s">
        <v>254</v>
      </c>
      <c r="D13" s="67"/>
      <c r="E13" s="114"/>
      <c r="F13" s="114"/>
      <c r="G13" s="114"/>
      <c r="H13" s="64" t="str">
        <f>IF(AND(ISNUMBER(D13),ISNUMBER(E13)),E13-D13,"")</f>
        <v/>
      </c>
      <c r="I13" s="115"/>
      <c r="J13" s="115"/>
      <c r="K13" s="116" t="str">
        <f>IF(AND(ISNUMBER(D13),ISNUMBER(I13)),I13-D13,"")</f>
        <v/>
      </c>
      <c r="L13" s="117">
        <f>IFERROR(G13-F13,"-")</f>
        <v>0</v>
      </c>
      <c r="M13" s="118" t="str">
        <f>IFERROR((G13-F13)/F13,"-")</f>
        <v>-</v>
      </c>
      <c r="N13" s="119" t="s">
        <v>762</v>
      </c>
    </row>
    <row r="14" spans="1:14" ht="31.5" customHeight="1" x14ac:dyDescent="0.5">
      <c r="A14" s="60"/>
      <c r="B14" s="120" t="s">
        <v>763</v>
      </c>
      <c r="C14" s="63" t="s">
        <v>257</v>
      </c>
      <c r="D14" s="67"/>
      <c r="E14" s="121"/>
      <c r="F14" s="121"/>
      <c r="G14" s="121"/>
      <c r="H14" s="64" t="str">
        <f>IF(AND(ISNUMBER(D14),ISNUMBER(E14)),E14-D14,"")</f>
        <v/>
      </c>
      <c r="I14" s="115"/>
      <c r="J14" s="115"/>
      <c r="K14" s="116" t="str">
        <f>IF(AND(ISNUMBER(D14),ISNUMBER(I14)),I14-D14,"")</f>
        <v/>
      </c>
      <c r="L14" s="117">
        <f>IFERROR(G14-F14,"-")</f>
        <v>0</v>
      </c>
      <c r="M14" s="118" t="str">
        <f>IFERROR((G14-F14)/F14,"-")</f>
        <v>-</v>
      </c>
      <c r="N14" s="122" t="s">
        <v>764</v>
      </c>
    </row>
    <row r="15" spans="1:14" ht="31.5" customHeight="1" x14ac:dyDescent="0.5">
      <c r="A15" s="112"/>
      <c r="B15" s="113" t="s">
        <v>765</v>
      </c>
      <c r="C15" s="66" t="s">
        <v>260</v>
      </c>
      <c r="D15" s="67"/>
      <c r="E15" s="114"/>
      <c r="F15" s="114"/>
      <c r="G15" s="114"/>
      <c r="H15" s="64" t="str">
        <f>IF(AND(ISNUMBER(D15),ISNUMBER(E15)),E15-D15,"")</f>
        <v/>
      </c>
      <c r="I15" s="115"/>
      <c r="J15" s="115"/>
      <c r="K15" s="116" t="str">
        <f>IF(AND(ISNUMBER(D15),ISNUMBER(I15)),I15-D15,"")</f>
        <v/>
      </c>
      <c r="L15" s="117">
        <f>IFERROR(G15-F15,"-")</f>
        <v>0</v>
      </c>
      <c r="M15" s="118" t="str">
        <f>IFERROR((G15-F15)/F15,"-")</f>
        <v>-</v>
      </c>
      <c r="N15" s="119" t="s">
        <v>766</v>
      </c>
    </row>
    <row r="16" spans="1:14" ht="15.75" customHeight="1" x14ac:dyDescent="0.5">
      <c r="A16" s="12"/>
      <c r="B16" s="69" t="s">
        <v>767</v>
      </c>
      <c r="C16" s="70" t="s">
        <v>252</v>
      </c>
      <c r="D16" s="44">
        <f>SUM(D13,D14,D15)</f>
        <v>0</v>
      </c>
      <c r="E16" s="44">
        <f>SUM(E13,E14,E15)</f>
        <v>0</v>
      </c>
      <c r="F16" s="44">
        <f>SUM(F13,F14,F15)</f>
        <v>0</v>
      </c>
      <c r="G16" s="44">
        <f>SUM(G13,G14,G15)</f>
        <v>0</v>
      </c>
      <c r="H16" s="12"/>
      <c r="I16" s="12"/>
      <c r="J16" s="12"/>
      <c r="K16" s="12"/>
      <c r="L16" s="12"/>
      <c r="M16" s="12"/>
      <c r="N16" s="12"/>
    </row>
    <row r="17" spans="1:14" ht="15.75" customHeight="1" x14ac:dyDescent="0.5">
      <c r="A17" s="60"/>
      <c r="B17" s="61" t="s">
        <v>768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</row>
    <row r="18" spans="1:14" ht="31.5" customHeight="1" x14ac:dyDescent="0.5">
      <c r="A18" s="60"/>
      <c r="B18" s="120" t="s">
        <v>769</v>
      </c>
      <c r="C18" s="63" t="s">
        <v>266</v>
      </c>
      <c r="D18" s="67"/>
      <c r="E18" s="121"/>
      <c r="F18" s="121"/>
      <c r="G18" s="121"/>
      <c r="H18" s="64" t="str">
        <f>IF(AND(ISNUMBER(D18),ISNUMBER(E18)),E18-D18,"")</f>
        <v/>
      </c>
      <c r="I18" s="115"/>
      <c r="J18" s="115"/>
      <c r="K18" s="116" t="str">
        <f>IF(AND(ISNUMBER(D18),ISNUMBER(I18)),I18-D18,"")</f>
        <v/>
      </c>
      <c r="L18" s="117">
        <f>IFERROR(G18-F18,"-")</f>
        <v>0</v>
      </c>
      <c r="M18" s="118" t="str">
        <f>IFERROR((G18-F18)/F18,"-")</f>
        <v>-</v>
      </c>
      <c r="N18" s="122" t="s">
        <v>770</v>
      </c>
    </row>
    <row r="19" spans="1:14" ht="31.5" customHeight="1" x14ac:dyDescent="0.5">
      <c r="A19" s="112"/>
      <c r="B19" s="113" t="s">
        <v>771</v>
      </c>
      <c r="C19" s="66" t="s">
        <v>772</v>
      </c>
      <c r="D19" s="67"/>
      <c r="E19" s="114"/>
      <c r="F19" s="114"/>
      <c r="G19" s="114"/>
      <c r="H19" s="64" t="str">
        <f>IF(AND(ISNUMBER(D19),ISNUMBER(E19)),E19-D19,"")</f>
        <v/>
      </c>
      <c r="I19" s="115"/>
      <c r="J19" s="115"/>
      <c r="K19" s="116" t="str">
        <f>IF(AND(ISNUMBER(D19),ISNUMBER(I19)),I19-D19,"")</f>
        <v/>
      </c>
      <c r="L19" s="117">
        <f>IFERROR(G19-F19,"-")</f>
        <v>0</v>
      </c>
      <c r="M19" s="118" t="str">
        <f>IFERROR((G19-F19)/F19,"-")</f>
        <v>-</v>
      </c>
      <c r="N19" s="119" t="s">
        <v>773</v>
      </c>
    </row>
    <row r="20" spans="1:14" ht="31.5" customHeight="1" x14ac:dyDescent="0.5">
      <c r="A20" s="60"/>
      <c r="B20" s="120" t="s">
        <v>774</v>
      </c>
      <c r="C20" s="63" t="s">
        <v>274</v>
      </c>
      <c r="D20" s="67"/>
      <c r="E20" s="121"/>
      <c r="F20" s="121"/>
      <c r="G20" s="121"/>
      <c r="H20" s="64" t="str">
        <f>IF(AND(ISNUMBER(D20),ISNUMBER(E20)),E20-D20,"")</f>
        <v/>
      </c>
      <c r="I20" s="115"/>
      <c r="J20" s="115"/>
      <c r="K20" s="116" t="str">
        <f>IF(AND(ISNUMBER(D20),ISNUMBER(I20)),I20-D20,"")</f>
        <v/>
      </c>
      <c r="L20" s="117">
        <f>IFERROR(G20-F20,"-")</f>
        <v>0</v>
      </c>
      <c r="M20" s="118" t="str">
        <f>IFERROR((G20-F20)/F20,"-")</f>
        <v>-</v>
      </c>
      <c r="N20" s="122" t="s">
        <v>775</v>
      </c>
    </row>
    <row r="21" spans="1:14" ht="15.75" customHeight="1" x14ac:dyDescent="0.5">
      <c r="A21" s="12"/>
      <c r="B21" s="69" t="s">
        <v>776</v>
      </c>
      <c r="C21" s="70" t="s">
        <v>264</v>
      </c>
      <c r="D21" s="44">
        <f>SUM(D18,D19,D20)</f>
        <v>0</v>
      </c>
      <c r="E21" s="44">
        <f>SUM(E18,E19,E20)</f>
        <v>0</v>
      </c>
      <c r="F21" s="44">
        <f>SUM(F18,F19,F20)</f>
        <v>0</v>
      </c>
      <c r="G21" s="44">
        <f>SUM(G18,G19,G20)</f>
        <v>0</v>
      </c>
      <c r="H21" s="12"/>
      <c r="I21" s="12"/>
      <c r="J21" s="12"/>
      <c r="K21" s="12"/>
      <c r="L21" s="12"/>
      <c r="M21" s="12"/>
      <c r="N21" s="12"/>
    </row>
    <row r="22" spans="1:14" ht="15.75" customHeight="1" x14ac:dyDescent="0.5">
      <c r="A22" s="60"/>
      <c r="B22" s="61" t="s">
        <v>777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</row>
    <row r="23" spans="1:14" ht="31.5" customHeight="1" x14ac:dyDescent="0.5">
      <c r="A23" s="112"/>
      <c r="B23" s="113" t="s">
        <v>778</v>
      </c>
      <c r="C23" s="66" t="s">
        <v>280</v>
      </c>
      <c r="D23" s="67"/>
      <c r="E23" s="114"/>
      <c r="F23" s="114"/>
      <c r="G23" s="114"/>
      <c r="H23" s="64" t="str">
        <f>IF(AND(ISNUMBER(D23),ISNUMBER(E23)),E23-D23,"")</f>
        <v/>
      </c>
      <c r="I23" s="115"/>
      <c r="J23" s="115"/>
      <c r="K23" s="116" t="str">
        <f>IF(AND(ISNUMBER(D23),ISNUMBER(I23)),I23-D23,"")</f>
        <v/>
      </c>
      <c r="L23" s="117">
        <f>IFERROR(G23-F23,"-")</f>
        <v>0</v>
      </c>
      <c r="M23" s="118" t="str">
        <f>IFERROR((G23-F23)/F23,"-")</f>
        <v>-</v>
      </c>
      <c r="N23" s="119" t="s">
        <v>779</v>
      </c>
    </row>
    <row r="24" spans="1:14" ht="31.5" customHeight="1" x14ac:dyDescent="0.5">
      <c r="A24" s="60"/>
      <c r="B24" s="120" t="s">
        <v>780</v>
      </c>
      <c r="C24" s="63" t="s">
        <v>283</v>
      </c>
      <c r="D24" s="67"/>
      <c r="E24" s="121"/>
      <c r="F24" s="121"/>
      <c r="G24" s="121"/>
      <c r="H24" s="64" t="str">
        <f>IF(AND(ISNUMBER(D24),ISNUMBER(E24)),E24-D24,"")</f>
        <v/>
      </c>
      <c r="I24" s="115"/>
      <c r="J24" s="115"/>
      <c r="K24" s="116" t="str">
        <f>IF(AND(ISNUMBER(D24),ISNUMBER(I24)),I24-D24,"")</f>
        <v/>
      </c>
      <c r="L24" s="117">
        <f>IFERROR(G24-F24,"-")</f>
        <v>0</v>
      </c>
      <c r="M24" s="118" t="str">
        <f>IFERROR((G24-F24)/F24,"-")</f>
        <v>-</v>
      </c>
      <c r="N24" s="122" t="s">
        <v>781</v>
      </c>
    </row>
    <row r="25" spans="1:14" ht="31.5" customHeight="1" x14ac:dyDescent="0.5">
      <c r="A25" s="112"/>
      <c r="B25" s="113" t="s">
        <v>782</v>
      </c>
      <c r="C25" s="66" t="s">
        <v>286</v>
      </c>
      <c r="D25" s="67"/>
      <c r="E25" s="114"/>
      <c r="F25" s="114"/>
      <c r="G25" s="114"/>
      <c r="H25" s="64" t="str">
        <f>IF(AND(ISNUMBER(D25),ISNUMBER(E25)),E25-D25,"")</f>
        <v/>
      </c>
      <c r="I25" s="115"/>
      <c r="J25" s="115"/>
      <c r="K25" s="116" t="str">
        <f>IF(AND(ISNUMBER(D25),ISNUMBER(I25)),I25-D25,"")</f>
        <v/>
      </c>
      <c r="L25" s="117">
        <f>IFERROR(G25-F25,"-")</f>
        <v>0</v>
      </c>
      <c r="M25" s="118" t="str">
        <f>IFERROR((G25-F25)/F25,"-")</f>
        <v>-</v>
      </c>
      <c r="N25" s="119" t="s">
        <v>783</v>
      </c>
    </row>
    <row r="26" spans="1:14" ht="15.75" customHeight="1" x14ac:dyDescent="0.5">
      <c r="A26" s="12"/>
      <c r="B26" s="69" t="s">
        <v>784</v>
      </c>
      <c r="C26" s="70" t="s">
        <v>278</v>
      </c>
      <c r="D26" s="44">
        <f>SUM(D23,D24,D25)</f>
        <v>0</v>
      </c>
      <c r="E26" s="44">
        <f>SUM(E23,E24,E25)</f>
        <v>0</v>
      </c>
      <c r="F26" s="44">
        <f>SUM(F23,F24,F25)</f>
        <v>0</v>
      </c>
      <c r="G26" s="44">
        <f>SUM(G23,G24,G25)</f>
        <v>0</v>
      </c>
      <c r="H26" s="12"/>
      <c r="I26" s="12"/>
      <c r="J26" s="12"/>
      <c r="K26" s="12"/>
      <c r="L26" s="12"/>
      <c r="M26" s="12"/>
      <c r="N26" s="12"/>
    </row>
    <row r="27" spans="1:14" ht="15.75" customHeight="1" x14ac:dyDescent="0.5">
      <c r="A27" s="60"/>
      <c r="B27" s="61" t="s">
        <v>785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 spans="1:14" ht="31.5" customHeight="1" x14ac:dyDescent="0.5">
      <c r="A28" s="60"/>
      <c r="B28" s="120" t="s">
        <v>786</v>
      </c>
      <c r="C28" s="63" t="s">
        <v>292</v>
      </c>
      <c r="D28" s="67"/>
      <c r="E28" s="121"/>
      <c r="F28" s="121"/>
      <c r="G28" s="121"/>
      <c r="H28" s="64" t="str">
        <f>IF(AND(ISNUMBER(D28),ISNUMBER(E28)),E28-D28,"")</f>
        <v/>
      </c>
      <c r="I28" s="115"/>
      <c r="J28" s="115"/>
      <c r="K28" s="116" t="str">
        <f>IF(AND(ISNUMBER(D28),ISNUMBER(I28)),I28-D28,"")</f>
        <v/>
      </c>
      <c r="L28" s="117">
        <f>IFERROR(G28-F28,"-")</f>
        <v>0</v>
      </c>
      <c r="M28" s="118" t="str">
        <f>IFERROR((G28-F28)/F28,"-")</f>
        <v>-</v>
      </c>
      <c r="N28" s="122" t="s">
        <v>245</v>
      </c>
    </row>
    <row r="29" spans="1:14" ht="31.5" customHeight="1" x14ac:dyDescent="0.5">
      <c r="A29" s="112"/>
      <c r="B29" s="113" t="s">
        <v>787</v>
      </c>
      <c r="C29" s="66" t="s">
        <v>295</v>
      </c>
      <c r="D29" s="67"/>
      <c r="E29" s="114"/>
      <c r="F29" s="114"/>
      <c r="G29" s="114"/>
      <c r="H29" s="64" t="str">
        <f>IF(AND(ISNUMBER(D29),ISNUMBER(E29)),E29-D29,"")</f>
        <v/>
      </c>
      <c r="I29" s="115"/>
      <c r="J29" s="115"/>
      <c r="K29" s="116" t="str">
        <f>IF(AND(ISNUMBER(D29),ISNUMBER(I29)),I29-D29,"")</f>
        <v/>
      </c>
      <c r="L29" s="117">
        <f>IFERROR(G29-F29,"-")</f>
        <v>0</v>
      </c>
      <c r="M29" s="118" t="str">
        <f>IFERROR((G29-F29)/F29,"-")</f>
        <v>-</v>
      </c>
      <c r="N29" s="119" t="s">
        <v>788</v>
      </c>
    </row>
    <row r="30" spans="1:14" ht="31.5" customHeight="1" x14ac:dyDescent="0.5">
      <c r="A30" s="60"/>
      <c r="B30" s="120" t="s">
        <v>789</v>
      </c>
      <c r="C30" s="63" t="s">
        <v>298</v>
      </c>
      <c r="D30" s="67"/>
      <c r="E30" s="121"/>
      <c r="F30" s="121"/>
      <c r="G30" s="121"/>
      <c r="H30" s="64" t="str">
        <f>IF(AND(ISNUMBER(D30),ISNUMBER(E30)),E30-D30,"")</f>
        <v/>
      </c>
      <c r="I30" s="115"/>
      <c r="J30" s="115"/>
      <c r="K30" s="116" t="str">
        <f>IF(AND(ISNUMBER(D30),ISNUMBER(I30)),I30-D30,"")</f>
        <v/>
      </c>
      <c r="L30" s="117">
        <f>IFERROR(G30-F30,"-")</f>
        <v>0</v>
      </c>
      <c r="M30" s="118" t="str">
        <f>IFERROR((G30-F30)/F30,"-")</f>
        <v>-</v>
      </c>
      <c r="N30" s="122" t="s">
        <v>790</v>
      </c>
    </row>
    <row r="31" spans="1:14" ht="15.75" customHeight="1" x14ac:dyDescent="0.5">
      <c r="A31" s="12"/>
      <c r="B31" s="69" t="s">
        <v>791</v>
      </c>
      <c r="C31" s="70" t="s">
        <v>290</v>
      </c>
      <c r="D31" s="44">
        <f>SUM(D28,D29,D30)</f>
        <v>0</v>
      </c>
      <c r="E31" s="44">
        <f>SUM(E28,E29,E30)</f>
        <v>0</v>
      </c>
      <c r="F31" s="44">
        <f>SUM(F28,F29,F30)</f>
        <v>0</v>
      </c>
      <c r="G31" s="44">
        <f>SUM(G28,G29,G30)</f>
        <v>0</v>
      </c>
      <c r="H31" s="12"/>
      <c r="I31" s="12"/>
      <c r="J31" s="12"/>
      <c r="K31" s="12"/>
      <c r="L31" s="12"/>
      <c r="M31" s="12"/>
      <c r="N31" s="12"/>
    </row>
    <row r="32" spans="1:14" ht="15.75" customHeight="1" x14ac:dyDescent="0.5">
      <c r="A32" s="60"/>
      <c r="B32" s="61" t="s">
        <v>792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</row>
    <row r="33" spans="1:14" ht="31.5" customHeight="1" x14ac:dyDescent="0.5">
      <c r="A33" s="112"/>
      <c r="B33" s="113" t="s">
        <v>793</v>
      </c>
      <c r="C33" s="66" t="s">
        <v>304</v>
      </c>
      <c r="D33" s="67"/>
      <c r="E33" s="114"/>
      <c r="F33" s="114"/>
      <c r="G33" s="114"/>
      <c r="H33" s="64" t="str">
        <f t="shared" ref="H33:H38" si="0">IF(AND(ISNUMBER(D33),ISNUMBER(E33)),E33-D33,"")</f>
        <v/>
      </c>
      <c r="I33" s="115"/>
      <c r="J33" s="115"/>
      <c r="K33" s="116" t="str">
        <f t="shared" ref="K33:K38" si="1">IF(AND(ISNUMBER(D33),ISNUMBER(I33)),I33-D33,"")</f>
        <v/>
      </c>
      <c r="L33" s="117">
        <f t="shared" ref="L33:L38" si="2">IFERROR(G33-F33,"-")</f>
        <v>0</v>
      </c>
      <c r="M33" s="118" t="str">
        <f t="shared" ref="M33:M38" si="3">IFERROR((G33-F33)/F33,"-")</f>
        <v>-</v>
      </c>
      <c r="N33" s="119" t="s">
        <v>794</v>
      </c>
    </row>
    <row r="34" spans="1:14" ht="31.5" customHeight="1" x14ac:dyDescent="0.5">
      <c r="A34" s="60"/>
      <c r="B34" s="120" t="s">
        <v>795</v>
      </c>
      <c r="C34" s="63" t="s">
        <v>307</v>
      </c>
      <c r="D34" s="67"/>
      <c r="E34" s="121"/>
      <c r="F34" s="121"/>
      <c r="G34" s="121"/>
      <c r="H34" s="64" t="str">
        <f t="shared" si="0"/>
        <v/>
      </c>
      <c r="I34" s="115"/>
      <c r="J34" s="115"/>
      <c r="K34" s="116" t="str">
        <f t="shared" si="1"/>
        <v/>
      </c>
      <c r="L34" s="117">
        <f t="shared" si="2"/>
        <v>0</v>
      </c>
      <c r="M34" s="118" t="str">
        <f t="shared" si="3"/>
        <v>-</v>
      </c>
      <c r="N34" s="122" t="s">
        <v>796</v>
      </c>
    </row>
    <row r="35" spans="1:14" ht="31.5" customHeight="1" x14ac:dyDescent="0.5">
      <c r="A35" s="112"/>
      <c r="B35" s="113" t="s">
        <v>797</v>
      </c>
      <c r="C35" s="66" t="s">
        <v>310</v>
      </c>
      <c r="D35" s="67"/>
      <c r="E35" s="114"/>
      <c r="F35" s="114"/>
      <c r="G35" s="114"/>
      <c r="H35" s="64" t="str">
        <f t="shared" si="0"/>
        <v/>
      </c>
      <c r="I35" s="115"/>
      <c r="J35" s="115"/>
      <c r="K35" s="116" t="str">
        <f t="shared" si="1"/>
        <v/>
      </c>
      <c r="L35" s="117">
        <f t="shared" si="2"/>
        <v>0</v>
      </c>
      <c r="M35" s="118" t="str">
        <f t="shared" si="3"/>
        <v>-</v>
      </c>
      <c r="N35" s="119" t="s">
        <v>798</v>
      </c>
    </row>
    <row r="36" spans="1:14" ht="31.5" customHeight="1" x14ac:dyDescent="0.5">
      <c r="A36" s="60"/>
      <c r="B36" s="120" t="s">
        <v>799</v>
      </c>
      <c r="C36" s="63" t="s">
        <v>313</v>
      </c>
      <c r="D36" s="67"/>
      <c r="E36" s="121"/>
      <c r="F36" s="121"/>
      <c r="G36" s="121"/>
      <c r="H36" s="64" t="str">
        <f t="shared" si="0"/>
        <v/>
      </c>
      <c r="I36" s="115"/>
      <c r="J36" s="115"/>
      <c r="K36" s="116" t="str">
        <f t="shared" si="1"/>
        <v/>
      </c>
      <c r="L36" s="117">
        <f t="shared" si="2"/>
        <v>0</v>
      </c>
      <c r="M36" s="118" t="str">
        <f t="shared" si="3"/>
        <v>-</v>
      </c>
      <c r="N36" s="122" t="s">
        <v>800</v>
      </c>
    </row>
    <row r="37" spans="1:14" ht="31.5" customHeight="1" x14ac:dyDescent="0.5">
      <c r="A37" s="112"/>
      <c r="B37" s="113" t="s">
        <v>801</v>
      </c>
      <c r="C37" s="66" t="s">
        <v>316</v>
      </c>
      <c r="D37" s="67"/>
      <c r="E37" s="114"/>
      <c r="F37" s="114"/>
      <c r="G37" s="114"/>
      <c r="H37" s="64" t="str">
        <f t="shared" si="0"/>
        <v/>
      </c>
      <c r="I37" s="115"/>
      <c r="J37" s="115"/>
      <c r="K37" s="116" t="str">
        <f t="shared" si="1"/>
        <v/>
      </c>
      <c r="L37" s="117">
        <f t="shared" si="2"/>
        <v>0</v>
      </c>
      <c r="M37" s="118" t="str">
        <f t="shared" si="3"/>
        <v>-</v>
      </c>
      <c r="N37" s="119" t="s">
        <v>245</v>
      </c>
    </row>
    <row r="38" spans="1:14" ht="31.5" customHeight="1" x14ac:dyDescent="0.5">
      <c r="A38" s="60"/>
      <c r="B38" s="120" t="s">
        <v>802</v>
      </c>
      <c r="C38" s="63" t="s">
        <v>319</v>
      </c>
      <c r="D38" s="67"/>
      <c r="E38" s="121"/>
      <c r="F38" s="121"/>
      <c r="G38" s="121"/>
      <c r="H38" s="64" t="str">
        <f t="shared" si="0"/>
        <v/>
      </c>
      <c r="I38" s="115"/>
      <c r="J38" s="115"/>
      <c r="K38" s="116" t="str">
        <f t="shared" si="1"/>
        <v/>
      </c>
      <c r="L38" s="117">
        <f t="shared" si="2"/>
        <v>0</v>
      </c>
      <c r="M38" s="118" t="str">
        <f t="shared" si="3"/>
        <v>-</v>
      </c>
      <c r="N38" s="122" t="s">
        <v>803</v>
      </c>
    </row>
    <row r="39" spans="1:14" ht="15.75" customHeight="1" x14ac:dyDescent="0.5">
      <c r="A39" s="12"/>
      <c r="B39" s="69" t="s">
        <v>804</v>
      </c>
      <c r="C39" s="70" t="s">
        <v>302</v>
      </c>
      <c r="D39" s="44">
        <f>SUM(D33,D34,D35,D36,D37,D38)</f>
        <v>0</v>
      </c>
      <c r="E39" s="44">
        <f>SUM(E33,E34,E35,E36,E37,E38)</f>
        <v>0</v>
      </c>
      <c r="F39" s="44">
        <f>SUM(F33,F34,F35,F36,F37,F38)</f>
        <v>0</v>
      </c>
      <c r="G39" s="44">
        <f>SUM(G33,G34,G35,G36,G37,G38)</f>
        <v>0</v>
      </c>
      <c r="H39" s="12"/>
      <c r="I39" s="12"/>
      <c r="J39" s="12"/>
      <c r="K39" s="12"/>
      <c r="L39" s="12"/>
      <c r="M39" s="12"/>
      <c r="N39" s="12"/>
    </row>
    <row r="40" spans="1:14" ht="15.75" customHeight="1" x14ac:dyDescent="0.5">
      <c r="A40" s="60"/>
      <c r="B40" s="61" t="s">
        <v>805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</row>
    <row r="41" spans="1:14" ht="31.5" customHeight="1" x14ac:dyDescent="0.5">
      <c r="A41" s="112"/>
      <c r="B41" s="113" t="s">
        <v>324</v>
      </c>
      <c r="C41" s="66" t="s">
        <v>325</v>
      </c>
      <c r="D41" s="67"/>
      <c r="E41" s="114"/>
      <c r="F41" s="114"/>
      <c r="G41" s="114"/>
      <c r="H41" s="64" t="str">
        <f t="shared" ref="H41:H47" si="4">IF(AND(ISNUMBER(D41),ISNUMBER(E41)),E41-D41,"")</f>
        <v/>
      </c>
      <c r="I41" s="115"/>
      <c r="J41" s="115"/>
      <c r="K41" s="116" t="str">
        <f t="shared" ref="K41:K47" si="5">IF(AND(ISNUMBER(D41),ISNUMBER(I41)),I41-D41,"")</f>
        <v/>
      </c>
      <c r="L41" s="117">
        <f t="shared" ref="L41:L47" si="6">IFERROR(G41-F41,"-")</f>
        <v>0</v>
      </c>
      <c r="M41" s="118" t="str">
        <f t="shared" ref="M41:M47" si="7">IFERROR((G41-F41)/F41,"-")</f>
        <v>-</v>
      </c>
      <c r="N41" s="119" t="s">
        <v>806</v>
      </c>
    </row>
    <row r="42" spans="1:14" ht="31.5" customHeight="1" x14ac:dyDescent="0.5">
      <c r="A42" s="60"/>
      <c r="B42" s="120" t="s">
        <v>807</v>
      </c>
      <c r="C42" s="63" t="s">
        <v>328</v>
      </c>
      <c r="D42" s="67"/>
      <c r="E42" s="121"/>
      <c r="F42" s="121"/>
      <c r="G42" s="121"/>
      <c r="H42" s="64" t="str">
        <f t="shared" si="4"/>
        <v/>
      </c>
      <c r="I42" s="115"/>
      <c r="J42" s="115"/>
      <c r="K42" s="116" t="str">
        <f t="shared" si="5"/>
        <v/>
      </c>
      <c r="L42" s="117">
        <f t="shared" si="6"/>
        <v>0</v>
      </c>
      <c r="M42" s="118" t="str">
        <f t="shared" si="7"/>
        <v>-</v>
      </c>
      <c r="N42" s="122" t="s">
        <v>808</v>
      </c>
    </row>
    <row r="43" spans="1:14" ht="31.5" customHeight="1" x14ac:dyDescent="0.5">
      <c r="A43" s="112"/>
      <c r="B43" s="113" t="s">
        <v>809</v>
      </c>
      <c r="C43" s="66" t="s">
        <v>331</v>
      </c>
      <c r="D43" s="67"/>
      <c r="E43" s="114"/>
      <c r="F43" s="114"/>
      <c r="G43" s="114"/>
      <c r="H43" s="64" t="str">
        <f t="shared" si="4"/>
        <v/>
      </c>
      <c r="I43" s="115"/>
      <c r="J43" s="115"/>
      <c r="K43" s="116" t="str">
        <f t="shared" si="5"/>
        <v/>
      </c>
      <c r="L43" s="117">
        <f t="shared" si="6"/>
        <v>0</v>
      </c>
      <c r="M43" s="118" t="str">
        <f t="shared" si="7"/>
        <v>-</v>
      </c>
      <c r="N43" s="119" t="s">
        <v>810</v>
      </c>
    </row>
    <row r="44" spans="1:14" ht="31.5" customHeight="1" x14ac:dyDescent="0.5">
      <c r="A44" s="60"/>
      <c r="B44" s="120" t="s">
        <v>811</v>
      </c>
      <c r="C44" s="63" t="s">
        <v>334</v>
      </c>
      <c r="D44" s="67"/>
      <c r="E44" s="121"/>
      <c r="F44" s="121"/>
      <c r="G44" s="121"/>
      <c r="H44" s="64" t="str">
        <f t="shared" si="4"/>
        <v/>
      </c>
      <c r="I44" s="115"/>
      <c r="J44" s="115"/>
      <c r="K44" s="116" t="str">
        <f t="shared" si="5"/>
        <v/>
      </c>
      <c r="L44" s="117">
        <f t="shared" si="6"/>
        <v>0</v>
      </c>
      <c r="M44" s="118" t="str">
        <f t="shared" si="7"/>
        <v>-</v>
      </c>
      <c r="N44" s="122" t="s">
        <v>812</v>
      </c>
    </row>
    <row r="45" spans="1:14" ht="31.5" customHeight="1" x14ac:dyDescent="0.5">
      <c r="A45" s="112"/>
      <c r="B45" s="113" t="s">
        <v>813</v>
      </c>
      <c r="C45" s="66" t="s">
        <v>337</v>
      </c>
      <c r="D45" s="67"/>
      <c r="E45" s="114"/>
      <c r="F45" s="114"/>
      <c r="G45" s="114"/>
      <c r="H45" s="64" t="str">
        <f t="shared" si="4"/>
        <v/>
      </c>
      <c r="I45" s="115"/>
      <c r="J45" s="115"/>
      <c r="K45" s="116" t="str">
        <f t="shared" si="5"/>
        <v/>
      </c>
      <c r="L45" s="117">
        <f t="shared" si="6"/>
        <v>0</v>
      </c>
      <c r="M45" s="118" t="str">
        <f t="shared" si="7"/>
        <v>-</v>
      </c>
      <c r="N45" s="119" t="s">
        <v>814</v>
      </c>
    </row>
    <row r="46" spans="1:14" ht="31.5" customHeight="1" x14ac:dyDescent="0.5">
      <c r="A46" s="60"/>
      <c r="B46" s="120" t="s">
        <v>815</v>
      </c>
      <c r="C46" s="63" t="s">
        <v>340</v>
      </c>
      <c r="D46" s="67"/>
      <c r="E46" s="121"/>
      <c r="F46" s="121"/>
      <c r="G46" s="121"/>
      <c r="H46" s="64" t="str">
        <f t="shared" si="4"/>
        <v/>
      </c>
      <c r="I46" s="115"/>
      <c r="J46" s="115"/>
      <c r="K46" s="116" t="str">
        <f t="shared" si="5"/>
        <v/>
      </c>
      <c r="L46" s="117">
        <f t="shared" si="6"/>
        <v>0</v>
      </c>
      <c r="M46" s="118" t="str">
        <f t="shared" si="7"/>
        <v>-</v>
      </c>
      <c r="N46" s="122" t="s">
        <v>403</v>
      </c>
    </row>
    <row r="47" spans="1:14" ht="31.5" customHeight="1" x14ac:dyDescent="0.5">
      <c r="A47" s="112"/>
      <c r="B47" s="113" t="s">
        <v>816</v>
      </c>
      <c r="C47" s="66" t="s">
        <v>343</v>
      </c>
      <c r="D47" s="67"/>
      <c r="E47" s="114"/>
      <c r="F47" s="114"/>
      <c r="G47" s="114"/>
      <c r="H47" s="64" t="str">
        <f t="shared" si="4"/>
        <v/>
      </c>
      <c r="I47" s="115"/>
      <c r="J47" s="115"/>
      <c r="K47" s="116" t="str">
        <f t="shared" si="5"/>
        <v/>
      </c>
      <c r="L47" s="117">
        <f t="shared" si="6"/>
        <v>0</v>
      </c>
      <c r="M47" s="118" t="str">
        <f t="shared" si="7"/>
        <v>-</v>
      </c>
      <c r="N47" s="119" t="s">
        <v>817</v>
      </c>
    </row>
    <row r="48" spans="1:14" ht="15.75" customHeight="1" x14ac:dyDescent="0.5">
      <c r="A48" s="12"/>
      <c r="B48" s="69" t="s">
        <v>818</v>
      </c>
      <c r="C48" s="70" t="s">
        <v>323</v>
      </c>
      <c r="D48" s="44">
        <f>SUM(D41,D42,D43,D44,D45,D46,D47)</f>
        <v>0</v>
      </c>
      <c r="E48" s="44">
        <f>SUM(E41,E42,E43,E44,E45,E46,E47)</f>
        <v>0</v>
      </c>
      <c r="F48" s="44">
        <f>SUM(F41,F42,F43,F44,F45,F46,F47)</f>
        <v>0</v>
      </c>
      <c r="G48" s="44">
        <f>SUM(G41,G42,G43,G44,G45,G46,G47)</f>
        <v>0</v>
      </c>
      <c r="H48" s="12"/>
      <c r="I48" s="12"/>
      <c r="J48" s="12"/>
      <c r="K48" s="12"/>
      <c r="L48" s="12"/>
      <c r="M48" s="12"/>
      <c r="N48" s="12"/>
    </row>
    <row r="49" spans="1:14" ht="15.75" customHeight="1" x14ac:dyDescent="0.5">
      <c r="A49" s="60"/>
      <c r="B49" s="61" t="s">
        <v>819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</row>
    <row r="50" spans="1:14" ht="31.5" customHeight="1" x14ac:dyDescent="0.5">
      <c r="A50" s="60"/>
      <c r="B50" s="120" t="s">
        <v>820</v>
      </c>
      <c r="C50" s="63" t="s">
        <v>349</v>
      </c>
      <c r="D50" s="67"/>
      <c r="E50" s="121"/>
      <c r="F50" s="121"/>
      <c r="G50" s="121"/>
      <c r="H50" s="64" t="str">
        <f>IF(AND(ISNUMBER(D50),ISNUMBER(E50)),E50-D50,"")</f>
        <v/>
      </c>
      <c r="I50" s="115"/>
      <c r="J50" s="115"/>
      <c r="K50" s="116" t="str">
        <f>IF(AND(ISNUMBER(D50),ISNUMBER(I50)),I50-D50,"")</f>
        <v/>
      </c>
      <c r="L50" s="117">
        <f>IFERROR(G50-F50,"-")</f>
        <v>0</v>
      </c>
      <c r="M50" s="118" t="str">
        <f>IFERROR((G50-F50)/F50,"-")</f>
        <v>-</v>
      </c>
      <c r="N50" s="122" t="s">
        <v>821</v>
      </c>
    </row>
    <row r="51" spans="1:14" ht="31.5" customHeight="1" x14ac:dyDescent="0.5">
      <c r="A51" s="112"/>
      <c r="B51" s="113" t="s">
        <v>822</v>
      </c>
      <c r="C51" s="66" t="s">
        <v>352</v>
      </c>
      <c r="D51" s="67"/>
      <c r="E51" s="114"/>
      <c r="F51" s="114"/>
      <c r="G51" s="114"/>
      <c r="H51" s="64" t="str">
        <f>IF(AND(ISNUMBER(D51),ISNUMBER(E51)),E51-D51,"")</f>
        <v/>
      </c>
      <c r="I51" s="115"/>
      <c r="J51" s="115"/>
      <c r="K51" s="116" t="str">
        <f>IF(AND(ISNUMBER(D51),ISNUMBER(I51)),I51-D51,"")</f>
        <v/>
      </c>
      <c r="L51" s="117">
        <f>IFERROR(G51-F51,"-")</f>
        <v>0</v>
      </c>
      <c r="M51" s="118" t="str">
        <f>IFERROR((G51-F51)/F51,"-")</f>
        <v>-</v>
      </c>
      <c r="N51" s="119" t="s">
        <v>823</v>
      </c>
    </row>
    <row r="52" spans="1:14" ht="31.5" customHeight="1" x14ac:dyDescent="0.5">
      <c r="A52" s="60"/>
      <c r="B52" s="120" t="s">
        <v>824</v>
      </c>
      <c r="C52" s="63" t="s">
        <v>355</v>
      </c>
      <c r="D52" s="67"/>
      <c r="E52" s="121"/>
      <c r="F52" s="121"/>
      <c r="G52" s="121"/>
      <c r="H52" s="64" t="str">
        <f>IF(AND(ISNUMBER(D52),ISNUMBER(E52)),E52-D52,"")</f>
        <v/>
      </c>
      <c r="I52" s="115"/>
      <c r="J52" s="115"/>
      <c r="K52" s="116" t="str">
        <f>IF(AND(ISNUMBER(D52),ISNUMBER(I52)),I52-D52,"")</f>
        <v/>
      </c>
      <c r="L52" s="117">
        <f>IFERROR(G52-F52,"-")</f>
        <v>0</v>
      </c>
      <c r="M52" s="118" t="str">
        <f>IFERROR((G52-F52)/F52,"-")</f>
        <v>-</v>
      </c>
      <c r="N52" s="122" t="s">
        <v>825</v>
      </c>
    </row>
    <row r="53" spans="1:14" ht="31.5" customHeight="1" x14ac:dyDescent="0.5">
      <c r="A53" s="112"/>
      <c r="B53" s="113" t="s">
        <v>826</v>
      </c>
      <c r="C53" s="66" t="s">
        <v>358</v>
      </c>
      <c r="D53" s="67"/>
      <c r="E53" s="114"/>
      <c r="F53" s="114"/>
      <c r="G53" s="114"/>
      <c r="H53" s="64" t="str">
        <f>IF(AND(ISNUMBER(D53),ISNUMBER(E53)),E53-D53,"")</f>
        <v/>
      </c>
      <c r="I53" s="115"/>
      <c r="J53" s="115"/>
      <c r="K53" s="116" t="str">
        <f>IF(AND(ISNUMBER(D53),ISNUMBER(I53)),I53-D53,"")</f>
        <v/>
      </c>
      <c r="L53" s="117">
        <f>IFERROR(G53-F53,"-")</f>
        <v>0</v>
      </c>
      <c r="M53" s="118" t="str">
        <f>IFERROR((G53-F53)/F53,"-")</f>
        <v>-</v>
      </c>
      <c r="N53" s="119" t="s">
        <v>827</v>
      </c>
    </row>
    <row r="54" spans="1:14" ht="31.5" customHeight="1" x14ac:dyDescent="0.5">
      <c r="A54" s="60"/>
      <c r="B54" s="120" t="s">
        <v>828</v>
      </c>
      <c r="C54" s="63" t="s">
        <v>361</v>
      </c>
      <c r="D54" s="67"/>
      <c r="E54" s="121"/>
      <c r="F54" s="121"/>
      <c r="G54" s="121"/>
      <c r="H54" s="64" t="str">
        <f>IF(AND(ISNUMBER(D54),ISNUMBER(E54)),E54-D54,"")</f>
        <v/>
      </c>
      <c r="I54" s="115"/>
      <c r="J54" s="115"/>
      <c r="K54" s="116" t="str">
        <f>IF(AND(ISNUMBER(D54),ISNUMBER(I54)),I54-D54,"")</f>
        <v/>
      </c>
      <c r="L54" s="117">
        <f>IFERROR(G54-F54,"-")</f>
        <v>0</v>
      </c>
      <c r="M54" s="118" t="str">
        <f>IFERROR((G54-F54)/F54,"-")</f>
        <v>-</v>
      </c>
      <c r="N54" s="122" t="s">
        <v>403</v>
      </c>
    </row>
    <row r="55" spans="1:14" ht="15.75" customHeight="1" x14ac:dyDescent="0.5">
      <c r="A55" s="12"/>
      <c r="B55" s="69" t="s">
        <v>829</v>
      </c>
      <c r="C55" s="70" t="s">
        <v>347</v>
      </c>
      <c r="D55" s="44">
        <f>SUM(D50,D51,D52,D53,D54)</f>
        <v>0</v>
      </c>
      <c r="E55" s="44">
        <f>SUM(E50,E51,E52,E53,E54)</f>
        <v>0</v>
      </c>
      <c r="F55" s="44">
        <f>SUM(F50,F51,F52,F53,F54)</f>
        <v>0</v>
      </c>
      <c r="G55" s="44">
        <f>SUM(G50,G51,G52,G53,G54)</f>
        <v>0</v>
      </c>
      <c r="H55" s="12"/>
      <c r="I55" s="12"/>
      <c r="J55" s="12"/>
      <c r="K55" s="12"/>
      <c r="L55" s="12"/>
      <c r="M55" s="12"/>
      <c r="N55" s="12"/>
    </row>
    <row r="56" spans="1:14" ht="15.75" customHeight="1" x14ac:dyDescent="0.5">
      <c r="A56" s="60"/>
      <c r="B56" s="61" t="s">
        <v>830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</row>
    <row r="57" spans="1:14" ht="31.5" customHeight="1" x14ac:dyDescent="0.5">
      <c r="A57" s="112"/>
      <c r="B57" s="113" t="s">
        <v>831</v>
      </c>
      <c r="C57" s="66" t="s">
        <v>366</v>
      </c>
      <c r="D57" s="67"/>
      <c r="E57" s="114"/>
      <c r="F57" s="114"/>
      <c r="G57" s="114"/>
      <c r="H57" s="64" t="str">
        <f t="shared" ref="H57:H62" si="8">IF(AND(ISNUMBER(D57),ISNUMBER(E57)),E57-D57,"")</f>
        <v/>
      </c>
      <c r="I57" s="115"/>
      <c r="J57" s="115"/>
      <c r="K57" s="116" t="str">
        <f t="shared" ref="K57:K62" si="9">IF(AND(ISNUMBER(D57),ISNUMBER(I57)),I57-D57,"")</f>
        <v/>
      </c>
      <c r="L57" s="117">
        <f t="shared" ref="L57:L62" si="10">IFERROR(G57-F57,"-")</f>
        <v>0</v>
      </c>
      <c r="M57" s="118" t="str">
        <f t="shared" ref="M57:M62" si="11">IFERROR((G57-F57)/F57,"-")</f>
        <v>-</v>
      </c>
      <c r="N57" s="119" t="s">
        <v>832</v>
      </c>
    </row>
    <row r="58" spans="1:14" ht="31.5" customHeight="1" x14ac:dyDescent="0.5">
      <c r="A58" s="60"/>
      <c r="B58" s="120" t="s">
        <v>833</v>
      </c>
      <c r="C58" s="63" t="s">
        <v>369</v>
      </c>
      <c r="D58" s="67"/>
      <c r="E58" s="121"/>
      <c r="F58" s="121"/>
      <c r="G58" s="121"/>
      <c r="H58" s="64" t="str">
        <f t="shared" si="8"/>
        <v/>
      </c>
      <c r="I58" s="115"/>
      <c r="J58" s="115"/>
      <c r="K58" s="116" t="str">
        <f t="shared" si="9"/>
        <v/>
      </c>
      <c r="L58" s="117">
        <f t="shared" si="10"/>
        <v>0</v>
      </c>
      <c r="M58" s="118" t="str">
        <f t="shared" si="11"/>
        <v>-</v>
      </c>
      <c r="N58" s="122" t="s">
        <v>834</v>
      </c>
    </row>
    <row r="59" spans="1:14" ht="31.5" customHeight="1" x14ac:dyDescent="0.5">
      <c r="A59" s="112"/>
      <c r="B59" s="113" t="s">
        <v>835</v>
      </c>
      <c r="C59" s="66" t="s">
        <v>372</v>
      </c>
      <c r="D59" s="67"/>
      <c r="E59" s="114"/>
      <c r="F59" s="114"/>
      <c r="G59" s="114"/>
      <c r="H59" s="64" t="str">
        <f t="shared" si="8"/>
        <v/>
      </c>
      <c r="I59" s="115"/>
      <c r="J59" s="115"/>
      <c r="K59" s="116" t="str">
        <f t="shared" si="9"/>
        <v/>
      </c>
      <c r="L59" s="117">
        <f t="shared" si="10"/>
        <v>0</v>
      </c>
      <c r="M59" s="118" t="str">
        <f t="shared" si="11"/>
        <v>-</v>
      </c>
      <c r="N59" s="119" t="s">
        <v>836</v>
      </c>
    </row>
    <row r="60" spans="1:14" ht="31.5" customHeight="1" x14ac:dyDescent="0.5">
      <c r="A60" s="60"/>
      <c r="B60" s="120" t="s">
        <v>837</v>
      </c>
      <c r="C60" s="63" t="s">
        <v>375</v>
      </c>
      <c r="D60" s="67"/>
      <c r="E60" s="121"/>
      <c r="F60" s="121"/>
      <c r="G60" s="121"/>
      <c r="H60" s="64" t="str">
        <f t="shared" si="8"/>
        <v/>
      </c>
      <c r="I60" s="115"/>
      <c r="J60" s="115"/>
      <c r="K60" s="116" t="str">
        <f t="shared" si="9"/>
        <v/>
      </c>
      <c r="L60" s="117">
        <f t="shared" si="10"/>
        <v>0</v>
      </c>
      <c r="M60" s="118" t="str">
        <f t="shared" si="11"/>
        <v>-</v>
      </c>
      <c r="N60" s="122" t="s">
        <v>838</v>
      </c>
    </row>
    <row r="61" spans="1:14" ht="31.5" customHeight="1" x14ac:dyDescent="0.5">
      <c r="A61" s="112"/>
      <c r="B61" s="113" t="s">
        <v>839</v>
      </c>
      <c r="C61" s="66" t="s">
        <v>378</v>
      </c>
      <c r="D61" s="67"/>
      <c r="E61" s="114"/>
      <c r="F61" s="114"/>
      <c r="G61" s="114"/>
      <c r="H61" s="64" t="str">
        <f t="shared" si="8"/>
        <v/>
      </c>
      <c r="I61" s="115"/>
      <c r="J61" s="115"/>
      <c r="K61" s="116" t="str">
        <f t="shared" si="9"/>
        <v/>
      </c>
      <c r="L61" s="117">
        <f t="shared" si="10"/>
        <v>0</v>
      </c>
      <c r="M61" s="118" t="str">
        <f t="shared" si="11"/>
        <v>-</v>
      </c>
      <c r="N61" s="119" t="s">
        <v>840</v>
      </c>
    </row>
    <row r="62" spans="1:14" ht="31.5" customHeight="1" x14ac:dyDescent="0.5">
      <c r="A62" s="60"/>
      <c r="B62" s="120" t="s">
        <v>841</v>
      </c>
      <c r="C62" s="63" t="s">
        <v>381</v>
      </c>
      <c r="D62" s="67"/>
      <c r="E62" s="121"/>
      <c r="F62" s="121"/>
      <c r="G62" s="121"/>
      <c r="H62" s="64" t="str">
        <f t="shared" si="8"/>
        <v/>
      </c>
      <c r="I62" s="115"/>
      <c r="J62" s="115"/>
      <c r="K62" s="116" t="str">
        <f t="shared" si="9"/>
        <v/>
      </c>
      <c r="L62" s="117">
        <f t="shared" si="10"/>
        <v>0</v>
      </c>
      <c r="M62" s="118" t="str">
        <f t="shared" si="11"/>
        <v>-</v>
      </c>
      <c r="N62" s="122" t="s">
        <v>842</v>
      </c>
    </row>
    <row r="63" spans="1:14" ht="15.75" customHeight="1" x14ac:dyDescent="0.5">
      <c r="A63" s="12"/>
      <c r="B63" s="69" t="s">
        <v>843</v>
      </c>
      <c r="C63" s="70" t="s">
        <v>364</v>
      </c>
      <c r="D63" s="44">
        <f>SUM(D57,D58,D59,D60,D61,D62)</f>
        <v>0</v>
      </c>
      <c r="E63" s="44">
        <f>SUM(E57,E58,E59,E60,E61,E62)</f>
        <v>0</v>
      </c>
      <c r="F63" s="44">
        <f>SUM(F57,F58,F59,F60,F61,F62)</f>
        <v>0</v>
      </c>
      <c r="G63" s="44">
        <f>SUM(G57,G58,G59,G60,G61,G62)</f>
        <v>0</v>
      </c>
      <c r="H63" s="12"/>
      <c r="I63" s="12"/>
      <c r="J63" s="12"/>
      <c r="K63" s="12"/>
      <c r="L63" s="12"/>
      <c r="M63" s="12"/>
      <c r="N63" s="12"/>
    </row>
    <row r="64" spans="1:14" ht="15.75" customHeight="1" x14ac:dyDescent="0.5">
      <c r="A64" s="60"/>
      <c r="B64" s="61" t="s">
        <v>384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</row>
    <row r="65" spans="1:14" ht="31.5" customHeight="1" x14ac:dyDescent="0.5">
      <c r="A65" s="112"/>
      <c r="B65" s="113" t="s">
        <v>844</v>
      </c>
      <c r="C65" s="66" t="s">
        <v>387</v>
      </c>
      <c r="D65" s="67"/>
      <c r="E65" s="114"/>
      <c r="F65" s="114"/>
      <c r="G65" s="114"/>
      <c r="H65" s="64" t="str">
        <f t="shared" ref="H65:H70" si="12">IF(AND(ISNUMBER(D65),ISNUMBER(E65)),E65-D65,"")</f>
        <v/>
      </c>
      <c r="I65" s="115"/>
      <c r="J65" s="115"/>
      <c r="K65" s="116" t="str">
        <f t="shared" ref="K65:K70" si="13">IF(AND(ISNUMBER(D65),ISNUMBER(I65)),I65-D65,"")</f>
        <v/>
      </c>
      <c r="L65" s="117">
        <f t="shared" ref="L65:L70" si="14">IFERROR(G65-F65,"-")</f>
        <v>0</v>
      </c>
      <c r="M65" s="118" t="str">
        <f t="shared" ref="M65:M70" si="15">IFERROR((G65-F65)/F65,"-")</f>
        <v>-</v>
      </c>
      <c r="N65" s="119" t="s">
        <v>845</v>
      </c>
    </row>
    <row r="66" spans="1:14" ht="31.5" customHeight="1" x14ac:dyDescent="0.5">
      <c r="A66" s="60"/>
      <c r="B66" s="120" t="s">
        <v>389</v>
      </c>
      <c r="C66" s="63" t="s">
        <v>390</v>
      </c>
      <c r="D66" s="67"/>
      <c r="E66" s="121"/>
      <c r="F66" s="121"/>
      <c r="G66" s="121"/>
      <c r="H66" s="64" t="str">
        <f t="shared" si="12"/>
        <v/>
      </c>
      <c r="I66" s="115"/>
      <c r="J66" s="115"/>
      <c r="K66" s="116" t="str">
        <f t="shared" si="13"/>
        <v/>
      </c>
      <c r="L66" s="117">
        <f t="shared" si="14"/>
        <v>0</v>
      </c>
      <c r="M66" s="118" t="str">
        <f t="shared" si="15"/>
        <v>-</v>
      </c>
      <c r="N66" s="122" t="s">
        <v>846</v>
      </c>
    </row>
    <row r="67" spans="1:14" ht="31.5" customHeight="1" x14ac:dyDescent="0.5">
      <c r="A67" s="112"/>
      <c r="B67" s="113" t="s">
        <v>847</v>
      </c>
      <c r="C67" s="66" t="s">
        <v>393</v>
      </c>
      <c r="D67" s="67"/>
      <c r="E67" s="114"/>
      <c r="F67" s="114"/>
      <c r="G67" s="114"/>
      <c r="H67" s="64" t="str">
        <f t="shared" si="12"/>
        <v/>
      </c>
      <c r="I67" s="115"/>
      <c r="J67" s="115"/>
      <c r="K67" s="116" t="str">
        <f t="shared" si="13"/>
        <v/>
      </c>
      <c r="L67" s="117">
        <f t="shared" si="14"/>
        <v>0</v>
      </c>
      <c r="M67" s="118" t="str">
        <f t="shared" si="15"/>
        <v>-</v>
      </c>
      <c r="N67" s="119" t="s">
        <v>848</v>
      </c>
    </row>
    <row r="68" spans="1:14" ht="31.5" customHeight="1" x14ac:dyDescent="0.5">
      <c r="A68" s="60"/>
      <c r="B68" s="120" t="s">
        <v>849</v>
      </c>
      <c r="C68" s="63" t="s">
        <v>396</v>
      </c>
      <c r="D68" s="67"/>
      <c r="E68" s="121"/>
      <c r="F68" s="121"/>
      <c r="G68" s="121"/>
      <c r="H68" s="64" t="str">
        <f t="shared" si="12"/>
        <v/>
      </c>
      <c r="I68" s="115"/>
      <c r="J68" s="115"/>
      <c r="K68" s="116" t="str">
        <f t="shared" si="13"/>
        <v/>
      </c>
      <c r="L68" s="117">
        <f t="shared" si="14"/>
        <v>0</v>
      </c>
      <c r="M68" s="118" t="str">
        <f t="shared" si="15"/>
        <v>-</v>
      </c>
      <c r="N68" s="122" t="s">
        <v>850</v>
      </c>
    </row>
    <row r="69" spans="1:14" ht="31.5" customHeight="1" x14ac:dyDescent="0.5">
      <c r="A69" s="112"/>
      <c r="B69" s="113" t="s">
        <v>851</v>
      </c>
      <c r="C69" s="66" t="s">
        <v>399</v>
      </c>
      <c r="D69" s="67"/>
      <c r="E69" s="114"/>
      <c r="F69" s="114"/>
      <c r="G69" s="114"/>
      <c r="H69" s="64" t="str">
        <f t="shared" si="12"/>
        <v/>
      </c>
      <c r="I69" s="115"/>
      <c r="J69" s="115"/>
      <c r="K69" s="116" t="str">
        <f t="shared" si="13"/>
        <v/>
      </c>
      <c r="L69" s="117">
        <f t="shared" si="14"/>
        <v>0</v>
      </c>
      <c r="M69" s="118" t="str">
        <f t="shared" si="15"/>
        <v>-</v>
      </c>
      <c r="N69" s="119" t="s">
        <v>852</v>
      </c>
    </row>
    <row r="70" spans="1:14" ht="31.5" customHeight="1" x14ac:dyDescent="0.5">
      <c r="A70" s="60"/>
      <c r="B70" s="120" t="s">
        <v>853</v>
      </c>
      <c r="C70" s="63" t="s">
        <v>402</v>
      </c>
      <c r="D70" s="67"/>
      <c r="E70" s="121"/>
      <c r="F70" s="121"/>
      <c r="G70" s="121"/>
      <c r="H70" s="64" t="str">
        <f t="shared" si="12"/>
        <v/>
      </c>
      <c r="I70" s="115"/>
      <c r="J70" s="115"/>
      <c r="K70" s="116" t="str">
        <f t="shared" si="13"/>
        <v/>
      </c>
      <c r="L70" s="117">
        <f t="shared" si="14"/>
        <v>0</v>
      </c>
      <c r="M70" s="118" t="str">
        <f t="shared" si="15"/>
        <v>-</v>
      </c>
      <c r="N70" s="122" t="s">
        <v>403</v>
      </c>
    </row>
    <row r="71" spans="1:14" ht="15.75" customHeight="1" x14ac:dyDescent="0.5">
      <c r="A71" s="12"/>
      <c r="B71" s="69" t="s">
        <v>854</v>
      </c>
      <c r="C71" s="70" t="s">
        <v>385</v>
      </c>
      <c r="D71" s="44">
        <f>SUM(D65,D66,D67,D68,D69,D70)</f>
        <v>0</v>
      </c>
      <c r="E71" s="44">
        <f>SUM(E65,E66,E67,E68,E69,E70)</f>
        <v>0</v>
      </c>
      <c r="F71" s="44">
        <f>SUM(F65,F66,F67,F68,F69,F70)</f>
        <v>0</v>
      </c>
      <c r="G71" s="44">
        <f>SUM(G65,G66,G67,G68,G69,G70)</f>
        <v>0</v>
      </c>
      <c r="H71" s="12"/>
      <c r="I71" s="12"/>
      <c r="J71" s="12"/>
      <c r="K71" s="12"/>
      <c r="L71" s="12"/>
      <c r="M71" s="12"/>
      <c r="N71" s="12"/>
    </row>
    <row r="72" spans="1:14" ht="15.75" customHeight="1" x14ac:dyDescent="0.5">
      <c r="A72" s="60"/>
      <c r="B72" s="61" t="s">
        <v>855</v>
      </c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</row>
    <row r="73" spans="1:14" ht="31.5" customHeight="1" x14ac:dyDescent="0.5">
      <c r="A73" s="112"/>
      <c r="B73" s="113" t="s">
        <v>856</v>
      </c>
      <c r="C73" s="66" t="s">
        <v>408</v>
      </c>
      <c r="D73" s="67"/>
      <c r="E73" s="114"/>
      <c r="F73" s="114"/>
      <c r="G73" s="114"/>
      <c r="H73" s="64" t="str">
        <f>IF(AND(ISNUMBER(D73),ISNUMBER(E73)),E73-D73,"")</f>
        <v/>
      </c>
      <c r="I73" s="115"/>
      <c r="J73" s="115"/>
      <c r="K73" s="116" t="str">
        <f>IF(AND(ISNUMBER(D73),ISNUMBER(I73)),I73-D73,"")</f>
        <v/>
      </c>
      <c r="L73" s="117">
        <f>IFERROR(G73-F73,"-")</f>
        <v>0</v>
      </c>
      <c r="M73" s="118" t="str">
        <f>IFERROR((G73-F73)/F73,"-")</f>
        <v>-</v>
      </c>
      <c r="N73" s="119" t="s">
        <v>857</v>
      </c>
    </row>
    <row r="74" spans="1:14" ht="31.5" customHeight="1" x14ac:dyDescent="0.5">
      <c r="A74" s="60"/>
      <c r="B74" s="120" t="s">
        <v>858</v>
      </c>
      <c r="C74" s="63" t="s">
        <v>411</v>
      </c>
      <c r="D74" s="67"/>
      <c r="E74" s="121"/>
      <c r="F74" s="121"/>
      <c r="G74" s="121"/>
      <c r="H74" s="64" t="str">
        <f>IF(AND(ISNUMBER(D74),ISNUMBER(E74)),E74-D74,"")</f>
        <v/>
      </c>
      <c r="I74" s="115"/>
      <c r="J74" s="115"/>
      <c r="K74" s="116" t="str">
        <f>IF(AND(ISNUMBER(D74),ISNUMBER(I74)),I74-D74,"")</f>
        <v/>
      </c>
      <c r="L74" s="117">
        <f>IFERROR(G74-F74,"-")</f>
        <v>0</v>
      </c>
      <c r="M74" s="118" t="str">
        <f>IFERROR((G74-F74)/F74,"-")</f>
        <v>-</v>
      </c>
      <c r="N74" s="122" t="s">
        <v>859</v>
      </c>
    </row>
    <row r="75" spans="1:14" ht="31.5" customHeight="1" x14ac:dyDescent="0.5">
      <c r="A75" s="112"/>
      <c r="B75" s="113" t="s">
        <v>860</v>
      </c>
      <c r="C75" s="66" t="s">
        <v>414</v>
      </c>
      <c r="D75" s="67"/>
      <c r="E75" s="114"/>
      <c r="F75" s="114"/>
      <c r="G75" s="114"/>
      <c r="H75" s="64" t="str">
        <f>IF(AND(ISNUMBER(D75),ISNUMBER(E75)),E75-D75,"")</f>
        <v/>
      </c>
      <c r="I75" s="115"/>
      <c r="J75" s="115"/>
      <c r="K75" s="116" t="str">
        <f>IF(AND(ISNUMBER(D75),ISNUMBER(I75)),I75-D75,"")</f>
        <v/>
      </c>
      <c r="L75" s="117">
        <f>IFERROR(G75-F75,"-")</f>
        <v>0</v>
      </c>
      <c r="M75" s="118" t="str">
        <f>IFERROR((G75-F75)/F75,"-")</f>
        <v>-</v>
      </c>
      <c r="N75" s="119" t="s">
        <v>861</v>
      </c>
    </row>
    <row r="76" spans="1:14" ht="31.5" customHeight="1" x14ac:dyDescent="0.5">
      <c r="A76" s="60"/>
      <c r="B76" s="120" t="s">
        <v>862</v>
      </c>
      <c r="C76" s="63" t="s">
        <v>417</v>
      </c>
      <c r="D76" s="67"/>
      <c r="E76" s="121"/>
      <c r="F76" s="121"/>
      <c r="G76" s="121"/>
      <c r="H76" s="64" t="str">
        <f>IF(AND(ISNUMBER(D76),ISNUMBER(E76)),E76-D76,"")</f>
        <v/>
      </c>
      <c r="I76" s="115"/>
      <c r="J76" s="115"/>
      <c r="K76" s="116" t="str">
        <f>IF(AND(ISNUMBER(D76),ISNUMBER(I76)),I76-D76,"")</f>
        <v/>
      </c>
      <c r="L76" s="117">
        <f>IFERROR(G76-F76,"-")</f>
        <v>0</v>
      </c>
      <c r="M76" s="118" t="str">
        <f>IFERROR((G76-F76)/F76,"-")</f>
        <v>-</v>
      </c>
      <c r="N76" s="122" t="s">
        <v>863</v>
      </c>
    </row>
    <row r="77" spans="1:14" ht="31.5" customHeight="1" x14ac:dyDescent="0.5">
      <c r="A77" s="112"/>
      <c r="B77" s="113" t="s">
        <v>864</v>
      </c>
      <c r="C77" s="66" t="s">
        <v>420</v>
      </c>
      <c r="D77" s="67"/>
      <c r="E77" s="114"/>
      <c r="F77" s="114"/>
      <c r="G77" s="114"/>
      <c r="H77" s="64" t="str">
        <f>IF(AND(ISNUMBER(D77),ISNUMBER(E77)),E77-D77,"")</f>
        <v/>
      </c>
      <c r="I77" s="115"/>
      <c r="J77" s="115"/>
      <c r="K77" s="116" t="str">
        <f>IF(AND(ISNUMBER(D77),ISNUMBER(I77)),I77-D77,"")</f>
        <v/>
      </c>
      <c r="L77" s="117">
        <f>IFERROR(G77-F77,"-")</f>
        <v>0</v>
      </c>
      <c r="M77" s="118" t="str">
        <f>IFERROR((G77-F77)/F77,"-")</f>
        <v>-</v>
      </c>
      <c r="N77" s="119" t="s">
        <v>865</v>
      </c>
    </row>
    <row r="78" spans="1:14" ht="15.75" customHeight="1" x14ac:dyDescent="0.5">
      <c r="A78" s="12"/>
      <c r="B78" s="69" t="s">
        <v>866</v>
      </c>
      <c r="C78" s="70" t="s">
        <v>406</v>
      </c>
      <c r="D78" s="44">
        <f>SUM(D73,D74,D75,D76,D77)</f>
        <v>0</v>
      </c>
      <c r="E78" s="44">
        <f>SUM(E73,E74,E75,E76,E77)</f>
        <v>0</v>
      </c>
      <c r="F78" s="44">
        <f>SUM(F73,F74,F75,F76,F77)</f>
        <v>0</v>
      </c>
      <c r="G78" s="44">
        <f>SUM(G73,G74,G75,G76,G77)</f>
        <v>0</v>
      </c>
      <c r="H78" s="12"/>
      <c r="I78" s="12"/>
      <c r="J78" s="12"/>
      <c r="K78" s="12"/>
      <c r="L78" s="12"/>
      <c r="M78" s="12"/>
      <c r="N78" s="12"/>
    </row>
    <row r="79" spans="1:14" ht="15.75" customHeight="1" x14ac:dyDescent="0.5">
      <c r="A79" s="60"/>
      <c r="B79" s="61" t="s">
        <v>867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</row>
    <row r="80" spans="1:14" ht="31.5" customHeight="1" x14ac:dyDescent="0.5">
      <c r="A80" s="60"/>
      <c r="B80" s="120" t="s">
        <v>868</v>
      </c>
      <c r="C80" s="63" t="s">
        <v>426</v>
      </c>
      <c r="D80" s="67"/>
      <c r="E80" s="121"/>
      <c r="F80" s="121"/>
      <c r="G80" s="121"/>
      <c r="H80" s="64" t="str">
        <f>IF(AND(ISNUMBER(D80),ISNUMBER(E80)),E80-D80,"")</f>
        <v/>
      </c>
      <c r="I80" s="115"/>
      <c r="J80" s="115"/>
      <c r="K80" s="116" t="str">
        <f>IF(AND(ISNUMBER(D80),ISNUMBER(I80)),I80-D80,"")</f>
        <v/>
      </c>
      <c r="L80" s="117">
        <f>IFERROR(G80-F80,"-")</f>
        <v>0</v>
      </c>
      <c r="M80" s="118" t="str">
        <f>IFERROR((G80-F80)/F80,"-")</f>
        <v>-</v>
      </c>
      <c r="N80" s="122" t="s">
        <v>869</v>
      </c>
    </row>
    <row r="81" spans="1:14" ht="31.5" customHeight="1" x14ac:dyDescent="0.5">
      <c r="A81" s="112"/>
      <c r="B81" s="113" t="s">
        <v>870</v>
      </c>
      <c r="C81" s="66" t="s">
        <v>429</v>
      </c>
      <c r="D81" s="67"/>
      <c r="E81" s="114"/>
      <c r="F81" s="114"/>
      <c r="G81" s="114"/>
      <c r="H81" s="64" t="str">
        <f>IF(AND(ISNUMBER(D81),ISNUMBER(E81)),E81-D81,"")</f>
        <v/>
      </c>
      <c r="I81" s="115"/>
      <c r="J81" s="115"/>
      <c r="K81" s="116" t="str">
        <f>IF(AND(ISNUMBER(D81),ISNUMBER(I81)),I81-D81,"")</f>
        <v/>
      </c>
      <c r="L81" s="117">
        <f>IFERROR(G81-F81,"-")</f>
        <v>0</v>
      </c>
      <c r="M81" s="118" t="str">
        <f>IFERROR((G81-F81)/F81,"-")</f>
        <v>-</v>
      </c>
      <c r="N81" s="119" t="s">
        <v>403</v>
      </c>
    </row>
    <row r="82" spans="1:14" ht="15.75" customHeight="1" x14ac:dyDescent="0.5">
      <c r="A82" s="12"/>
      <c r="B82" s="69" t="s">
        <v>871</v>
      </c>
      <c r="C82" s="70" t="s">
        <v>872</v>
      </c>
      <c r="D82" s="44">
        <f>SUM(D80,D81)</f>
        <v>0</v>
      </c>
      <c r="E82" s="44">
        <f>SUM(E80,E81)</f>
        <v>0</v>
      </c>
      <c r="F82" s="44">
        <f>SUM(F80,F81)</f>
        <v>0</v>
      </c>
      <c r="G82" s="44">
        <f>SUM(G80,G81)</f>
        <v>0</v>
      </c>
      <c r="H82" s="12"/>
      <c r="I82" s="12"/>
      <c r="J82" s="12"/>
      <c r="K82" s="12"/>
      <c r="L82" s="12"/>
      <c r="M82" s="12"/>
      <c r="N82" s="12"/>
    </row>
    <row r="83" spans="1:14" ht="15.75" customHeight="1" x14ac:dyDescent="0.5">
      <c r="A83" s="60"/>
      <c r="B83" s="61" t="s">
        <v>432</v>
      </c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</row>
    <row r="84" spans="1:14" ht="31.5" customHeight="1" x14ac:dyDescent="0.5">
      <c r="A84" s="60"/>
      <c r="B84" s="120" t="s">
        <v>873</v>
      </c>
      <c r="C84" s="63" t="s">
        <v>435</v>
      </c>
      <c r="D84" s="67"/>
      <c r="E84" s="121"/>
      <c r="F84" s="121"/>
      <c r="G84" s="121"/>
      <c r="H84" s="64" t="str">
        <f>IF(AND(ISNUMBER(D84),ISNUMBER(E84)),E84-D84,"")</f>
        <v/>
      </c>
      <c r="I84" s="115"/>
      <c r="J84" s="115"/>
      <c r="K84" s="116" t="str">
        <f>IF(AND(ISNUMBER(D84),ISNUMBER(I84)),I84-D84,"")</f>
        <v/>
      </c>
      <c r="L84" s="117">
        <f>IFERROR(G84-F84,"-")</f>
        <v>0</v>
      </c>
      <c r="M84" s="118" t="str">
        <f>IFERROR((G84-F84)/F84,"-")</f>
        <v>-</v>
      </c>
      <c r="N84" s="122" t="s">
        <v>874</v>
      </c>
    </row>
    <row r="85" spans="1:14" ht="15.75" customHeight="1" x14ac:dyDescent="0.5">
      <c r="A85" s="12"/>
      <c r="B85" s="69" t="s">
        <v>875</v>
      </c>
      <c r="C85" s="70" t="s">
        <v>872</v>
      </c>
      <c r="D85" s="44">
        <f>SUM(D84)</f>
        <v>0</v>
      </c>
      <c r="E85" s="44">
        <f>SUM(E84)</f>
        <v>0</v>
      </c>
      <c r="F85" s="44">
        <f>SUM(F84)</f>
        <v>0</v>
      </c>
      <c r="G85" s="44">
        <f>SUM(G84)</f>
        <v>0</v>
      </c>
      <c r="H85" s="12"/>
      <c r="I85" s="12"/>
      <c r="J85" s="12"/>
      <c r="K85" s="12"/>
      <c r="L85" s="12"/>
      <c r="M85" s="12"/>
      <c r="N85" s="12"/>
    </row>
    <row r="86" spans="1:14" ht="15.75" customHeight="1" x14ac:dyDescent="0.5">
      <c r="A86" s="60"/>
      <c r="B86" s="61" t="s">
        <v>876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</row>
    <row r="87" spans="1:14" ht="31.5" customHeight="1" x14ac:dyDescent="0.5">
      <c r="A87" s="112"/>
      <c r="B87" s="113" t="s">
        <v>877</v>
      </c>
      <c r="C87" s="66" t="s">
        <v>441</v>
      </c>
      <c r="D87" s="67"/>
      <c r="E87" s="114"/>
      <c r="F87" s="114"/>
      <c r="G87" s="114"/>
      <c r="H87" s="64" t="str">
        <f>IF(AND(ISNUMBER(D87),ISNUMBER(E87)),E87-D87,"")</f>
        <v/>
      </c>
      <c r="I87" s="115"/>
      <c r="J87" s="115"/>
      <c r="K87" s="116" t="str">
        <f>IF(AND(ISNUMBER(D87),ISNUMBER(I87)),I87-D87,"")</f>
        <v/>
      </c>
      <c r="L87" s="117">
        <f>IFERROR(G87-F87,"-")</f>
        <v>0</v>
      </c>
      <c r="M87" s="118" t="str">
        <f>IFERROR((G87-F87)/F87,"-")</f>
        <v>-</v>
      </c>
      <c r="N87" s="119" t="s">
        <v>878</v>
      </c>
    </row>
    <row r="88" spans="1:14" ht="31.5" customHeight="1" x14ac:dyDescent="0.5">
      <c r="A88" s="60"/>
      <c r="B88" s="120" t="s">
        <v>879</v>
      </c>
      <c r="C88" s="63" t="s">
        <v>444</v>
      </c>
      <c r="D88" s="67"/>
      <c r="E88" s="121"/>
      <c r="F88" s="121"/>
      <c r="G88" s="121"/>
      <c r="H88" s="64" t="str">
        <f>IF(AND(ISNUMBER(D88),ISNUMBER(E88)),E88-D88,"")</f>
        <v/>
      </c>
      <c r="I88" s="115"/>
      <c r="J88" s="115"/>
      <c r="K88" s="116" t="str">
        <f>IF(AND(ISNUMBER(D88),ISNUMBER(I88)),I88-D88,"")</f>
        <v/>
      </c>
      <c r="L88" s="117">
        <f>IFERROR(G88-F88,"-")</f>
        <v>0</v>
      </c>
      <c r="M88" s="118" t="str">
        <f>IFERROR((G88-F88)/F88,"-")</f>
        <v>-</v>
      </c>
      <c r="N88" s="122" t="s">
        <v>880</v>
      </c>
    </row>
    <row r="89" spans="1:14" ht="15.75" customHeight="1" x14ac:dyDescent="0.5">
      <c r="A89" s="12"/>
      <c r="B89" s="69" t="s">
        <v>881</v>
      </c>
      <c r="C89" s="70" t="s">
        <v>872</v>
      </c>
      <c r="D89" s="44">
        <f>SUM(D87,D88)</f>
        <v>0</v>
      </c>
      <c r="E89" s="44">
        <f>SUM(E87,E88)</f>
        <v>0</v>
      </c>
      <c r="F89" s="44">
        <f>SUM(F87,F88)</f>
        <v>0</v>
      </c>
      <c r="G89" s="44">
        <f>SUM(G87,G88)</f>
        <v>0</v>
      </c>
      <c r="H89" s="12"/>
      <c r="I89" s="12"/>
      <c r="J89" s="12"/>
      <c r="K89" s="12"/>
      <c r="L89" s="12"/>
      <c r="M89" s="12"/>
      <c r="N89" s="12"/>
    </row>
    <row r="90" spans="1:14" ht="15.75" customHeight="1" x14ac:dyDescent="0.5">
      <c r="A90" s="60"/>
      <c r="B90" s="61" t="s">
        <v>882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</row>
    <row r="91" spans="1:14" ht="31.5" customHeight="1" x14ac:dyDescent="0.5">
      <c r="A91" s="112"/>
      <c r="B91" s="113" t="s">
        <v>883</v>
      </c>
      <c r="C91" s="66" t="s">
        <v>450</v>
      </c>
      <c r="D91" s="67"/>
      <c r="E91" s="114"/>
      <c r="F91" s="114"/>
      <c r="G91" s="114"/>
      <c r="H91" s="64" t="str">
        <f t="shared" ref="H91:H96" si="16">IF(AND(ISNUMBER(D91),ISNUMBER(E91)),E91-D91,"")</f>
        <v/>
      </c>
      <c r="I91" s="115"/>
      <c r="J91" s="115"/>
      <c r="K91" s="116" t="str">
        <f t="shared" ref="K91:K96" si="17">IF(AND(ISNUMBER(D91),ISNUMBER(I91)),I91-D91,"")</f>
        <v/>
      </c>
      <c r="L91" s="117">
        <f t="shared" ref="L91:L96" si="18">IFERROR(G91-F91,"-")</f>
        <v>0</v>
      </c>
      <c r="M91" s="118" t="str">
        <f t="shared" ref="M91:M96" si="19">IFERROR((G91-F91)/F91,"-")</f>
        <v>-</v>
      </c>
      <c r="N91" s="119" t="s">
        <v>884</v>
      </c>
    </row>
    <row r="92" spans="1:14" ht="31.5" customHeight="1" x14ac:dyDescent="0.5">
      <c r="A92" s="60"/>
      <c r="B92" s="120" t="s">
        <v>885</v>
      </c>
      <c r="C92" s="63" t="s">
        <v>453</v>
      </c>
      <c r="D92" s="67"/>
      <c r="E92" s="121"/>
      <c r="F92" s="121"/>
      <c r="G92" s="121"/>
      <c r="H92" s="64" t="str">
        <f t="shared" si="16"/>
        <v/>
      </c>
      <c r="I92" s="115"/>
      <c r="J92" s="115"/>
      <c r="K92" s="116" t="str">
        <f t="shared" si="17"/>
        <v/>
      </c>
      <c r="L92" s="117">
        <f t="shared" si="18"/>
        <v>0</v>
      </c>
      <c r="M92" s="118" t="str">
        <f t="shared" si="19"/>
        <v>-</v>
      </c>
      <c r="N92" s="122" t="s">
        <v>886</v>
      </c>
    </row>
    <row r="93" spans="1:14" ht="31.5" customHeight="1" x14ac:dyDescent="0.5">
      <c r="A93" s="112"/>
      <c r="B93" s="113" t="s">
        <v>887</v>
      </c>
      <c r="C93" s="66" t="s">
        <v>456</v>
      </c>
      <c r="D93" s="67"/>
      <c r="E93" s="114"/>
      <c r="F93" s="114"/>
      <c r="G93" s="114"/>
      <c r="H93" s="64" t="str">
        <f t="shared" si="16"/>
        <v/>
      </c>
      <c r="I93" s="115"/>
      <c r="J93" s="115"/>
      <c r="K93" s="116" t="str">
        <f t="shared" si="17"/>
        <v/>
      </c>
      <c r="L93" s="117">
        <f t="shared" si="18"/>
        <v>0</v>
      </c>
      <c r="M93" s="118" t="str">
        <f t="shared" si="19"/>
        <v>-</v>
      </c>
      <c r="N93" s="119" t="s">
        <v>888</v>
      </c>
    </row>
    <row r="94" spans="1:14" ht="31.5" customHeight="1" x14ac:dyDescent="0.5">
      <c r="A94" s="60"/>
      <c r="B94" s="120" t="s">
        <v>889</v>
      </c>
      <c r="C94" s="63" t="s">
        <v>459</v>
      </c>
      <c r="D94" s="67"/>
      <c r="E94" s="121"/>
      <c r="F94" s="121"/>
      <c r="G94" s="121"/>
      <c r="H94" s="64" t="str">
        <f t="shared" si="16"/>
        <v/>
      </c>
      <c r="I94" s="115"/>
      <c r="J94" s="115"/>
      <c r="K94" s="116" t="str">
        <f t="shared" si="17"/>
        <v/>
      </c>
      <c r="L94" s="117">
        <f t="shared" si="18"/>
        <v>0</v>
      </c>
      <c r="M94" s="118" t="str">
        <f t="shared" si="19"/>
        <v>-</v>
      </c>
      <c r="N94" s="122" t="s">
        <v>890</v>
      </c>
    </row>
    <row r="95" spans="1:14" ht="31.5" customHeight="1" x14ac:dyDescent="0.5">
      <c r="A95" s="112"/>
      <c r="B95" s="113" t="s">
        <v>891</v>
      </c>
      <c r="C95" s="66" t="s">
        <v>462</v>
      </c>
      <c r="D95" s="67"/>
      <c r="E95" s="114"/>
      <c r="F95" s="114"/>
      <c r="G95" s="114"/>
      <c r="H95" s="64" t="str">
        <f t="shared" si="16"/>
        <v/>
      </c>
      <c r="I95" s="115"/>
      <c r="J95" s="115"/>
      <c r="K95" s="116" t="str">
        <f t="shared" si="17"/>
        <v/>
      </c>
      <c r="L95" s="117">
        <f t="shared" si="18"/>
        <v>0</v>
      </c>
      <c r="M95" s="118" t="str">
        <f t="shared" si="19"/>
        <v>-</v>
      </c>
      <c r="N95" s="119" t="s">
        <v>892</v>
      </c>
    </row>
    <row r="96" spans="1:14" ht="31.5" customHeight="1" x14ac:dyDescent="0.5">
      <c r="A96" s="60"/>
      <c r="B96" s="120" t="s">
        <v>893</v>
      </c>
      <c r="C96" s="63" t="s">
        <v>465</v>
      </c>
      <c r="D96" s="67"/>
      <c r="E96" s="121"/>
      <c r="F96" s="121"/>
      <c r="G96" s="121"/>
      <c r="H96" s="64" t="str">
        <f t="shared" si="16"/>
        <v/>
      </c>
      <c r="I96" s="115"/>
      <c r="J96" s="115"/>
      <c r="K96" s="116" t="str">
        <f t="shared" si="17"/>
        <v/>
      </c>
      <c r="L96" s="117">
        <f t="shared" si="18"/>
        <v>0</v>
      </c>
      <c r="M96" s="118" t="str">
        <f t="shared" si="19"/>
        <v>-</v>
      </c>
      <c r="N96" s="122" t="s">
        <v>894</v>
      </c>
    </row>
    <row r="97" spans="1:14" ht="15.75" customHeight="1" x14ac:dyDescent="0.5">
      <c r="A97" s="12"/>
      <c r="B97" s="69" t="s">
        <v>895</v>
      </c>
      <c r="C97" s="70" t="s">
        <v>872</v>
      </c>
      <c r="D97" s="44">
        <f>SUM(D91,D92,D93,D94,D95,D96)</f>
        <v>0</v>
      </c>
      <c r="E97" s="44">
        <f>SUM(E91,E92,E93,E94,E95,E96)</f>
        <v>0</v>
      </c>
      <c r="F97" s="44">
        <f>SUM(F91,F92,F93,F94,F95,F96)</f>
        <v>0</v>
      </c>
      <c r="G97" s="44">
        <f>SUM(G91,G92,G93,G94,G95,G96)</f>
        <v>0</v>
      </c>
      <c r="H97" s="12"/>
      <c r="I97" s="12"/>
      <c r="J97" s="12"/>
      <c r="K97" s="12"/>
      <c r="L97" s="12"/>
      <c r="M97" s="12"/>
      <c r="N97" s="12"/>
    </row>
    <row r="98" spans="1:14" ht="15.75" customHeight="1" x14ac:dyDescent="0.5">
      <c r="A98" s="60"/>
      <c r="B98" s="61" t="s">
        <v>468</v>
      </c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</row>
    <row r="99" spans="1:14" ht="31.5" customHeight="1" x14ac:dyDescent="0.5">
      <c r="A99" s="112"/>
      <c r="B99" s="113" t="s">
        <v>896</v>
      </c>
      <c r="C99" s="66" t="s">
        <v>471</v>
      </c>
      <c r="D99" s="67"/>
      <c r="E99" s="114"/>
      <c r="F99" s="114"/>
      <c r="G99" s="114"/>
      <c r="H99" s="64" t="str">
        <f t="shared" ref="H99:H105" si="20">IF(AND(ISNUMBER(D99),ISNUMBER(E99)),E99-D99,"")</f>
        <v/>
      </c>
      <c r="I99" s="115"/>
      <c r="J99" s="115"/>
      <c r="K99" s="116" t="str">
        <f t="shared" ref="K99:K105" si="21">IF(AND(ISNUMBER(D99),ISNUMBER(I99)),I99-D99,"")</f>
        <v/>
      </c>
      <c r="L99" s="117">
        <f t="shared" ref="L99:L105" si="22">IFERROR(G99-F99,"-")</f>
        <v>0</v>
      </c>
      <c r="M99" s="118" t="str">
        <f t="shared" ref="M99:M105" si="23">IFERROR((G99-F99)/F99,"-")</f>
        <v>-</v>
      </c>
      <c r="N99" s="119" t="s">
        <v>897</v>
      </c>
    </row>
    <row r="100" spans="1:14" ht="31.5" customHeight="1" x14ac:dyDescent="0.5">
      <c r="A100" s="60"/>
      <c r="B100" s="120" t="s">
        <v>898</v>
      </c>
      <c r="C100" s="63" t="s">
        <v>474</v>
      </c>
      <c r="D100" s="67"/>
      <c r="E100" s="121"/>
      <c r="F100" s="121"/>
      <c r="G100" s="121"/>
      <c r="H100" s="64" t="str">
        <f t="shared" si="20"/>
        <v/>
      </c>
      <c r="I100" s="115"/>
      <c r="J100" s="115"/>
      <c r="K100" s="116" t="str">
        <f t="shared" si="21"/>
        <v/>
      </c>
      <c r="L100" s="117">
        <f t="shared" si="22"/>
        <v>0</v>
      </c>
      <c r="M100" s="118" t="str">
        <f t="shared" si="23"/>
        <v>-</v>
      </c>
      <c r="N100" s="122" t="s">
        <v>899</v>
      </c>
    </row>
    <row r="101" spans="1:14" ht="31.5" customHeight="1" x14ac:dyDescent="0.5">
      <c r="A101" s="112"/>
      <c r="B101" s="113" t="s">
        <v>476</v>
      </c>
      <c r="C101" s="66" t="s">
        <v>477</v>
      </c>
      <c r="D101" s="67"/>
      <c r="E101" s="114"/>
      <c r="F101" s="114"/>
      <c r="G101" s="114"/>
      <c r="H101" s="64" t="str">
        <f t="shared" si="20"/>
        <v/>
      </c>
      <c r="I101" s="115"/>
      <c r="J101" s="115"/>
      <c r="K101" s="116" t="str">
        <f t="shared" si="21"/>
        <v/>
      </c>
      <c r="L101" s="117">
        <f t="shared" si="22"/>
        <v>0</v>
      </c>
      <c r="M101" s="118" t="str">
        <f t="shared" si="23"/>
        <v>-</v>
      </c>
      <c r="N101" s="119" t="s">
        <v>900</v>
      </c>
    </row>
    <row r="102" spans="1:14" ht="31.5" customHeight="1" x14ac:dyDescent="0.5">
      <c r="A102" s="60"/>
      <c r="B102" s="120" t="s">
        <v>479</v>
      </c>
      <c r="C102" s="63" t="s">
        <v>480</v>
      </c>
      <c r="D102" s="67"/>
      <c r="E102" s="121"/>
      <c r="F102" s="121"/>
      <c r="G102" s="121"/>
      <c r="H102" s="64" t="str">
        <f t="shared" si="20"/>
        <v/>
      </c>
      <c r="I102" s="115"/>
      <c r="J102" s="115"/>
      <c r="K102" s="116" t="str">
        <f t="shared" si="21"/>
        <v/>
      </c>
      <c r="L102" s="117">
        <f t="shared" si="22"/>
        <v>0</v>
      </c>
      <c r="M102" s="118" t="str">
        <f t="shared" si="23"/>
        <v>-</v>
      </c>
      <c r="N102" s="122" t="s">
        <v>901</v>
      </c>
    </row>
    <row r="103" spans="1:14" ht="31.5" customHeight="1" x14ac:dyDescent="0.5">
      <c r="A103" s="112"/>
      <c r="B103" s="113" t="s">
        <v>902</v>
      </c>
      <c r="C103" s="66" t="s">
        <v>483</v>
      </c>
      <c r="D103" s="67"/>
      <c r="E103" s="114"/>
      <c r="F103" s="114"/>
      <c r="G103" s="114"/>
      <c r="H103" s="64" t="str">
        <f t="shared" si="20"/>
        <v/>
      </c>
      <c r="I103" s="115"/>
      <c r="J103" s="115"/>
      <c r="K103" s="116" t="str">
        <f t="shared" si="21"/>
        <v/>
      </c>
      <c r="L103" s="117">
        <f t="shared" si="22"/>
        <v>0</v>
      </c>
      <c r="M103" s="118" t="str">
        <f t="shared" si="23"/>
        <v>-</v>
      </c>
      <c r="N103" s="119" t="s">
        <v>903</v>
      </c>
    </row>
    <row r="104" spans="1:14" ht="31.5" customHeight="1" x14ac:dyDescent="0.5">
      <c r="A104" s="60"/>
      <c r="B104" s="120" t="s">
        <v>904</v>
      </c>
      <c r="C104" s="63" t="s">
        <v>486</v>
      </c>
      <c r="D104" s="67"/>
      <c r="E104" s="121"/>
      <c r="F104" s="121"/>
      <c r="G104" s="121"/>
      <c r="H104" s="64" t="str">
        <f t="shared" si="20"/>
        <v/>
      </c>
      <c r="I104" s="115"/>
      <c r="J104" s="115"/>
      <c r="K104" s="116" t="str">
        <f t="shared" si="21"/>
        <v/>
      </c>
      <c r="L104" s="117">
        <f t="shared" si="22"/>
        <v>0</v>
      </c>
      <c r="M104" s="118" t="str">
        <f t="shared" si="23"/>
        <v>-</v>
      </c>
      <c r="N104" s="122" t="s">
        <v>905</v>
      </c>
    </row>
    <row r="105" spans="1:14" ht="31.5" customHeight="1" x14ac:dyDescent="0.5">
      <c r="A105" s="112"/>
      <c r="B105" s="113" t="s">
        <v>906</v>
      </c>
      <c r="C105" s="66" t="s">
        <v>489</v>
      </c>
      <c r="D105" s="67"/>
      <c r="E105" s="114"/>
      <c r="F105" s="114"/>
      <c r="G105" s="114"/>
      <c r="H105" s="64" t="str">
        <f t="shared" si="20"/>
        <v/>
      </c>
      <c r="I105" s="115"/>
      <c r="J105" s="115"/>
      <c r="K105" s="116" t="str">
        <f t="shared" si="21"/>
        <v/>
      </c>
      <c r="L105" s="117">
        <f t="shared" si="22"/>
        <v>0</v>
      </c>
      <c r="M105" s="118" t="str">
        <f t="shared" si="23"/>
        <v>-</v>
      </c>
      <c r="N105" s="119" t="s">
        <v>907</v>
      </c>
    </row>
    <row r="106" spans="1:14" ht="15.75" customHeight="1" x14ac:dyDescent="0.5">
      <c r="A106" s="12"/>
      <c r="B106" s="69" t="s">
        <v>908</v>
      </c>
      <c r="C106" s="70" t="s">
        <v>872</v>
      </c>
      <c r="D106" s="44">
        <f>SUM(D99,D100,D101,D102,D103,D104,D105)</f>
        <v>0</v>
      </c>
      <c r="E106" s="44">
        <f>SUM(E99,E100,E101,E102,E103,E104,E105)</f>
        <v>0</v>
      </c>
      <c r="F106" s="44">
        <f>SUM(F99,F100,F101,F102,F103,F104,F105)</f>
        <v>0</v>
      </c>
      <c r="G106" s="44">
        <f>SUM(G99,G100,G101,G102,G103,G104,G105)</f>
        <v>0</v>
      </c>
      <c r="H106" s="12"/>
      <c r="I106" s="12"/>
      <c r="J106" s="12"/>
      <c r="K106" s="12"/>
      <c r="L106" s="12"/>
      <c r="M106" s="12"/>
      <c r="N106" s="12"/>
    </row>
    <row r="107" spans="1:14" ht="15.75" customHeight="1" x14ac:dyDescent="0.5">
      <c r="A107" s="60"/>
      <c r="B107" s="61" t="s">
        <v>909</v>
      </c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</row>
    <row r="108" spans="1:14" ht="31.5" customHeight="1" x14ac:dyDescent="0.5">
      <c r="A108" s="60"/>
      <c r="B108" s="120" t="s">
        <v>910</v>
      </c>
      <c r="C108" s="63" t="s">
        <v>495</v>
      </c>
      <c r="D108" s="67"/>
      <c r="E108" s="121"/>
      <c r="F108" s="121"/>
      <c r="G108" s="121"/>
      <c r="H108" s="64" t="str">
        <f t="shared" ref="H108:H114" si="24">IF(AND(ISNUMBER(D108),ISNUMBER(E108)),E108-D108,"")</f>
        <v/>
      </c>
      <c r="I108" s="115"/>
      <c r="J108" s="115"/>
      <c r="K108" s="116" t="str">
        <f t="shared" ref="K108:K114" si="25">IF(AND(ISNUMBER(D108),ISNUMBER(I108)),I108-D108,"")</f>
        <v/>
      </c>
      <c r="L108" s="117">
        <f t="shared" ref="L108:L114" si="26">IFERROR(G108-F108,"-")</f>
        <v>0</v>
      </c>
      <c r="M108" s="118" t="str">
        <f t="shared" ref="M108:M114" si="27">IFERROR((G108-F108)/F108,"-")</f>
        <v>-</v>
      </c>
      <c r="N108" s="122" t="s">
        <v>911</v>
      </c>
    </row>
    <row r="109" spans="1:14" ht="31.5" customHeight="1" x14ac:dyDescent="0.5">
      <c r="A109" s="112"/>
      <c r="B109" s="113" t="s">
        <v>912</v>
      </c>
      <c r="C109" s="66" t="s">
        <v>498</v>
      </c>
      <c r="D109" s="67"/>
      <c r="E109" s="114"/>
      <c r="F109" s="114"/>
      <c r="G109" s="114"/>
      <c r="H109" s="64" t="str">
        <f t="shared" si="24"/>
        <v/>
      </c>
      <c r="I109" s="115"/>
      <c r="J109" s="115"/>
      <c r="K109" s="116" t="str">
        <f t="shared" si="25"/>
        <v/>
      </c>
      <c r="L109" s="117">
        <f t="shared" si="26"/>
        <v>0</v>
      </c>
      <c r="M109" s="118" t="str">
        <f t="shared" si="27"/>
        <v>-</v>
      </c>
      <c r="N109" s="119" t="s">
        <v>913</v>
      </c>
    </row>
    <row r="110" spans="1:14" ht="31.5" customHeight="1" x14ac:dyDescent="0.5">
      <c r="A110" s="60"/>
      <c r="B110" s="120" t="s">
        <v>914</v>
      </c>
      <c r="C110" s="63" t="s">
        <v>501</v>
      </c>
      <c r="D110" s="67"/>
      <c r="E110" s="121"/>
      <c r="F110" s="121"/>
      <c r="G110" s="121"/>
      <c r="H110" s="64" t="str">
        <f t="shared" si="24"/>
        <v/>
      </c>
      <c r="I110" s="115"/>
      <c r="J110" s="115"/>
      <c r="K110" s="116" t="str">
        <f t="shared" si="25"/>
        <v/>
      </c>
      <c r="L110" s="117">
        <f t="shared" si="26"/>
        <v>0</v>
      </c>
      <c r="M110" s="118" t="str">
        <f t="shared" si="27"/>
        <v>-</v>
      </c>
      <c r="N110" s="122" t="s">
        <v>915</v>
      </c>
    </row>
    <row r="111" spans="1:14" ht="31.5" customHeight="1" x14ac:dyDescent="0.5">
      <c r="A111" s="112"/>
      <c r="B111" s="113" t="s">
        <v>916</v>
      </c>
      <c r="C111" s="66" t="s">
        <v>504</v>
      </c>
      <c r="D111" s="67"/>
      <c r="E111" s="114"/>
      <c r="F111" s="114"/>
      <c r="G111" s="114"/>
      <c r="H111" s="64" t="str">
        <f t="shared" si="24"/>
        <v/>
      </c>
      <c r="I111" s="115"/>
      <c r="J111" s="115"/>
      <c r="K111" s="116" t="str">
        <f t="shared" si="25"/>
        <v/>
      </c>
      <c r="L111" s="117">
        <f t="shared" si="26"/>
        <v>0</v>
      </c>
      <c r="M111" s="118" t="str">
        <f t="shared" si="27"/>
        <v>-</v>
      </c>
      <c r="N111" s="119" t="s">
        <v>917</v>
      </c>
    </row>
    <row r="112" spans="1:14" ht="31.5" customHeight="1" x14ac:dyDescent="0.5">
      <c r="A112" s="60"/>
      <c r="B112" s="120" t="s">
        <v>918</v>
      </c>
      <c r="C112" s="63" t="s">
        <v>507</v>
      </c>
      <c r="D112" s="67"/>
      <c r="E112" s="121"/>
      <c r="F112" s="121"/>
      <c r="G112" s="121"/>
      <c r="H112" s="64" t="str">
        <f t="shared" si="24"/>
        <v/>
      </c>
      <c r="I112" s="115"/>
      <c r="J112" s="115"/>
      <c r="K112" s="116" t="str">
        <f t="shared" si="25"/>
        <v/>
      </c>
      <c r="L112" s="117">
        <f t="shared" si="26"/>
        <v>0</v>
      </c>
      <c r="M112" s="118" t="str">
        <f t="shared" si="27"/>
        <v>-</v>
      </c>
      <c r="N112" s="122" t="s">
        <v>245</v>
      </c>
    </row>
    <row r="113" spans="1:14" ht="31.5" customHeight="1" x14ac:dyDescent="0.5">
      <c r="A113" s="112"/>
      <c r="B113" s="113" t="s">
        <v>919</v>
      </c>
      <c r="C113" s="66" t="s">
        <v>510</v>
      </c>
      <c r="D113" s="67"/>
      <c r="E113" s="114"/>
      <c r="F113" s="114"/>
      <c r="G113" s="114"/>
      <c r="H113" s="64" t="str">
        <f t="shared" si="24"/>
        <v/>
      </c>
      <c r="I113" s="115"/>
      <c r="J113" s="115"/>
      <c r="K113" s="116" t="str">
        <f t="shared" si="25"/>
        <v/>
      </c>
      <c r="L113" s="117">
        <f t="shared" si="26"/>
        <v>0</v>
      </c>
      <c r="M113" s="118" t="str">
        <f t="shared" si="27"/>
        <v>-</v>
      </c>
      <c r="N113" s="119" t="s">
        <v>920</v>
      </c>
    </row>
    <row r="114" spans="1:14" ht="31.5" customHeight="1" x14ac:dyDescent="0.5">
      <c r="A114" s="60"/>
      <c r="B114" s="120" t="s">
        <v>921</v>
      </c>
      <c r="C114" s="63" t="s">
        <v>513</v>
      </c>
      <c r="D114" s="67"/>
      <c r="E114" s="121"/>
      <c r="F114" s="121"/>
      <c r="G114" s="121"/>
      <c r="H114" s="64" t="str">
        <f t="shared" si="24"/>
        <v/>
      </c>
      <c r="I114" s="115"/>
      <c r="J114" s="115"/>
      <c r="K114" s="116" t="str">
        <f t="shared" si="25"/>
        <v/>
      </c>
      <c r="L114" s="117">
        <f t="shared" si="26"/>
        <v>0</v>
      </c>
      <c r="M114" s="118" t="str">
        <f t="shared" si="27"/>
        <v>-</v>
      </c>
      <c r="N114" s="122" t="s">
        <v>922</v>
      </c>
    </row>
    <row r="115" spans="1:14" ht="15.75" customHeight="1" x14ac:dyDescent="0.5">
      <c r="A115" s="12"/>
      <c r="B115" s="69" t="s">
        <v>923</v>
      </c>
      <c r="C115" s="70" t="s">
        <v>872</v>
      </c>
      <c r="D115" s="44">
        <f>SUM(D108,D109,D110,D111,D112,D113,D114)</f>
        <v>0</v>
      </c>
      <c r="E115" s="44">
        <f>SUM(E108,E109,E110,E111,E112,E113,E114)</f>
        <v>0</v>
      </c>
      <c r="F115" s="44">
        <f>SUM(F108,F109,F110,F111,F112,F113,F114)</f>
        <v>0</v>
      </c>
      <c r="G115" s="44">
        <f>SUM(G108,G109,G110,G111,G112,G113,G114)</f>
        <v>0</v>
      </c>
      <c r="H115" s="12"/>
      <c r="I115" s="12"/>
      <c r="J115" s="12"/>
      <c r="K115" s="12"/>
      <c r="L115" s="12"/>
      <c r="M115" s="12"/>
      <c r="N115" s="12"/>
    </row>
    <row r="116" spans="1:14" ht="15.75" customHeight="1" x14ac:dyDescent="0.5">
      <c r="A116" s="60"/>
      <c r="B116" s="61" t="s">
        <v>924</v>
      </c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</row>
    <row r="117" spans="1:14" ht="31.5" customHeight="1" x14ac:dyDescent="0.5">
      <c r="A117" s="112"/>
      <c r="B117" s="113" t="s">
        <v>925</v>
      </c>
      <c r="C117" s="66" t="s">
        <v>519</v>
      </c>
      <c r="D117" s="67"/>
      <c r="E117" s="114"/>
      <c r="F117" s="114"/>
      <c r="G117" s="114"/>
      <c r="H117" s="64" t="str">
        <f t="shared" ref="H117:H122" si="28">IF(AND(ISNUMBER(D117),ISNUMBER(E117)),E117-D117,"")</f>
        <v/>
      </c>
      <c r="I117" s="115"/>
      <c r="J117" s="115"/>
      <c r="K117" s="116" t="str">
        <f t="shared" ref="K117:K122" si="29">IF(AND(ISNUMBER(D117),ISNUMBER(I117)),I117-D117,"")</f>
        <v/>
      </c>
      <c r="L117" s="117">
        <f t="shared" ref="L117:L122" si="30">IFERROR(G117-F117,"-")</f>
        <v>0</v>
      </c>
      <c r="M117" s="118" t="str">
        <f t="shared" ref="M117:M122" si="31">IFERROR((G117-F117)/F117,"-")</f>
        <v>-</v>
      </c>
      <c r="N117" s="119" t="s">
        <v>926</v>
      </c>
    </row>
    <row r="118" spans="1:14" ht="31.5" customHeight="1" x14ac:dyDescent="0.5">
      <c r="A118" s="60"/>
      <c r="B118" s="120" t="s">
        <v>927</v>
      </c>
      <c r="C118" s="63" t="s">
        <v>522</v>
      </c>
      <c r="D118" s="67"/>
      <c r="E118" s="121"/>
      <c r="F118" s="121"/>
      <c r="G118" s="121"/>
      <c r="H118" s="64" t="str">
        <f t="shared" si="28"/>
        <v/>
      </c>
      <c r="I118" s="115"/>
      <c r="J118" s="115"/>
      <c r="K118" s="116" t="str">
        <f t="shared" si="29"/>
        <v/>
      </c>
      <c r="L118" s="117">
        <f t="shared" si="30"/>
        <v>0</v>
      </c>
      <c r="M118" s="118" t="str">
        <f t="shared" si="31"/>
        <v>-</v>
      </c>
      <c r="N118" s="122" t="s">
        <v>928</v>
      </c>
    </row>
    <row r="119" spans="1:14" ht="31.5" customHeight="1" x14ac:dyDescent="0.5">
      <c r="A119" s="112"/>
      <c r="B119" s="113" t="s">
        <v>929</v>
      </c>
      <c r="C119" s="66" t="s">
        <v>525</v>
      </c>
      <c r="D119" s="67"/>
      <c r="E119" s="114"/>
      <c r="F119" s="114"/>
      <c r="G119" s="114"/>
      <c r="H119" s="64" t="str">
        <f t="shared" si="28"/>
        <v/>
      </c>
      <c r="I119" s="115"/>
      <c r="J119" s="115"/>
      <c r="K119" s="116" t="str">
        <f t="shared" si="29"/>
        <v/>
      </c>
      <c r="L119" s="117">
        <f t="shared" si="30"/>
        <v>0</v>
      </c>
      <c r="M119" s="118" t="str">
        <f t="shared" si="31"/>
        <v>-</v>
      </c>
      <c r="N119" s="119" t="s">
        <v>930</v>
      </c>
    </row>
    <row r="120" spans="1:14" ht="31.5" customHeight="1" x14ac:dyDescent="0.5">
      <c r="A120" s="60"/>
      <c r="B120" s="120" t="s">
        <v>931</v>
      </c>
      <c r="C120" s="63" t="s">
        <v>528</v>
      </c>
      <c r="D120" s="67"/>
      <c r="E120" s="121"/>
      <c r="F120" s="121"/>
      <c r="G120" s="121"/>
      <c r="H120" s="64" t="str">
        <f t="shared" si="28"/>
        <v/>
      </c>
      <c r="I120" s="115"/>
      <c r="J120" s="115"/>
      <c r="K120" s="116" t="str">
        <f t="shared" si="29"/>
        <v/>
      </c>
      <c r="L120" s="117">
        <f t="shared" si="30"/>
        <v>0</v>
      </c>
      <c r="M120" s="118" t="str">
        <f t="shared" si="31"/>
        <v>-</v>
      </c>
      <c r="N120" s="122" t="s">
        <v>932</v>
      </c>
    </row>
    <row r="121" spans="1:14" ht="31.5" customHeight="1" x14ac:dyDescent="0.5">
      <c r="A121" s="112"/>
      <c r="B121" s="113" t="s">
        <v>933</v>
      </c>
      <c r="C121" s="66" t="s">
        <v>531</v>
      </c>
      <c r="D121" s="67"/>
      <c r="E121" s="114"/>
      <c r="F121" s="114"/>
      <c r="G121" s="114"/>
      <c r="H121" s="64" t="str">
        <f t="shared" si="28"/>
        <v/>
      </c>
      <c r="I121" s="115"/>
      <c r="J121" s="115"/>
      <c r="K121" s="116" t="str">
        <f t="shared" si="29"/>
        <v/>
      </c>
      <c r="L121" s="117">
        <f t="shared" si="30"/>
        <v>0</v>
      </c>
      <c r="M121" s="118" t="str">
        <f t="shared" si="31"/>
        <v>-</v>
      </c>
      <c r="N121" s="119" t="s">
        <v>934</v>
      </c>
    </row>
    <row r="122" spans="1:14" ht="31.5" customHeight="1" x14ac:dyDescent="0.5">
      <c r="A122" s="60"/>
      <c r="B122" s="120" t="s">
        <v>533</v>
      </c>
      <c r="C122" s="63" t="s">
        <v>534</v>
      </c>
      <c r="D122" s="67"/>
      <c r="E122" s="121"/>
      <c r="F122" s="121"/>
      <c r="G122" s="121"/>
      <c r="H122" s="64" t="str">
        <f t="shared" si="28"/>
        <v/>
      </c>
      <c r="I122" s="115"/>
      <c r="J122" s="115"/>
      <c r="K122" s="116" t="str">
        <f t="shared" si="29"/>
        <v/>
      </c>
      <c r="L122" s="117">
        <f t="shared" si="30"/>
        <v>0</v>
      </c>
      <c r="M122" s="118" t="str">
        <f t="shared" si="31"/>
        <v>-</v>
      </c>
      <c r="N122" s="122" t="s">
        <v>935</v>
      </c>
    </row>
    <row r="123" spans="1:14" ht="15.75" customHeight="1" x14ac:dyDescent="0.5">
      <c r="A123" s="12"/>
      <c r="B123" s="69" t="s">
        <v>936</v>
      </c>
      <c r="C123" s="70" t="s">
        <v>872</v>
      </c>
      <c r="D123" s="44">
        <f>SUM(D117,D118,D119,D120,D121,D122)</f>
        <v>0</v>
      </c>
      <c r="E123" s="44">
        <f>SUM(E117,E118,E119,E120,E121,E122)</f>
        <v>0</v>
      </c>
      <c r="F123" s="44">
        <f>SUM(F117,F118,F119,F120,F121,F122)</f>
        <v>0</v>
      </c>
      <c r="G123" s="44">
        <f>SUM(G117,G118,G119,G120,G121,G122)</f>
        <v>0</v>
      </c>
      <c r="H123" s="12"/>
      <c r="I123" s="12"/>
      <c r="J123" s="12"/>
      <c r="K123" s="12"/>
      <c r="L123" s="12"/>
      <c r="M123" s="12"/>
      <c r="N123" s="12"/>
    </row>
    <row r="124" spans="1:14" ht="15.75" customHeight="1" x14ac:dyDescent="0.5">
      <c r="A124" s="60"/>
      <c r="B124" s="61" t="s">
        <v>937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</row>
    <row r="125" spans="1:14" ht="31.5" customHeight="1" x14ac:dyDescent="0.5">
      <c r="A125" s="112"/>
      <c r="B125" s="113" t="s">
        <v>938</v>
      </c>
      <c r="C125" s="66" t="s">
        <v>540</v>
      </c>
      <c r="D125" s="67"/>
      <c r="E125" s="114"/>
      <c r="F125" s="114"/>
      <c r="G125" s="114"/>
      <c r="H125" s="64" t="str">
        <f>IF(AND(ISNUMBER(D125),ISNUMBER(E125)),E125-D125,"")</f>
        <v/>
      </c>
      <c r="I125" s="115"/>
      <c r="J125" s="115"/>
      <c r="K125" s="116" t="str">
        <f>IF(AND(ISNUMBER(D125),ISNUMBER(I125)),I125-D125,"")</f>
        <v/>
      </c>
      <c r="L125" s="117">
        <f>IFERROR(G125-F125,"-")</f>
        <v>0</v>
      </c>
      <c r="M125" s="118" t="str">
        <f>IFERROR((G125-F125)/F125,"-")</f>
        <v>-</v>
      </c>
      <c r="N125" s="119" t="s">
        <v>939</v>
      </c>
    </row>
    <row r="126" spans="1:14" ht="31.5" customHeight="1" x14ac:dyDescent="0.5">
      <c r="A126" s="60"/>
      <c r="B126" s="120" t="s">
        <v>940</v>
      </c>
      <c r="C126" s="63" t="s">
        <v>543</v>
      </c>
      <c r="D126" s="67"/>
      <c r="E126" s="121"/>
      <c r="F126" s="121"/>
      <c r="G126" s="121"/>
      <c r="H126" s="64" t="str">
        <f>IF(AND(ISNUMBER(D126),ISNUMBER(E126)),E126-D126,"")</f>
        <v/>
      </c>
      <c r="I126" s="115"/>
      <c r="J126" s="115"/>
      <c r="K126" s="116" t="str">
        <f>IF(AND(ISNUMBER(D126),ISNUMBER(I126)),I126-D126,"")</f>
        <v/>
      </c>
      <c r="L126" s="117">
        <f>IFERROR(G126-F126,"-")</f>
        <v>0</v>
      </c>
      <c r="M126" s="118" t="str">
        <f>IFERROR((G126-F126)/F126,"-")</f>
        <v>-</v>
      </c>
      <c r="N126" s="122" t="s">
        <v>941</v>
      </c>
    </row>
    <row r="127" spans="1:14" ht="31.5" customHeight="1" x14ac:dyDescent="0.5">
      <c r="A127" s="112"/>
      <c r="B127" s="113" t="s">
        <v>942</v>
      </c>
      <c r="C127" s="66" t="s">
        <v>546</v>
      </c>
      <c r="D127" s="67"/>
      <c r="E127" s="114"/>
      <c r="F127" s="114"/>
      <c r="G127" s="114"/>
      <c r="H127" s="64" t="str">
        <f>IF(AND(ISNUMBER(D127),ISNUMBER(E127)),E127-D127,"")</f>
        <v/>
      </c>
      <c r="I127" s="115"/>
      <c r="J127" s="115"/>
      <c r="K127" s="116" t="str">
        <f>IF(AND(ISNUMBER(D127),ISNUMBER(I127)),I127-D127,"")</f>
        <v/>
      </c>
      <c r="L127" s="117">
        <f>IFERROR(G127-F127,"-")</f>
        <v>0</v>
      </c>
      <c r="M127" s="118" t="str">
        <f>IFERROR((G127-F127)/F127,"-")</f>
        <v>-</v>
      </c>
      <c r="N127" s="119" t="s">
        <v>943</v>
      </c>
    </row>
    <row r="128" spans="1:14" ht="15.75" customHeight="1" x14ac:dyDescent="0.5">
      <c r="A128" s="12"/>
      <c r="B128" s="69" t="s">
        <v>944</v>
      </c>
      <c r="C128" s="70" t="s">
        <v>872</v>
      </c>
      <c r="D128" s="44">
        <f>SUM(D125,D126,D127)</f>
        <v>0</v>
      </c>
      <c r="E128" s="44">
        <f>SUM(E125,E126,E127)</f>
        <v>0</v>
      </c>
      <c r="F128" s="44">
        <f>SUM(F125,F126,F127)</f>
        <v>0</v>
      </c>
      <c r="G128" s="44">
        <f>SUM(G125,G126,G127)</f>
        <v>0</v>
      </c>
      <c r="H128" s="12"/>
      <c r="I128" s="12"/>
      <c r="J128" s="12"/>
      <c r="K128" s="12"/>
      <c r="L128" s="12"/>
      <c r="M128" s="12"/>
      <c r="N128" s="12"/>
    </row>
    <row r="129" spans="1:14" ht="15.75" customHeight="1" x14ac:dyDescent="0.5">
      <c r="A129" s="60"/>
      <c r="B129" s="61" t="s">
        <v>549</v>
      </c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</row>
    <row r="130" spans="1:14" ht="31.5" customHeight="1" x14ac:dyDescent="0.5">
      <c r="A130" s="60"/>
      <c r="B130" s="120" t="s">
        <v>945</v>
      </c>
      <c r="C130" s="63" t="s">
        <v>552</v>
      </c>
      <c r="D130" s="67"/>
      <c r="E130" s="121"/>
      <c r="F130" s="121"/>
      <c r="G130" s="121"/>
      <c r="H130" s="64" t="str">
        <f t="shared" ref="H130:H135" si="32">IF(AND(ISNUMBER(D130),ISNUMBER(E130)),E130-D130,"")</f>
        <v/>
      </c>
      <c r="I130" s="115"/>
      <c r="J130" s="115"/>
      <c r="K130" s="116" t="str">
        <f t="shared" ref="K130:K135" si="33">IF(AND(ISNUMBER(D130),ISNUMBER(I130)),I130-D130,"")</f>
        <v/>
      </c>
      <c r="L130" s="117">
        <f t="shared" ref="L130:L135" si="34">IFERROR(G130-F130,"-")</f>
        <v>0</v>
      </c>
      <c r="M130" s="118" t="str">
        <f t="shared" ref="M130:M135" si="35">IFERROR((G130-F130)/F130,"-")</f>
        <v>-</v>
      </c>
      <c r="N130" s="122" t="s">
        <v>946</v>
      </c>
    </row>
    <row r="131" spans="1:14" ht="31.5" customHeight="1" x14ac:dyDescent="0.5">
      <c r="A131" s="112"/>
      <c r="B131" s="113" t="s">
        <v>947</v>
      </c>
      <c r="C131" s="66" t="s">
        <v>555</v>
      </c>
      <c r="D131" s="67"/>
      <c r="E131" s="114"/>
      <c r="F131" s="114"/>
      <c r="G131" s="114"/>
      <c r="H131" s="64" t="str">
        <f t="shared" si="32"/>
        <v/>
      </c>
      <c r="I131" s="115"/>
      <c r="J131" s="115"/>
      <c r="K131" s="116" t="str">
        <f t="shared" si="33"/>
        <v/>
      </c>
      <c r="L131" s="117">
        <f t="shared" si="34"/>
        <v>0</v>
      </c>
      <c r="M131" s="118" t="str">
        <f t="shared" si="35"/>
        <v>-</v>
      </c>
      <c r="N131" s="119" t="s">
        <v>948</v>
      </c>
    </row>
    <row r="132" spans="1:14" ht="31.5" customHeight="1" x14ac:dyDescent="0.5">
      <c r="A132" s="60"/>
      <c r="B132" s="120" t="s">
        <v>560</v>
      </c>
      <c r="C132" s="63" t="s">
        <v>561</v>
      </c>
      <c r="D132" s="67"/>
      <c r="E132" s="121"/>
      <c r="F132" s="121"/>
      <c r="G132" s="121"/>
      <c r="H132" s="64" t="str">
        <f t="shared" si="32"/>
        <v/>
      </c>
      <c r="I132" s="115"/>
      <c r="J132" s="115"/>
      <c r="K132" s="116" t="str">
        <f t="shared" si="33"/>
        <v/>
      </c>
      <c r="L132" s="117">
        <f t="shared" si="34"/>
        <v>0</v>
      </c>
      <c r="M132" s="118" t="str">
        <f t="shared" si="35"/>
        <v>-</v>
      </c>
      <c r="N132" s="122" t="s">
        <v>949</v>
      </c>
    </row>
    <row r="133" spans="1:14" ht="31.5" customHeight="1" x14ac:dyDescent="0.5">
      <c r="A133" s="112"/>
      <c r="B133" s="113" t="s">
        <v>950</v>
      </c>
      <c r="C133" s="66" t="s">
        <v>564</v>
      </c>
      <c r="D133" s="67"/>
      <c r="E133" s="114"/>
      <c r="F133" s="114"/>
      <c r="G133" s="114"/>
      <c r="H133" s="64" t="str">
        <f t="shared" si="32"/>
        <v/>
      </c>
      <c r="I133" s="115"/>
      <c r="J133" s="115"/>
      <c r="K133" s="116" t="str">
        <f t="shared" si="33"/>
        <v/>
      </c>
      <c r="L133" s="117">
        <f t="shared" si="34"/>
        <v>0</v>
      </c>
      <c r="M133" s="118" t="str">
        <f t="shared" si="35"/>
        <v>-</v>
      </c>
      <c r="N133" s="119" t="s">
        <v>951</v>
      </c>
    </row>
    <row r="134" spans="1:14" ht="31.5" customHeight="1" x14ac:dyDescent="0.5">
      <c r="A134" s="60"/>
      <c r="B134" s="120" t="s">
        <v>952</v>
      </c>
      <c r="C134" s="63" t="s">
        <v>567</v>
      </c>
      <c r="D134" s="67"/>
      <c r="E134" s="121"/>
      <c r="F134" s="121"/>
      <c r="G134" s="121"/>
      <c r="H134" s="64" t="str">
        <f t="shared" si="32"/>
        <v/>
      </c>
      <c r="I134" s="115"/>
      <c r="J134" s="115"/>
      <c r="K134" s="116" t="str">
        <f t="shared" si="33"/>
        <v/>
      </c>
      <c r="L134" s="117">
        <f t="shared" si="34"/>
        <v>0</v>
      </c>
      <c r="M134" s="118" t="str">
        <f t="shared" si="35"/>
        <v>-</v>
      </c>
      <c r="N134" s="122" t="s">
        <v>953</v>
      </c>
    </row>
    <row r="135" spans="1:14" ht="31.5" customHeight="1" x14ac:dyDescent="0.5">
      <c r="A135" s="112"/>
      <c r="B135" s="113" t="s">
        <v>954</v>
      </c>
      <c r="C135" s="66" t="s">
        <v>570</v>
      </c>
      <c r="D135" s="67"/>
      <c r="E135" s="114"/>
      <c r="F135" s="114"/>
      <c r="G135" s="114"/>
      <c r="H135" s="64" t="str">
        <f t="shared" si="32"/>
        <v/>
      </c>
      <c r="I135" s="115"/>
      <c r="J135" s="115"/>
      <c r="K135" s="116" t="str">
        <f t="shared" si="33"/>
        <v/>
      </c>
      <c r="L135" s="117">
        <f t="shared" si="34"/>
        <v>0</v>
      </c>
      <c r="M135" s="118" t="str">
        <f t="shared" si="35"/>
        <v>-</v>
      </c>
      <c r="N135" s="119" t="s">
        <v>955</v>
      </c>
    </row>
    <row r="136" spans="1:14" ht="15.75" customHeight="1" x14ac:dyDescent="0.5">
      <c r="A136" s="12"/>
      <c r="B136" s="69" t="s">
        <v>956</v>
      </c>
      <c r="C136" s="70" t="s">
        <v>872</v>
      </c>
      <c r="D136" s="44">
        <f>SUM(D130,D131,D132,D133,D134,D135)</f>
        <v>0</v>
      </c>
      <c r="E136" s="44">
        <f>SUM(E130,E131,E132,E133,E134,E135)</f>
        <v>0</v>
      </c>
      <c r="F136" s="44">
        <f>SUM(F130,F131,F132,F133,F134,F135)</f>
        <v>0</v>
      </c>
      <c r="G136" s="44">
        <f>SUM(G130,G131,G132,G133,G134,G135)</f>
        <v>0</v>
      </c>
      <c r="H136" s="12"/>
      <c r="I136" s="12"/>
      <c r="J136" s="12"/>
      <c r="K136" s="12"/>
      <c r="L136" s="12"/>
      <c r="M136" s="12"/>
      <c r="N136" s="12"/>
    </row>
    <row r="137" spans="1:14" ht="15.75" customHeight="1" x14ac:dyDescent="0.5">
      <c r="A137" s="16"/>
      <c r="B137" s="17" t="s">
        <v>957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8" customHeight="1" x14ac:dyDescent="0.5">
      <c r="A138" s="73"/>
      <c r="B138" s="123" t="s">
        <v>958</v>
      </c>
      <c r="C138" s="73"/>
      <c r="D138" s="46">
        <f>SUMPRODUCT((D5:D137&gt;0)*(D5:D137))</f>
        <v>0</v>
      </c>
      <c r="E138" s="46">
        <f>SUMPRODUCT((E5:E137&gt;0)*(E5:E137))</f>
        <v>0</v>
      </c>
      <c r="F138" s="46">
        <f>SUMPRODUCT((F5:F137&gt;0)*(F5:F137))</f>
        <v>0</v>
      </c>
      <c r="G138" s="46">
        <f>SUMPRODUCT((G5:G137&gt;0)*(G5:G137))</f>
        <v>0</v>
      </c>
      <c r="H138" s="73"/>
      <c r="I138" s="73"/>
      <c r="J138" s="73"/>
      <c r="K138" s="73"/>
      <c r="L138" s="73"/>
      <c r="M138" s="73"/>
      <c r="N138" s="73"/>
    </row>
    <row r="139" spans="1:14" ht="15.75" customHeight="1" x14ac:dyDescent="0.5"/>
    <row r="140" spans="1:14" ht="15.75" customHeight="1" x14ac:dyDescent="0.5">
      <c r="A140" s="16"/>
      <c r="B140" s="17" t="s">
        <v>959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5.75" customHeight="1" x14ac:dyDescent="0.5">
      <c r="A141" s="112"/>
      <c r="B141" s="113" t="s">
        <v>960</v>
      </c>
      <c r="C141" s="66" t="s">
        <v>961</v>
      </c>
      <c r="D141" s="67"/>
      <c r="E141" s="114"/>
      <c r="F141" s="114"/>
      <c r="G141" s="114"/>
      <c r="H141" s="64" t="str">
        <f t="shared" ref="H141:H159" si="36">IF(AND(ISNUMBER(D141),ISNUMBER(E141)),E141-D141,"")</f>
        <v/>
      </c>
      <c r="I141" s="115"/>
      <c r="J141" s="115"/>
      <c r="K141" s="116" t="str">
        <f t="shared" ref="K141:K159" si="37">IF(AND(ISNUMBER(D141),ISNUMBER(I141)),I141-D141,"")</f>
        <v/>
      </c>
      <c r="L141" s="117">
        <f t="shared" ref="L141:L159" si="38">IFERROR(G141-F141,"-")</f>
        <v>0</v>
      </c>
      <c r="M141" s="118" t="str">
        <f t="shared" ref="M141:M159" si="39">IFERROR((G141-F141)/F141,"-")</f>
        <v>-</v>
      </c>
    </row>
    <row r="142" spans="1:14" ht="15.75" customHeight="1" x14ac:dyDescent="0.5">
      <c r="A142" s="60"/>
      <c r="B142" s="120" t="s">
        <v>962</v>
      </c>
      <c r="C142" s="63" t="s">
        <v>963</v>
      </c>
      <c r="D142" s="67"/>
      <c r="E142" s="121"/>
      <c r="F142" s="121"/>
      <c r="G142" s="121"/>
      <c r="H142" s="64" t="str">
        <f t="shared" si="36"/>
        <v/>
      </c>
      <c r="I142" s="115"/>
      <c r="J142" s="115"/>
      <c r="K142" s="116" t="str">
        <f t="shared" si="37"/>
        <v/>
      </c>
      <c r="L142" s="117">
        <f t="shared" si="38"/>
        <v>0</v>
      </c>
      <c r="M142" s="118" t="str">
        <f t="shared" si="39"/>
        <v>-</v>
      </c>
    </row>
    <row r="143" spans="1:14" ht="15.75" customHeight="1" x14ac:dyDescent="0.5">
      <c r="A143" s="112"/>
      <c r="B143" s="113" t="s">
        <v>646</v>
      </c>
      <c r="C143" s="66" t="s">
        <v>964</v>
      </c>
      <c r="D143" s="67"/>
      <c r="E143" s="114"/>
      <c r="F143" s="114"/>
      <c r="G143" s="114"/>
      <c r="H143" s="64" t="str">
        <f t="shared" si="36"/>
        <v/>
      </c>
      <c r="I143" s="115"/>
      <c r="J143" s="115"/>
      <c r="K143" s="116" t="str">
        <f t="shared" si="37"/>
        <v/>
      </c>
      <c r="L143" s="117">
        <f t="shared" si="38"/>
        <v>0</v>
      </c>
      <c r="M143" s="118" t="str">
        <f t="shared" si="39"/>
        <v>-</v>
      </c>
    </row>
    <row r="144" spans="1:14" ht="15.75" customHeight="1" x14ac:dyDescent="0.5">
      <c r="A144" s="60"/>
      <c r="B144" s="120" t="s">
        <v>648</v>
      </c>
      <c r="C144" s="63" t="s">
        <v>965</v>
      </c>
      <c r="D144" s="67"/>
      <c r="E144" s="121"/>
      <c r="F144" s="121"/>
      <c r="G144" s="121"/>
      <c r="H144" s="64" t="str">
        <f t="shared" si="36"/>
        <v/>
      </c>
      <c r="I144" s="115"/>
      <c r="J144" s="115"/>
      <c r="K144" s="116" t="str">
        <f t="shared" si="37"/>
        <v/>
      </c>
      <c r="L144" s="117">
        <f t="shared" si="38"/>
        <v>0</v>
      </c>
      <c r="M144" s="118" t="str">
        <f t="shared" si="39"/>
        <v>-</v>
      </c>
    </row>
    <row r="145" spans="1:14" ht="15.75" customHeight="1" x14ac:dyDescent="0.5">
      <c r="A145" s="112"/>
      <c r="B145" s="113" t="s">
        <v>650</v>
      </c>
      <c r="C145" s="66" t="s">
        <v>966</v>
      </c>
      <c r="D145" s="67"/>
      <c r="E145" s="114"/>
      <c r="F145" s="114"/>
      <c r="G145" s="114"/>
      <c r="H145" s="64" t="str">
        <f t="shared" si="36"/>
        <v/>
      </c>
      <c r="I145" s="115"/>
      <c r="J145" s="115"/>
      <c r="K145" s="116" t="str">
        <f t="shared" si="37"/>
        <v/>
      </c>
      <c r="L145" s="117">
        <f t="shared" si="38"/>
        <v>0</v>
      </c>
      <c r="M145" s="118" t="str">
        <f t="shared" si="39"/>
        <v>-</v>
      </c>
    </row>
    <row r="146" spans="1:14" ht="15.75" customHeight="1" x14ac:dyDescent="0.5">
      <c r="A146" s="60"/>
      <c r="B146" s="120" t="s">
        <v>652</v>
      </c>
      <c r="C146" s="63" t="s">
        <v>967</v>
      </c>
      <c r="D146" s="67"/>
      <c r="E146" s="121"/>
      <c r="F146" s="121"/>
      <c r="G146" s="121"/>
      <c r="H146" s="64" t="str">
        <f t="shared" si="36"/>
        <v/>
      </c>
      <c r="I146" s="115"/>
      <c r="J146" s="115"/>
      <c r="K146" s="116" t="str">
        <f t="shared" si="37"/>
        <v/>
      </c>
      <c r="L146" s="117">
        <f t="shared" si="38"/>
        <v>0</v>
      </c>
      <c r="M146" s="118" t="str">
        <f t="shared" si="39"/>
        <v>-</v>
      </c>
    </row>
    <row r="147" spans="1:14" ht="15.75" customHeight="1" x14ac:dyDescent="0.5">
      <c r="A147" s="112"/>
      <c r="B147" s="113" t="s">
        <v>968</v>
      </c>
      <c r="C147" s="66" t="s">
        <v>969</v>
      </c>
      <c r="D147" s="67"/>
      <c r="E147" s="114"/>
      <c r="F147" s="114"/>
      <c r="G147" s="114"/>
      <c r="H147" s="64" t="str">
        <f t="shared" si="36"/>
        <v/>
      </c>
      <c r="I147" s="115"/>
      <c r="J147" s="115"/>
      <c r="K147" s="116" t="str">
        <f t="shared" si="37"/>
        <v/>
      </c>
      <c r="L147" s="117">
        <f t="shared" si="38"/>
        <v>0</v>
      </c>
      <c r="M147" s="118" t="str">
        <f t="shared" si="39"/>
        <v>-</v>
      </c>
    </row>
    <row r="148" spans="1:14" ht="15.75" customHeight="1" x14ac:dyDescent="0.5">
      <c r="A148" s="60"/>
      <c r="B148" s="120" t="s">
        <v>656</v>
      </c>
      <c r="C148" s="63" t="s">
        <v>970</v>
      </c>
      <c r="D148" s="67"/>
      <c r="E148" s="121"/>
      <c r="F148" s="121"/>
      <c r="G148" s="121"/>
      <c r="H148" s="64" t="str">
        <f t="shared" si="36"/>
        <v/>
      </c>
      <c r="I148" s="115"/>
      <c r="J148" s="115"/>
      <c r="K148" s="116" t="str">
        <f t="shared" si="37"/>
        <v/>
      </c>
      <c r="L148" s="117">
        <f t="shared" si="38"/>
        <v>0</v>
      </c>
      <c r="M148" s="118" t="str">
        <f t="shared" si="39"/>
        <v>-</v>
      </c>
    </row>
    <row r="149" spans="1:14" ht="15.75" customHeight="1" x14ac:dyDescent="0.5">
      <c r="A149" s="112"/>
      <c r="B149" s="113" t="s">
        <v>658</v>
      </c>
      <c r="C149" s="66" t="s">
        <v>971</v>
      </c>
      <c r="D149" s="67"/>
      <c r="E149" s="114"/>
      <c r="F149" s="114"/>
      <c r="G149" s="114"/>
      <c r="H149" s="64" t="str">
        <f t="shared" si="36"/>
        <v/>
      </c>
      <c r="I149" s="115"/>
      <c r="J149" s="115"/>
      <c r="K149" s="116" t="str">
        <f t="shared" si="37"/>
        <v/>
      </c>
      <c r="L149" s="117">
        <f t="shared" si="38"/>
        <v>0</v>
      </c>
      <c r="M149" s="118" t="str">
        <f t="shared" si="39"/>
        <v>-</v>
      </c>
    </row>
    <row r="150" spans="1:14" ht="15.75" customHeight="1" x14ac:dyDescent="0.5">
      <c r="A150" s="60"/>
      <c r="B150" s="120" t="s">
        <v>662</v>
      </c>
      <c r="C150" s="63" t="s">
        <v>972</v>
      </c>
      <c r="D150" s="67"/>
      <c r="E150" s="121"/>
      <c r="F150" s="121"/>
      <c r="G150" s="121"/>
      <c r="H150" s="64" t="str">
        <f t="shared" si="36"/>
        <v/>
      </c>
      <c r="I150" s="115"/>
      <c r="J150" s="115"/>
      <c r="K150" s="116" t="str">
        <f t="shared" si="37"/>
        <v/>
      </c>
      <c r="L150" s="117">
        <f t="shared" si="38"/>
        <v>0</v>
      </c>
      <c r="M150" s="118" t="str">
        <f t="shared" si="39"/>
        <v>-</v>
      </c>
    </row>
    <row r="151" spans="1:14" ht="15.75" customHeight="1" x14ac:dyDescent="0.5">
      <c r="A151" s="112"/>
      <c r="B151" s="113" t="s">
        <v>973</v>
      </c>
      <c r="C151" s="66" t="s">
        <v>974</v>
      </c>
      <c r="D151" s="67"/>
      <c r="E151" s="114"/>
      <c r="F151" s="114"/>
      <c r="G151" s="114"/>
      <c r="H151" s="64" t="str">
        <f t="shared" si="36"/>
        <v/>
      </c>
      <c r="I151" s="115"/>
      <c r="J151" s="115"/>
      <c r="K151" s="116" t="str">
        <f t="shared" si="37"/>
        <v/>
      </c>
      <c r="L151" s="117">
        <f t="shared" si="38"/>
        <v>0</v>
      </c>
      <c r="M151" s="118" t="str">
        <f t="shared" si="39"/>
        <v>-</v>
      </c>
    </row>
    <row r="152" spans="1:14" ht="15.75" customHeight="1" x14ac:dyDescent="0.5">
      <c r="A152" s="60"/>
      <c r="B152" s="120" t="s">
        <v>666</v>
      </c>
      <c r="C152" s="63" t="s">
        <v>975</v>
      </c>
      <c r="D152" s="67"/>
      <c r="E152" s="121"/>
      <c r="F152" s="121"/>
      <c r="G152" s="121"/>
      <c r="H152" s="64" t="str">
        <f t="shared" si="36"/>
        <v/>
      </c>
      <c r="I152" s="115"/>
      <c r="J152" s="115"/>
      <c r="K152" s="116" t="str">
        <f t="shared" si="37"/>
        <v/>
      </c>
      <c r="L152" s="117">
        <f t="shared" si="38"/>
        <v>0</v>
      </c>
      <c r="M152" s="118" t="str">
        <f t="shared" si="39"/>
        <v>-</v>
      </c>
    </row>
    <row r="153" spans="1:14" ht="15.75" customHeight="1" x14ac:dyDescent="0.5">
      <c r="A153" s="112"/>
      <c r="B153" s="113" t="s">
        <v>976</v>
      </c>
      <c r="C153" s="66" t="s">
        <v>977</v>
      </c>
      <c r="D153" s="67"/>
      <c r="E153" s="114"/>
      <c r="F153" s="114"/>
      <c r="G153" s="114"/>
      <c r="H153" s="64" t="str">
        <f t="shared" si="36"/>
        <v/>
      </c>
      <c r="I153" s="115"/>
      <c r="J153" s="115"/>
      <c r="K153" s="116" t="str">
        <f t="shared" si="37"/>
        <v/>
      </c>
      <c r="L153" s="117">
        <f t="shared" si="38"/>
        <v>0</v>
      </c>
      <c r="M153" s="118" t="str">
        <f t="shared" si="39"/>
        <v>-</v>
      </c>
    </row>
    <row r="154" spans="1:14" ht="15.75" customHeight="1" x14ac:dyDescent="0.5">
      <c r="A154" s="60"/>
      <c r="B154" s="120" t="s">
        <v>672</v>
      </c>
      <c r="C154" s="63" t="s">
        <v>978</v>
      </c>
      <c r="D154" s="67"/>
      <c r="E154" s="121"/>
      <c r="F154" s="121"/>
      <c r="G154" s="121"/>
      <c r="H154" s="64" t="str">
        <f t="shared" si="36"/>
        <v/>
      </c>
      <c r="I154" s="115"/>
      <c r="J154" s="115"/>
      <c r="K154" s="116" t="str">
        <f t="shared" si="37"/>
        <v/>
      </c>
      <c r="L154" s="117">
        <f t="shared" si="38"/>
        <v>0</v>
      </c>
      <c r="M154" s="118" t="str">
        <f t="shared" si="39"/>
        <v>-</v>
      </c>
    </row>
    <row r="155" spans="1:14" ht="15.75" customHeight="1" x14ac:dyDescent="0.5">
      <c r="A155" s="112"/>
      <c r="B155" s="113" t="s">
        <v>979</v>
      </c>
      <c r="C155" s="66" t="s">
        <v>980</v>
      </c>
      <c r="D155" s="67"/>
      <c r="E155" s="114"/>
      <c r="F155" s="114"/>
      <c r="G155" s="114"/>
      <c r="H155" s="64" t="str">
        <f t="shared" si="36"/>
        <v/>
      </c>
      <c r="I155" s="115"/>
      <c r="J155" s="115"/>
      <c r="K155" s="116" t="str">
        <f t="shared" si="37"/>
        <v/>
      </c>
      <c r="L155" s="117">
        <f t="shared" si="38"/>
        <v>0</v>
      </c>
      <c r="M155" s="118" t="str">
        <f t="shared" si="39"/>
        <v>-</v>
      </c>
    </row>
    <row r="156" spans="1:14" ht="15.75" customHeight="1" x14ac:dyDescent="0.5">
      <c r="A156" s="60"/>
      <c r="B156" s="120" t="s">
        <v>676</v>
      </c>
      <c r="C156" s="63" t="s">
        <v>981</v>
      </c>
      <c r="D156" s="67"/>
      <c r="E156" s="121"/>
      <c r="F156" s="121"/>
      <c r="G156" s="121"/>
      <c r="H156" s="64" t="str">
        <f t="shared" si="36"/>
        <v/>
      </c>
      <c r="I156" s="115"/>
      <c r="J156" s="115"/>
      <c r="K156" s="116" t="str">
        <f t="shared" si="37"/>
        <v/>
      </c>
      <c r="L156" s="117">
        <f t="shared" si="38"/>
        <v>0</v>
      </c>
      <c r="M156" s="118" t="str">
        <f t="shared" si="39"/>
        <v>-</v>
      </c>
    </row>
    <row r="157" spans="1:14" ht="15.75" customHeight="1" x14ac:dyDescent="0.5">
      <c r="A157" s="112"/>
      <c r="B157" s="113" t="s">
        <v>982</v>
      </c>
      <c r="C157" s="66" t="s">
        <v>983</v>
      </c>
      <c r="D157" s="67"/>
      <c r="E157" s="114"/>
      <c r="F157" s="114"/>
      <c r="G157" s="114"/>
      <c r="H157" s="64" t="str">
        <f t="shared" si="36"/>
        <v/>
      </c>
      <c r="I157" s="115"/>
      <c r="J157" s="115"/>
      <c r="K157" s="116" t="str">
        <f t="shared" si="37"/>
        <v/>
      </c>
      <c r="L157" s="117">
        <f t="shared" si="38"/>
        <v>0</v>
      </c>
      <c r="M157" s="118" t="str">
        <f t="shared" si="39"/>
        <v>-</v>
      </c>
    </row>
    <row r="158" spans="1:14" ht="15.75" customHeight="1" x14ac:dyDescent="0.5">
      <c r="A158" s="60"/>
      <c r="B158" s="120" t="s">
        <v>984</v>
      </c>
      <c r="C158" s="63" t="s">
        <v>985</v>
      </c>
      <c r="D158" s="67"/>
      <c r="E158" s="121"/>
      <c r="F158" s="121"/>
      <c r="G158" s="121"/>
      <c r="H158" s="64" t="str">
        <f t="shared" si="36"/>
        <v/>
      </c>
      <c r="I158" s="115"/>
      <c r="J158" s="115"/>
      <c r="K158" s="116" t="str">
        <f t="shared" si="37"/>
        <v/>
      </c>
      <c r="L158" s="117">
        <f t="shared" si="38"/>
        <v>0</v>
      </c>
      <c r="M158" s="118" t="str">
        <f t="shared" si="39"/>
        <v>-</v>
      </c>
    </row>
    <row r="159" spans="1:14" ht="15.75" customHeight="1" x14ac:dyDescent="0.5">
      <c r="A159" s="112"/>
      <c r="B159" s="113" t="s">
        <v>986</v>
      </c>
      <c r="C159" s="66" t="s">
        <v>987</v>
      </c>
      <c r="D159" s="67"/>
      <c r="E159" s="114"/>
      <c r="F159" s="114"/>
      <c r="G159" s="114"/>
      <c r="H159" s="64" t="str">
        <f t="shared" si="36"/>
        <v/>
      </c>
      <c r="I159" s="115"/>
      <c r="J159" s="115"/>
      <c r="K159" s="116" t="str">
        <f t="shared" si="37"/>
        <v/>
      </c>
      <c r="L159" s="117">
        <f t="shared" si="38"/>
        <v>0</v>
      </c>
      <c r="M159" s="118" t="str">
        <f t="shared" si="39"/>
        <v>-</v>
      </c>
    </row>
    <row r="160" spans="1:14" ht="15.75" customHeight="1" x14ac:dyDescent="0.5">
      <c r="A160" s="12"/>
      <c r="B160" s="69" t="s">
        <v>215</v>
      </c>
      <c r="C160" s="70" t="s">
        <v>988</v>
      </c>
      <c r="D160" s="44">
        <f>SUM(D141,D142,D143,D144,D145,D146,D147,D148,D149,D150,D151,D152,D153,D154,D155,D156,D157,D158,D159)</f>
        <v>0</v>
      </c>
      <c r="E160" s="44">
        <f>SUM(E141,E142,E143,E144,E145,E146,E147,E148,E149,E150,E151,E152,E153,E154,E155,E156,E157,E158,E159)</f>
        <v>0</v>
      </c>
      <c r="F160" s="44">
        <f>SUM(F141,F142,F143,F144,F145,F146,F147,F148,F149,F150,F151,F152,F153,F154,F155,F156,F157,F158,F159)</f>
        <v>0</v>
      </c>
      <c r="G160" s="44">
        <f>SUM(G141,G142,G143,G144,G145,G146,G147,G148,G149,G150,G151,G152,G153,G154,G155,G156,G157,G158,G159)</f>
        <v>0</v>
      </c>
      <c r="H160" s="12"/>
      <c r="I160" s="12"/>
      <c r="J160" s="12"/>
      <c r="K160" s="12"/>
      <c r="L160" s="12"/>
      <c r="M160" s="12"/>
      <c r="N160" s="12"/>
    </row>
    <row r="161" spans="1:14" ht="15.75" customHeight="1" x14ac:dyDescent="0.5"/>
    <row r="162" spans="1:14" ht="15.75" customHeight="1" x14ac:dyDescent="0.5">
      <c r="A162" s="16"/>
      <c r="B162" s="17" t="s">
        <v>706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5.75" customHeight="1" x14ac:dyDescent="0.5">
      <c r="A163" s="112"/>
      <c r="B163" s="113" t="s">
        <v>707</v>
      </c>
      <c r="C163" s="66" t="s">
        <v>989</v>
      </c>
      <c r="D163" s="67"/>
      <c r="E163" s="114"/>
      <c r="F163" s="114"/>
      <c r="G163" s="114"/>
      <c r="H163" s="64" t="str">
        <f t="shared" ref="H163:H170" si="40">IF(AND(ISNUMBER(D163),ISNUMBER(E163)),E163-D163,"")</f>
        <v/>
      </c>
      <c r="I163" s="115"/>
      <c r="J163" s="115"/>
      <c r="K163" s="116" t="str">
        <f t="shared" ref="K163:K170" si="41">IF(AND(ISNUMBER(D163),ISNUMBER(I163)),I163-D163,"")</f>
        <v/>
      </c>
      <c r="L163" s="117">
        <f t="shared" ref="L163:L170" si="42">IFERROR(G163-F163,"-")</f>
        <v>0</v>
      </c>
      <c r="M163" s="118" t="str">
        <f t="shared" ref="M163:M170" si="43">IFERROR((G163-F163)/F163,"-")</f>
        <v>-</v>
      </c>
    </row>
    <row r="164" spans="1:14" ht="15.75" customHeight="1" x14ac:dyDescent="0.5">
      <c r="A164" s="60"/>
      <c r="B164" s="120" t="s">
        <v>990</v>
      </c>
      <c r="C164" s="63" t="s">
        <v>991</v>
      </c>
      <c r="D164" s="67"/>
      <c r="E164" s="121"/>
      <c r="F164" s="121"/>
      <c r="G164" s="121"/>
      <c r="H164" s="64" t="str">
        <f t="shared" si="40"/>
        <v/>
      </c>
      <c r="I164" s="115"/>
      <c r="J164" s="115"/>
      <c r="K164" s="116" t="str">
        <f t="shared" si="41"/>
        <v/>
      </c>
      <c r="L164" s="117">
        <f t="shared" si="42"/>
        <v>0</v>
      </c>
      <c r="M164" s="118" t="str">
        <f t="shared" si="43"/>
        <v>-</v>
      </c>
    </row>
    <row r="165" spans="1:14" ht="15.75" customHeight="1" x14ac:dyDescent="0.5">
      <c r="A165" s="112"/>
      <c r="B165" s="113" t="s">
        <v>992</v>
      </c>
      <c r="C165" s="66" t="s">
        <v>993</v>
      </c>
      <c r="D165" s="67"/>
      <c r="E165" s="114"/>
      <c r="F165" s="114"/>
      <c r="G165" s="114"/>
      <c r="H165" s="64" t="str">
        <f t="shared" si="40"/>
        <v/>
      </c>
      <c r="I165" s="115"/>
      <c r="J165" s="115"/>
      <c r="K165" s="116" t="str">
        <f t="shared" si="41"/>
        <v/>
      </c>
      <c r="L165" s="117">
        <f t="shared" si="42"/>
        <v>0</v>
      </c>
      <c r="M165" s="118" t="str">
        <f t="shared" si="43"/>
        <v>-</v>
      </c>
    </row>
    <row r="166" spans="1:14" ht="15.75" customHeight="1" x14ac:dyDescent="0.5">
      <c r="A166" s="60"/>
      <c r="B166" s="120" t="s">
        <v>994</v>
      </c>
      <c r="C166" s="63" t="s">
        <v>995</v>
      </c>
      <c r="D166" s="67"/>
      <c r="E166" s="121"/>
      <c r="F166" s="121"/>
      <c r="G166" s="121"/>
      <c r="H166" s="64" t="str">
        <f t="shared" si="40"/>
        <v/>
      </c>
      <c r="I166" s="115"/>
      <c r="J166" s="115"/>
      <c r="K166" s="116" t="str">
        <f t="shared" si="41"/>
        <v/>
      </c>
      <c r="L166" s="117">
        <f t="shared" si="42"/>
        <v>0</v>
      </c>
      <c r="M166" s="118" t="str">
        <f t="shared" si="43"/>
        <v>-</v>
      </c>
    </row>
    <row r="167" spans="1:14" ht="15.75" customHeight="1" x14ac:dyDescent="0.5">
      <c r="A167" s="112"/>
      <c r="B167" s="113" t="s">
        <v>996</v>
      </c>
      <c r="C167" s="66" t="s">
        <v>997</v>
      </c>
      <c r="D167" s="67"/>
      <c r="E167" s="114"/>
      <c r="F167" s="114"/>
      <c r="G167" s="114"/>
      <c r="H167" s="64" t="str">
        <f t="shared" si="40"/>
        <v/>
      </c>
      <c r="I167" s="115"/>
      <c r="J167" s="115"/>
      <c r="K167" s="116" t="str">
        <f t="shared" si="41"/>
        <v/>
      </c>
      <c r="L167" s="117">
        <f t="shared" si="42"/>
        <v>0</v>
      </c>
      <c r="M167" s="118" t="str">
        <f t="shared" si="43"/>
        <v>-</v>
      </c>
    </row>
    <row r="168" spans="1:14" ht="15.75" customHeight="1" x14ac:dyDescent="0.5">
      <c r="A168" s="60"/>
      <c r="B168" s="120" t="s">
        <v>998</v>
      </c>
      <c r="C168" s="63" t="s">
        <v>999</v>
      </c>
      <c r="D168" s="67"/>
      <c r="E168" s="121"/>
      <c r="F168" s="121"/>
      <c r="G168" s="121"/>
      <c r="H168" s="64" t="str">
        <f t="shared" si="40"/>
        <v/>
      </c>
      <c r="I168" s="115"/>
      <c r="J168" s="115"/>
      <c r="K168" s="116" t="str">
        <f t="shared" si="41"/>
        <v/>
      </c>
      <c r="L168" s="117">
        <f t="shared" si="42"/>
        <v>0</v>
      </c>
      <c r="M168" s="118" t="str">
        <f t="shared" si="43"/>
        <v>-</v>
      </c>
    </row>
    <row r="169" spans="1:14" ht="15.75" customHeight="1" x14ac:dyDescent="0.5">
      <c r="A169" s="112"/>
      <c r="B169" s="113" t="s">
        <v>1000</v>
      </c>
      <c r="C169" s="66" t="s">
        <v>1001</v>
      </c>
      <c r="D169" s="67"/>
      <c r="E169" s="114"/>
      <c r="F169" s="114"/>
      <c r="G169" s="114"/>
      <c r="H169" s="64" t="str">
        <f t="shared" si="40"/>
        <v/>
      </c>
      <c r="I169" s="115"/>
      <c r="J169" s="115"/>
      <c r="K169" s="116" t="str">
        <f t="shared" si="41"/>
        <v/>
      </c>
      <c r="L169" s="117">
        <f t="shared" si="42"/>
        <v>0</v>
      </c>
      <c r="M169" s="118" t="str">
        <f t="shared" si="43"/>
        <v>-</v>
      </c>
    </row>
    <row r="170" spans="1:14" ht="15.75" customHeight="1" x14ac:dyDescent="0.5">
      <c r="A170" s="60"/>
      <c r="B170" s="120" t="s">
        <v>1002</v>
      </c>
      <c r="C170" s="63" t="s">
        <v>1003</v>
      </c>
      <c r="D170" s="67"/>
      <c r="E170" s="121"/>
      <c r="F170" s="121"/>
      <c r="G170" s="121"/>
      <c r="H170" s="64" t="str">
        <f t="shared" si="40"/>
        <v/>
      </c>
      <c r="I170" s="115"/>
      <c r="J170" s="115"/>
      <c r="K170" s="116" t="str">
        <f t="shared" si="41"/>
        <v/>
      </c>
      <c r="L170" s="117">
        <f t="shared" si="42"/>
        <v>0</v>
      </c>
      <c r="M170" s="118" t="str">
        <f t="shared" si="43"/>
        <v>-</v>
      </c>
    </row>
    <row r="171" spans="1:14" ht="15.75" customHeight="1" x14ac:dyDescent="0.5">
      <c r="A171" s="12"/>
      <c r="B171" s="69" t="s">
        <v>1004</v>
      </c>
      <c r="C171" s="70" t="s">
        <v>1005</v>
      </c>
      <c r="D171" s="44">
        <f>SUM(D163,D164,D165,D166,D167,D168,D169,D170)</f>
        <v>0</v>
      </c>
      <c r="E171" s="44">
        <f>SUM(E163,E164,E165,E166,E167,E168,E169,E170)</f>
        <v>0</v>
      </c>
      <c r="F171" s="44">
        <f>SUM(F163,F164,F165,F166,F167,F168,F169,F170)</f>
        <v>0</v>
      </c>
      <c r="G171" s="44">
        <f>SUM(G163,G164,G165,G166,G167,G168,G169,G170)</f>
        <v>0</v>
      </c>
      <c r="H171" s="12"/>
      <c r="I171" s="12"/>
      <c r="J171" s="12"/>
      <c r="K171" s="12"/>
      <c r="L171" s="12"/>
      <c r="M171" s="12"/>
      <c r="N171" s="12"/>
    </row>
    <row r="172" spans="1:14" ht="15.75" customHeight="1" x14ac:dyDescent="0.5"/>
    <row r="173" spans="1:14" ht="19.5" customHeight="1" x14ac:dyDescent="0.5">
      <c r="A173" s="9"/>
      <c r="B173" s="124" t="s">
        <v>146</v>
      </c>
      <c r="C173" s="9"/>
      <c r="D173" s="125">
        <f>D138+D160+D171</f>
        <v>0</v>
      </c>
      <c r="E173" s="125">
        <f>E138+E160+E171</f>
        <v>0</v>
      </c>
      <c r="F173" s="125">
        <f>F138+F160+F171</f>
        <v>0</v>
      </c>
      <c r="G173" s="125">
        <f>G138+G160+G171</f>
        <v>0</v>
      </c>
      <c r="H173" s="9"/>
      <c r="I173" s="9"/>
      <c r="J173" s="9"/>
      <c r="K173" s="9"/>
      <c r="L173" s="9"/>
      <c r="M173" s="9"/>
      <c r="N173" s="9"/>
    </row>
    <row r="174" spans="1:14" ht="15.75" customHeight="1" x14ac:dyDescent="0.5"/>
    <row r="175" spans="1:14" ht="15.75" customHeight="1" x14ac:dyDescent="0.5">
      <c r="A175" s="16"/>
      <c r="B175" s="17" t="s">
        <v>716</v>
      </c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5.75" customHeight="1" x14ac:dyDescent="0.5">
      <c r="A176" s="60"/>
      <c r="B176" s="54" t="s">
        <v>717</v>
      </c>
      <c r="D176" s="55">
        <f>D138+D160+D171</f>
        <v>0</v>
      </c>
      <c r="E176" s="55">
        <f>E138+E160+E171</f>
        <v>0</v>
      </c>
    </row>
    <row r="177" spans="1:14" ht="15.75" customHeight="1" x14ac:dyDescent="0.5">
      <c r="A177" s="60"/>
      <c r="B177" s="54" t="s">
        <v>1006</v>
      </c>
      <c r="D177" s="55">
        <f>D138</f>
        <v>0</v>
      </c>
      <c r="E177" s="55">
        <f>E138</f>
        <v>0</v>
      </c>
    </row>
    <row r="178" spans="1:14" ht="15.75" customHeight="1" x14ac:dyDescent="0.5">
      <c r="A178" s="60"/>
      <c r="B178" s="54" t="s">
        <v>145</v>
      </c>
      <c r="D178" s="55">
        <f>D160</f>
        <v>0</v>
      </c>
      <c r="E178" s="55">
        <f>E160</f>
        <v>0</v>
      </c>
    </row>
    <row r="179" spans="1:14" ht="15.75" customHeight="1" x14ac:dyDescent="0.5">
      <c r="A179" s="60"/>
      <c r="B179" s="54" t="s">
        <v>1007</v>
      </c>
      <c r="D179" s="126" t="str">
        <f>IF(D138=0,"-",D160/D138)</f>
        <v>-</v>
      </c>
      <c r="E179" s="126" t="str">
        <f>IF(E138=0,"-",E160/E138)</f>
        <v>-</v>
      </c>
    </row>
    <row r="181" spans="1:14" ht="19.5" customHeight="1" x14ac:dyDescent="0.5">
      <c r="A181" s="48"/>
      <c r="B181" s="49" t="s">
        <v>1008</v>
      </c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</row>
    <row r="182" spans="1:14" ht="31.5" customHeight="1" x14ac:dyDescent="0.5">
      <c r="A182" s="80"/>
      <c r="B182" s="4" t="s">
        <v>1009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80"/>
    </row>
    <row r="183" spans="1:14" ht="15.75" customHeight="1" x14ac:dyDescent="0.5">
      <c r="A183" s="80"/>
      <c r="B183" s="38" t="s">
        <v>580</v>
      </c>
      <c r="C183" s="66" t="s">
        <v>581</v>
      </c>
      <c r="D183" s="81">
        <v>18000</v>
      </c>
      <c r="E183" s="114"/>
      <c r="F183" s="114"/>
      <c r="G183" s="114"/>
      <c r="H183" s="64" t="str">
        <f t="shared" ref="H183:H192" si="44">IF(AND(ISNUMBER(D183),ISNUMBER(E183)),E183-D183,"")</f>
        <v/>
      </c>
      <c r="I183" s="115"/>
      <c r="J183" s="115"/>
      <c r="K183" s="64" t="str">
        <f t="shared" ref="K183:K192" si="45">IF(AND(ISNUMBER(D183),ISNUMBER(I183)),I183-D183,"")</f>
        <v/>
      </c>
      <c r="L183" s="127">
        <f t="shared" ref="L183:L192" si="46">IFERROR(G183-F183,"-")</f>
        <v>0</v>
      </c>
      <c r="M183" s="128" t="str">
        <f t="shared" ref="M183:M192" si="47">IFERROR((G183-F183)/F183,"-")</f>
        <v>-</v>
      </c>
      <c r="N183" s="119" t="s">
        <v>582</v>
      </c>
    </row>
    <row r="184" spans="1:14" ht="15.75" customHeight="1" x14ac:dyDescent="0.5">
      <c r="A184" s="80"/>
      <c r="B184" s="41" t="s">
        <v>583</v>
      </c>
      <c r="C184" s="63" t="s">
        <v>584</v>
      </c>
      <c r="D184" s="81">
        <v>32000</v>
      </c>
      <c r="E184" s="121"/>
      <c r="F184" s="121"/>
      <c r="G184" s="121"/>
      <c r="H184" s="64" t="str">
        <f t="shared" si="44"/>
        <v/>
      </c>
      <c r="I184" s="115"/>
      <c r="J184" s="115"/>
      <c r="K184" s="64" t="str">
        <f t="shared" si="45"/>
        <v/>
      </c>
      <c r="L184" s="127">
        <f t="shared" si="46"/>
        <v>0</v>
      </c>
      <c r="M184" s="128" t="str">
        <f t="shared" si="47"/>
        <v>-</v>
      </c>
      <c r="N184" s="122" t="s">
        <v>585</v>
      </c>
    </row>
    <row r="185" spans="1:14" ht="15.75" customHeight="1" x14ac:dyDescent="0.5">
      <c r="A185" s="80"/>
      <c r="B185" s="38" t="s">
        <v>586</v>
      </c>
      <c r="C185" s="66" t="s">
        <v>587</v>
      </c>
      <c r="D185" s="81">
        <v>45000</v>
      </c>
      <c r="E185" s="114"/>
      <c r="F185" s="114"/>
      <c r="G185" s="114"/>
      <c r="H185" s="64" t="str">
        <f t="shared" si="44"/>
        <v/>
      </c>
      <c r="I185" s="115"/>
      <c r="J185" s="115"/>
      <c r="K185" s="64" t="str">
        <f t="shared" si="45"/>
        <v/>
      </c>
      <c r="L185" s="127">
        <f t="shared" si="46"/>
        <v>0</v>
      </c>
      <c r="M185" s="128" t="str">
        <f t="shared" si="47"/>
        <v>-</v>
      </c>
      <c r="N185" s="119" t="s">
        <v>588</v>
      </c>
    </row>
    <row r="186" spans="1:14" ht="15.75" customHeight="1" x14ac:dyDescent="0.5">
      <c r="A186" s="80"/>
      <c r="B186" s="41" t="s">
        <v>589</v>
      </c>
      <c r="C186" s="63" t="s">
        <v>590</v>
      </c>
      <c r="D186" s="81">
        <v>38000</v>
      </c>
      <c r="E186" s="121"/>
      <c r="F186" s="121"/>
      <c r="G186" s="121"/>
      <c r="H186" s="64" t="str">
        <f t="shared" si="44"/>
        <v/>
      </c>
      <c r="I186" s="115"/>
      <c r="J186" s="115"/>
      <c r="K186" s="64" t="str">
        <f t="shared" si="45"/>
        <v/>
      </c>
      <c r="L186" s="127">
        <f t="shared" si="46"/>
        <v>0</v>
      </c>
      <c r="M186" s="128" t="str">
        <f t="shared" si="47"/>
        <v>-</v>
      </c>
      <c r="N186" s="122" t="s">
        <v>591</v>
      </c>
    </row>
    <row r="187" spans="1:14" ht="15.75" customHeight="1" x14ac:dyDescent="0.5">
      <c r="A187" s="80"/>
      <c r="B187" s="38" t="s">
        <v>592</v>
      </c>
      <c r="C187" s="66" t="s">
        <v>593</v>
      </c>
      <c r="D187" s="81">
        <v>24000</v>
      </c>
      <c r="E187" s="114"/>
      <c r="F187" s="114"/>
      <c r="G187" s="114"/>
      <c r="H187" s="64" t="str">
        <f t="shared" si="44"/>
        <v/>
      </c>
      <c r="I187" s="115"/>
      <c r="J187" s="115"/>
      <c r="K187" s="64" t="str">
        <f t="shared" si="45"/>
        <v/>
      </c>
      <c r="L187" s="127">
        <f t="shared" si="46"/>
        <v>0</v>
      </c>
      <c r="M187" s="128" t="str">
        <f t="shared" si="47"/>
        <v>-</v>
      </c>
      <c r="N187" s="119" t="s">
        <v>594</v>
      </c>
    </row>
    <row r="188" spans="1:14" ht="15.75" customHeight="1" x14ac:dyDescent="0.5">
      <c r="A188" s="80"/>
      <c r="B188" s="41" t="s">
        <v>595</v>
      </c>
      <c r="C188" s="63" t="s">
        <v>596</v>
      </c>
      <c r="D188" s="81">
        <v>35000</v>
      </c>
      <c r="E188" s="121"/>
      <c r="F188" s="121"/>
      <c r="G188" s="121"/>
      <c r="H188" s="64" t="str">
        <f t="shared" si="44"/>
        <v/>
      </c>
      <c r="I188" s="115"/>
      <c r="J188" s="115"/>
      <c r="K188" s="64" t="str">
        <f t="shared" si="45"/>
        <v/>
      </c>
      <c r="L188" s="127">
        <f t="shared" si="46"/>
        <v>0</v>
      </c>
      <c r="M188" s="128" t="str">
        <f t="shared" si="47"/>
        <v>-</v>
      </c>
      <c r="N188" s="122" t="s">
        <v>597</v>
      </c>
    </row>
    <row r="189" spans="1:14" ht="15.75" customHeight="1" x14ac:dyDescent="0.5">
      <c r="A189" s="80"/>
      <c r="B189" s="38" t="s">
        <v>598</v>
      </c>
      <c r="C189" s="66" t="s">
        <v>599</v>
      </c>
      <c r="D189" s="81">
        <v>0</v>
      </c>
      <c r="E189" s="114"/>
      <c r="F189" s="114"/>
      <c r="G189" s="114"/>
      <c r="H189" s="64" t="str">
        <f t="shared" si="44"/>
        <v/>
      </c>
      <c r="I189" s="115"/>
      <c r="J189" s="115"/>
      <c r="K189" s="64" t="str">
        <f t="shared" si="45"/>
        <v/>
      </c>
      <c r="L189" s="127">
        <f t="shared" si="46"/>
        <v>0</v>
      </c>
      <c r="M189" s="128" t="str">
        <f t="shared" si="47"/>
        <v>-</v>
      </c>
      <c r="N189" s="119" t="s">
        <v>600</v>
      </c>
    </row>
    <row r="190" spans="1:14" ht="15.75" customHeight="1" x14ac:dyDescent="0.5">
      <c r="A190" s="80"/>
      <c r="B190" s="41" t="s">
        <v>601</v>
      </c>
      <c r="C190" s="63" t="s">
        <v>602</v>
      </c>
      <c r="D190" s="81">
        <v>28000</v>
      </c>
      <c r="E190" s="121"/>
      <c r="F190" s="121"/>
      <c r="G190" s="121"/>
      <c r="H190" s="64" t="str">
        <f t="shared" si="44"/>
        <v/>
      </c>
      <c r="I190" s="115"/>
      <c r="J190" s="115"/>
      <c r="K190" s="64" t="str">
        <f t="shared" si="45"/>
        <v/>
      </c>
      <c r="L190" s="127">
        <f t="shared" si="46"/>
        <v>0</v>
      </c>
      <c r="M190" s="128" t="str">
        <f t="shared" si="47"/>
        <v>-</v>
      </c>
      <c r="N190" s="122" t="s">
        <v>603</v>
      </c>
    </row>
    <row r="191" spans="1:14" ht="15.75" customHeight="1" x14ac:dyDescent="0.5">
      <c r="A191" s="80"/>
      <c r="B191" s="38" t="s">
        <v>604</v>
      </c>
      <c r="C191" s="66" t="s">
        <v>605</v>
      </c>
      <c r="D191" s="81">
        <v>6000</v>
      </c>
      <c r="E191" s="114"/>
      <c r="F191" s="114"/>
      <c r="G191" s="114"/>
      <c r="H191" s="64" t="str">
        <f t="shared" si="44"/>
        <v/>
      </c>
      <c r="I191" s="115"/>
      <c r="J191" s="115"/>
      <c r="K191" s="64" t="str">
        <f t="shared" si="45"/>
        <v/>
      </c>
      <c r="L191" s="127">
        <f t="shared" si="46"/>
        <v>0</v>
      </c>
      <c r="M191" s="128" t="str">
        <f t="shared" si="47"/>
        <v>-</v>
      </c>
      <c r="N191" s="119" t="s">
        <v>606</v>
      </c>
    </row>
    <row r="192" spans="1:14" ht="15.75" customHeight="1" x14ac:dyDescent="0.5">
      <c r="A192" s="80"/>
      <c r="B192" s="41" t="s">
        <v>607</v>
      </c>
      <c r="C192" s="63" t="s">
        <v>608</v>
      </c>
      <c r="D192" s="81">
        <v>8000</v>
      </c>
      <c r="E192" s="121"/>
      <c r="F192" s="121"/>
      <c r="G192" s="121"/>
      <c r="H192" s="64" t="str">
        <f t="shared" si="44"/>
        <v/>
      </c>
      <c r="I192" s="115"/>
      <c r="J192" s="115"/>
      <c r="K192" s="64" t="str">
        <f t="shared" si="45"/>
        <v/>
      </c>
      <c r="L192" s="127">
        <f t="shared" si="46"/>
        <v>0</v>
      </c>
      <c r="M192" s="128" t="str">
        <f t="shared" si="47"/>
        <v>-</v>
      </c>
      <c r="N192" s="122" t="s">
        <v>609</v>
      </c>
    </row>
    <row r="193" spans="1:14" ht="15.75" customHeight="1" x14ac:dyDescent="0.5">
      <c r="A193" s="80"/>
      <c r="B193" s="129" t="s">
        <v>1010</v>
      </c>
      <c r="C193" s="83" t="s">
        <v>1011</v>
      </c>
      <c r="D193" s="84">
        <f>SUM(D183,D184,D185,D186,D187,D188,D189,D190,D191,D192)</f>
        <v>234000</v>
      </c>
      <c r="E193" s="84">
        <f>SUM(E183,E184,E185,E186,E187,E188,E189,E190,E191,E192)</f>
        <v>0</v>
      </c>
      <c r="F193" s="84">
        <f>SUM(F183,F184,F185,F186,F187,F188,F189,F190,F191,F192)</f>
        <v>0</v>
      </c>
      <c r="G193" s="84">
        <f>SUM(G183,G184,G185,G186,G187,G188,G189,G190,G191,G192)</f>
        <v>0</v>
      </c>
      <c r="H193" s="80"/>
      <c r="I193" s="80"/>
      <c r="J193" s="80"/>
      <c r="K193" s="80"/>
      <c r="L193" s="80"/>
      <c r="M193" s="80"/>
      <c r="N193" s="80"/>
    </row>
    <row r="194" spans="1:14" ht="18" customHeight="1" x14ac:dyDescent="0.5">
      <c r="A194" s="85"/>
      <c r="B194" s="130" t="s">
        <v>1012</v>
      </c>
      <c r="C194" s="87" t="s">
        <v>612</v>
      </c>
      <c r="D194" s="88">
        <f>-D193</f>
        <v>-234000</v>
      </c>
      <c r="E194" s="88">
        <f>-E193</f>
        <v>0</v>
      </c>
      <c r="F194" s="88">
        <f>-F193</f>
        <v>0</v>
      </c>
      <c r="G194" s="88">
        <f>-G193</f>
        <v>0</v>
      </c>
      <c r="H194" s="85"/>
      <c r="I194" s="85"/>
      <c r="J194" s="85"/>
      <c r="K194" s="85"/>
      <c r="L194" s="85"/>
      <c r="M194" s="85"/>
      <c r="N194" s="89" t="s">
        <v>1013</v>
      </c>
    </row>
    <row r="195" spans="1:14" ht="15.75" customHeight="1" x14ac:dyDescent="0.5">
      <c r="A195" s="60"/>
      <c r="B195" s="131" t="s">
        <v>614</v>
      </c>
      <c r="C195" s="60"/>
      <c r="D195" s="90">
        <f>D193+D194</f>
        <v>0</v>
      </c>
      <c r="E195" s="90">
        <f>E193+E194</f>
        <v>0</v>
      </c>
      <c r="F195" s="90">
        <f>F193+F194</f>
        <v>0</v>
      </c>
      <c r="G195" s="90">
        <f>G193+G194</f>
        <v>0</v>
      </c>
      <c r="H195" s="60"/>
      <c r="I195" s="60"/>
      <c r="J195" s="60"/>
      <c r="K195" s="60"/>
      <c r="L195" s="60"/>
      <c r="M195" s="60"/>
      <c r="N195" s="106" t="s">
        <v>1014</v>
      </c>
    </row>
  </sheetData>
  <mergeCells count="3">
    <mergeCell ref="B2:J2"/>
    <mergeCell ref="B4:N4"/>
    <mergeCell ref="B182:M18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BID SUMMARY</vt:lpstr>
      <vt:lpstr>HARD COST TAKEOFF</vt:lpstr>
      <vt:lpstr>SOFT COSTS</vt:lpstr>
      <vt:lpstr>TOTAL PROJECT BUDGET</vt:lpstr>
      <vt:lpstr>ALDi BUDGET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Ainsworth</cp:lastModifiedBy>
  <cp:revision>0</cp:revision>
  <dcterms:created xsi:type="dcterms:W3CDTF">2026-05-31T23:52:11Z</dcterms:created>
  <dcterms:modified xsi:type="dcterms:W3CDTF">2026-06-02T01:01:46Z</dcterms:modified>
  <dc:language>en-US</dc:language>
</cp:coreProperties>
</file>