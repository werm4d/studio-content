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Local\werm4d\projects\merge4ward\WilmAffordHouse-2026\"/>
    </mc:Choice>
  </mc:AlternateContent>
  <xr:revisionPtr revIDLastSave="0" documentId="13_ncr:1_{4DD506A5-EBD2-4D30-9E66-744AF3EE2E32}" xr6:coauthVersionLast="47" xr6:coauthVersionMax="47" xr10:uidLastSave="{00000000-0000-0000-0000-000000000000}"/>
  <bookViews>
    <workbookView xWindow="15330" yWindow="-14805" windowWidth="25710" windowHeight="14040" tabRatio="637" xr2:uid="{00000000-000D-0000-FFFF-FFFF00000000}"/>
  </bookViews>
  <sheets>
    <sheet name="Overview" sheetId="1" r:id="rId1"/>
    <sheet name="Assumptions" sheetId="2" r:id="rId2"/>
    <sheet name="Type A — 4 Units" sheetId="3" r:id="rId3"/>
    <sheet name="Type D — 10 Units" sheetId="4" r:id="rId4"/>
    <sheet name="Tier Premium Summary" sheetId="5" r:id="rId5"/>
    <sheet name="Schedule" sheetId="6" r:id="rId6"/>
    <sheet name="Cost Comparis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7" l="1"/>
  <c r="E11" i="7"/>
  <c r="D11" i="7"/>
  <c r="C11" i="7"/>
  <c r="F12" i="7" s="1"/>
  <c r="D10" i="7"/>
  <c r="C10" i="7"/>
  <c r="E9" i="7"/>
  <c r="D9" i="7"/>
  <c r="E8" i="7"/>
  <c r="E7" i="7"/>
  <c r="D7" i="7"/>
  <c r="E6" i="7"/>
  <c r="D6" i="7"/>
  <c r="E5" i="7"/>
  <c r="D5" i="7"/>
  <c r="C5" i="7"/>
  <c r="E39" i="4"/>
  <c r="D38" i="4"/>
  <c r="E36" i="4"/>
  <c r="D36" i="4"/>
  <c r="D39" i="4" s="1"/>
  <c r="C14" i="1" s="1"/>
  <c r="E35" i="4"/>
  <c r="E37" i="4" s="1"/>
  <c r="D35" i="4"/>
  <c r="D37" i="4" s="1"/>
  <c r="E29" i="4"/>
  <c r="D29" i="4"/>
  <c r="E25" i="4"/>
  <c r="E30" i="4" s="1"/>
  <c r="E32" i="4" s="1"/>
  <c r="E24" i="4"/>
  <c r="D24" i="4"/>
  <c r="C24" i="4"/>
  <c r="D20" i="4"/>
  <c r="E20" i="4" s="1"/>
  <c r="C20" i="4"/>
  <c r="D19" i="4"/>
  <c r="E19" i="4" s="1"/>
  <c r="C19" i="4"/>
  <c r="D18" i="4"/>
  <c r="E18" i="4" s="1"/>
  <c r="C18" i="4"/>
  <c r="D17" i="4"/>
  <c r="C17" i="4"/>
  <c r="E10" i="4"/>
  <c r="D10" i="4"/>
  <c r="D7" i="4"/>
  <c r="E7" i="4" s="1"/>
  <c r="C7" i="4"/>
  <c r="D6" i="4"/>
  <c r="C9" i="1" s="1"/>
  <c r="D38" i="3"/>
  <c r="E36" i="3"/>
  <c r="E39" i="3" s="1"/>
  <c r="D36" i="3"/>
  <c r="D39" i="3" s="1"/>
  <c r="E35" i="3"/>
  <c r="E37" i="3" s="1"/>
  <c r="D35" i="3"/>
  <c r="D37" i="3" s="1"/>
  <c r="E29" i="3"/>
  <c r="D29" i="3"/>
  <c r="E24" i="3"/>
  <c r="D24" i="3"/>
  <c r="E25" i="3" s="1"/>
  <c r="C24" i="3"/>
  <c r="D20" i="3"/>
  <c r="E20" i="3" s="1"/>
  <c r="C20" i="3"/>
  <c r="D19" i="3"/>
  <c r="E19" i="3" s="1"/>
  <c r="C19" i="3"/>
  <c r="D18" i="3"/>
  <c r="E18" i="3" s="1"/>
  <c r="C18" i="3"/>
  <c r="D17" i="3"/>
  <c r="E17" i="3" s="1"/>
  <c r="E23" i="3" s="1"/>
  <c r="E26" i="3" s="1"/>
  <c r="C17" i="3"/>
  <c r="E10" i="3"/>
  <c r="D10" i="3"/>
  <c r="D7" i="3"/>
  <c r="E7" i="3" s="1"/>
  <c r="C7" i="3"/>
  <c r="D6" i="3"/>
  <c r="E6" i="3" s="1"/>
  <c r="C16" i="2"/>
  <c r="E21" i="3" s="1"/>
  <c r="C18" i="1"/>
  <c r="C13" i="1"/>
  <c r="C10" i="1"/>
  <c r="E30" i="3" l="1"/>
  <c r="E32" i="3" s="1"/>
  <c r="E31" i="3"/>
  <c r="E17" i="4"/>
  <c r="E6" i="4"/>
  <c r="D21" i="4"/>
  <c r="D23" i="4" s="1"/>
  <c r="C21" i="3"/>
  <c r="D21" i="3"/>
  <c r="D23" i="3" s="1"/>
  <c r="C21" i="4"/>
  <c r="C11" i="1"/>
  <c r="E21" i="4"/>
  <c r="E31" i="4"/>
  <c r="F11" i="7"/>
  <c r="C12" i="7"/>
  <c r="D26" i="3" l="1"/>
  <c r="D25" i="3"/>
  <c r="D26" i="4"/>
  <c r="C12" i="1" s="1"/>
  <c r="D25" i="4"/>
  <c r="E23" i="4"/>
  <c r="E26" i="4" s="1"/>
  <c r="D11" i="4" l="1"/>
  <c r="D31" i="4"/>
  <c r="D30" i="4"/>
  <c r="D32" i="4" s="1"/>
  <c r="D31" i="3"/>
  <c r="D30" i="3"/>
  <c r="D32" i="3" s="1"/>
  <c r="D11" i="3"/>
  <c r="E11" i="3" s="1"/>
  <c r="C17" i="1" l="1"/>
  <c r="E11" i="4"/>
</calcChain>
</file>

<file path=xl/sharedStrings.xml><?xml version="1.0" encoding="utf-8"?>
<sst xmlns="http://schemas.openxmlformats.org/spreadsheetml/2006/main" count="422" uniqueCount="313">
  <si>
    <t>MERGE 4 DESIGN LLC  ×  L.E.E.P., INC.</t>
  </si>
  <si>
    <t>FORWARD HOME PROGRAM</t>
  </si>
  <si>
    <t>City of Wilmington Vacant Lot Initiative — Four-Tier Building Package Proforma</t>
  </si>
  <si>
    <t>$220K–$250K (T1) to $267K–$317K (T4 off-grid) · L.E.E.P. trained workforce · May 2026</t>
  </si>
  <si>
    <t>Merge 4 Design LLC · 215 N. Market St. Suite 317 · Wilmington DE 19801 · merge4design.com</t>
  </si>
  <si>
    <t>L.E.E.P., Inc. · Gwenevere Motley, Executive Director · Trained installation workforce</t>
  </si>
  <si>
    <t>PROGRAM SUMMARY — TYPE D 10-UNIT CLUSTER</t>
  </si>
  <si>
    <t>Total units (Type D pilot)</t>
  </si>
  <si>
    <t>T1 sale price per unit</t>
  </si>
  <si>
    <t>T1 gross revenue</t>
  </si>
  <si>
    <t>T1 total project cost</t>
  </si>
  <si>
    <t>T1 developer net margin</t>
  </si>
  <si>
    <t>T1 developer margin %</t>
  </si>
  <si>
    <t>Build schedule</t>
  </si>
  <si>
    <t>31 weeks</t>
  </si>
  <si>
    <t>Land cost (City program)</t>
  </si>
  <si>
    <t>$1 per lot</t>
  </si>
  <si>
    <t>Investor equity trigger</t>
  </si>
  <si>
    <t>Construction loan</t>
  </si>
  <si>
    <t>FOUR-TIER PRICE AND PERFORMANCE OVERVIEW</t>
  </si>
  <si>
    <t>Tier</t>
  </si>
  <si>
    <t>HERS</t>
  </si>
  <si>
    <t>Sale price (net §45L)</t>
  </si>
  <si>
    <t>Build premium</t>
  </si>
  <si>
    <t>Grid status</t>
  </si>
  <si>
    <t>Food production</t>
  </si>
  <si>
    <t>T1 — Forward Code+</t>
  </si>
  <si>
    <t>55–70</t>
  </si>
  <si>
    <t>$220K–$250K</t>
  </si>
  <si>
    <t>Base</t>
  </si>
  <si>
    <t>Grid</t>
  </si>
  <si>
    <t>—</t>
  </si>
  <si>
    <t>T2 — Forward Zero</t>
  </si>
  <si>
    <t>0–30</t>
  </si>
  <si>
    <t>$227K–$263K</t>
  </si>
  <si>
    <t>~+$12K–$18K</t>
  </si>
  <si>
    <t>T3 — Forward Positive</t>
  </si>
  <si>
    <t>Neg–+10</t>
  </si>
  <si>
    <t>$243K–$287K</t>
  </si>
  <si>
    <t>~+$28K–$42K</t>
  </si>
  <si>
    <t>Grid (PV export)</t>
  </si>
  <si>
    <t>200–400 lbs/yr</t>
  </si>
  <si>
    <t>T4 — Forward Harvest</t>
  </si>
  <si>
    <t>Net positive</t>
  </si>
  <si>
    <t>$267K–$317K</t>
  </si>
  <si>
    <t>~+$52K–$72K</t>
  </si>
  <si>
    <t>Off-grid capable</t>
  </si>
  <si>
    <t>200–600 lbs/yr</t>
  </si>
  <si>
    <t>NOTE: All proformas at G0 ROM ±25%. Land=$1/lot (City program). Site work+utilities City-funded. Blue cells=inputs. Navigate tabs for full proformas. §45L credit=$5,000/unit (T2–T4 DOE Zero Energy Ready Home).  |  Soft costs disaggregated per CBai MEP Workflow SOP v1 (June 2026): A&amp;E + MEP PE (CBai-assisted) + permits + M4Di OI Tool. Toggle Assumptions!C10 (1=First typology / 2=Repeat Claymont template) to model fee compression on repeat engagements.</t>
  </si>
  <si>
    <t>WORKBOOK NAVIGATION</t>
  </si>
  <si>
    <t>Overview</t>
  </si>
  <si>
    <t>This sheet — program summary, tier comparison, navigation</t>
  </si>
  <si>
    <t>Assumptions</t>
  </si>
  <si>
    <t>Shared inputs — change here to update all proformas</t>
  </si>
  <si>
    <t>Type A — 4 Units</t>
  </si>
  <si>
    <t>Single-lot 4-unit for-sale + rental proforma</t>
  </si>
  <si>
    <t>Type D — 10 Units</t>
  </si>
  <si>
    <t>10-unit lot cluster pilot — T1 for-sale + rental</t>
  </si>
  <si>
    <t>Tier Premium Summary</t>
  </si>
  <si>
    <t>T1–T4 incremental premium cost analysis</t>
  </si>
  <si>
    <t>Schedule</t>
  </si>
  <si>
    <t>31-week delivery schedule with phase milestones</t>
  </si>
  <si>
    <t>Cost Comparison</t>
  </si>
  <si>
    <t>Forward Panel vs. SIP vs. stick frame material cost</t>
  </si>
  <si>
    <t>SHARED ASSUMPTIONS — FORWARD HOME PROGRAM</t>
  </si>
  <si>
    <t>Blue/yellow cells = inputs. Change here — all four proforma tabs update automatically.</t>
  </si>
  <si>
    <t>CONSTRUCTION COST (per unit — per SF of wall or fixed)</t>
  </si>
  <si>
    <t>4Ward-SIB panel system (per SF wall)</t>
  </si>
  <si>
    <t>M4Di ALDDB; Barricade SIB ROM May 2026</t>
  </si>
  <si>
    <t>Foundation / structural (per SF)</t>
  </si>
  <si>
    <t>M4Di ROM; Claymont AE24-002 reference</t>
  </si>
  <si>
    <t>MEP systems (per SF)</t>
  </si>
  <si>
    <t>Includes heat pump; downsized 1 ton vs. stick</t>
  </si>
  <si>
    <t>Finishes / millwork / appliances (per SF)</t>
  </si>
  <si>
    <t>Mid-range Forward Home spec</t>
  </si>
  <si>
    <t>SOFT COSTS — DISAGGREGATED (CBai MEP SOP v1)</t>
  </si>
  <si>
    <t>Typology (1 = First use / 2 = Repeat/Claymont template)</t>
  </si>
  <si>
    <t>1 = First engagement · 2 = Repeat (Claymont template) — toggles MEP PE fee</t>
  </si>
  <si>
    <t xml:space="preserve">  A&amp;E architectural fee (per unit)</t>
  </si>
  <si>
    <t>AOR subconsultant + schematic/permit drawings. Fixed regardless of typology.</t>
  </si>
  <si>
    <t xml:space="preserve">  MEP PE fee — first typology (per unit, G0–G3)</t>
  </si>
  <si>
    <t xml:space="preserve">  MEP PE fee — repeat typology (Claymont template, per unit)</t>
  </si>
  <si>
    <t>40–50% of full-service per SOP §3 repeat typology target. Available once Claymont G4 template archived (target Q4 2026).</t>
  </si>
  <si>
    <t xml:space="preserve">  Permits / filing / AHJ fees (per unit)</t>
  </si>
  <si>
    <t>City of Wilmington residential permit. Fixed. Not affected by typology toggle.</t>
  </si>
  <si>
    <t xml:space="preserve">  M4Di OI Tool / ALDi Tracker (per unit)</t>
  </si>
  <si>
    <t>Predevelopment ROM + ALDi gate tracking through G4. OED cost-verification standard.</t>
  </si>
  <si>
    <t xml:space="preserve">  TOTAL SOFT COSTS / UNIT (active typology)</t>
  </si>
  <si>
    <t>Active total — updates when typology toggle changes. First use: ~$11,700 · Repeat: ~$10,300</t>
  </si>
  <si>
    <t xml:space="preserve">  Tier 4 MEP premium (per unit — cistern/agrivoltaic/island electrical)</t>
  </si>
  <si>
    <t>Additional PE scope: cistern plumbing, agrivoltaic trellis structural, island-mode electrical. Range $2,500-$4,000/unit. SOP v1.</t>
  </si>
  <si>
    <t>Contingency</t>
  </si>
  <si>
    <t>8% of hard + soft costs</t>
  </si>
  <si>
    <t>FINANCING</t>
  </si>
  <si>
    <t>Construction loan interest rate (annual)</t>
  </si>
  <si>
    <t>Build schedule — weeks (4Ward-SIB system)</t>
  </si>
  <si>
    <t>vs. 35 wks std SIP; 39 wks stick (Offsite Builder 2025)</t>
  </si>
  <si>
    <t>Loan-to-cost ratio</t>
  </si>
  <si>
    <t>Typical residential construction LTC</t>
  </si>
  <si>
    <t>REVENUE</t>
  </si>
  <si>
    <t>Type A avg. sale price / unit</t>
  </si>
  <si>
    <t>Type D avg. sale price / unit</t>
  </si>
  <si>
    <t>Cluster achieves higher end</t>
  </si>
  <si>
    <t>RENTAL SCENARIO</t>
  </si>
  <si>
    <t>Monthly rent / unit</t>
  </si>
  <si>
    <t>Stabilized expense ratio</t>
  </si>
  <si>
    <t>NOI = 55%</t>
  </si>
  <si>
    <t>Cap rate (valuation)</t>
  </si>
  <si>
    <t>Delaware multifamily Q1 2026 estimate</t>
  </si>
  <si>
    <t>CITY PROGRAM</t>
  </si>
  <si>
    <t>Land cost per lot (City program)</t>
  </si>
  <si>
    <t>City of Wilmington vacant lot initiative</t>
  </si>
  <si>
    <t>Site work / utilities</t>
  </si>
  <si>
    <t>Covered by City — developer cost $0</t>
  </si>
  <si>
    <t>TIER INCREMENTAL PREMIUMS (per unit, G0 ROM ±25%)</t>
  </si>
  <si>
    <t>Tier 2 — Forward Zero premium (mid)</t>
  </si>
  <si>
    <t>$12K–$18K range</t>
  </si>
  <si>
    <t>Tier 3 — Forward Positive premium (mid)</t>
  </si>
  <si>
    <t>$28K–$42K range</t>
  </si>
  <si>
    <t>Tier 4 — Forward Harvest premium (mid)</t>
  </si>
  <si>
    <t>$52K–$72K range</t>
  </si>
  <si>
    <t>IRA §45L developer credit (T2–T4)</t>
  </si>
  <si>
    <t>DOE Zero Energy Ready Home; T1 not eligible</t>
  </si>
  <si>
    <t>COLOR CODE: Blue = hardcoded input  ·  Yellow background = key assumption  ·  Green text = linked from this sheet  ·  SOFT COSTS: Toggle C10 between 1 (first typology) and 2 (Claymont repeat template) to see CBai MEP SOP v1 fee compression effect on total.</t>
  </si>
  <si>
    <t>TYPE A — SINGLE LOT  |  2–4 UNIT FORWARD HOME</t>
  </si>
  <si>
    <t>G0 ROM ±25%  ·  For-sale + Rental  ·  Land $1 (City)  ·  Site/Utilities City-funded  ·  L.E.E.P. workforce</t>
  </si>
  <si>
    <t>Line item</t>
  </si>
  <si>
    <t>Input / Formula</t>
  </si>
  <si>
    <t>Per unit</t>
  </si>
  <si>
    <t>Total (4 units)</t>
  </si>
  <si>
    <t>PROJECT INPUTS</t>
  </si>
  <si>
    <t>Number of units</t>
  </si>
  <si>
    <t>Avg. unit size (SF)</t>
  </si>
  <si>
    <t>T1 sale price (from Assumptions)</t>
  </si>
  <si>
    <t>SOURCES</t>
  </si>
  <si>
    <t>Investor equity (site control triggered)</t>
  </si>
  <si>
    <t>Construction loan (LTC × total cost)</t>
  </si>
  <si>
    <t>City land + site/utilities</t>
  </si>
  <si>
    <t>City-funded</t>
  </si>
  <si>
    <t>USES (CONSTRUCTION COSTS)</t>
  </si>
  <si>
    <t>Panel system — 4Ward-SIB (SF × rate)</t>
  </si>
  <si>
    <t>Foundation / structural</t>
  </si>
  <si>
    <t>MEP systems (HVAC heat pump, plumbing, elec.)</t>
  </si>
  <si>
    <t>Finishes / millwork / appliances</t>
  </si>
  <si>
    <t>Soft costs — A&amp;E + MEP PE + permits + M4Di (per unit)</t>
  </si>
  <si>
    <t xml:space="preserve">  ↳ Typology toggle: see Assumptions!C10  (1=First ~$11.7K · 2=Repeat ~$10.3K)</t>
  </si>
  <si>
    <t xml:space="preserve">  Subtotal pre-contingency</t>
  </si>
  <si>
    <t>Contingency (8%)</t>
  </si>
  <si>
    <t>Loan carry (31 wks @ 10.25%)</t>
  </si>
  <si>
    <t>TOTAL PROJECT COST</t>
  </si>
  <si>
    <t>FOR-SALE RETURN</t>
  </si>
  <si>
    <t>Gross sale revenue</t>
  </si>
  <si>
    <t>Less: total project cost</t>
  </si>
  <si>
    <t>DEVELOPER NET MARGIN</t>
  </si>
  <si>
    <t>Developer margin %</t>
  </si>
  <si>
    <t>RENTAL ALTERNATIVE</t>
  </si>
  <si>
    <t>Gross annual income</t>
  </si>
  <si>
    <t>NOI (55% ratio)</t>
  </si>
  <si>
    <t>Stabilized cap rate</t>
  </si>
  <si>
    <t>Stabilized asset value (NOI ÷ cap rate)</t>
  </si>
  <si>
    <t>TYPE D — 10-UNIT LOT CLUSTER  |  PILOT PROPOSAL</t>
  </si>
  <si>
    <t>G0 ROM ±25%  ·  For-sale + Rental  ·  Land $1/lot  ·  Site/Utilities City-funded  ·  Investor equity at site control  ·  L.E.E.P. workforce</t>
  </si>
  <si>
    <t>Total (10 units)</t>
  </si>
  <si>
    <t>City land ($1 × 10 lots) + site/utilities</t>
  </si>
  <si>
    <t>USES</t>
  </si>
  <si>
    <t>4Ward-SIB Forward Panel (SF × rate)</t>
  </si>
  <si>
    <t>MEP (HVAC + plumbing + elec.)</t>
  </si>
  <si>
    <t>NOI (55%)</t>
  </si>
  <si>
    <t>Stabilized asset value</t>
  </si>
  <si>
    <t>FORWARD HOME — FOUR-TIER PREMIUM COST SUMMARY</t>
  </si>
  <si>
    <t>Incremental premiums above Tier 1 base · Per unit · G0 ROM ±25% · 1,300 SF Type D 10-unit cluster</t>
  </si>
  <si>
    <t>Cost element</t>
  </si>
  <si>
    <t>T1 Code+</t>
  </si>
  <si>
    <t>T2 Zero</t>
  </si>
  <si>
    <t>T3 Positive</t>
  </si>
  <si>
    <t>T4 Harvest</t>
  </si>
  <si>
    <t>4Ward-SIB Forward Panel system</t>
  </si>
  <si>
    <t>$13,650</t>
  </si>
  <si>
    <t>Foundation — Superior Walls Xi Plus (T2–4)</t>
  </si>
  <si>
    <t>Base CMU</t>
  </si>
  <si>
    <t>+ $4,200–$6,500</t>
  </si>
  <si>
    <t>Cavity insulation — mineral wool upgrade</t>
  </si>
  <si>
    <t>Std batt</t>
  </si>
  <si>
    <t>+ $800–$1,200</t>
  </si>
  <si>
    <t>Interior air barrier membrane (T3–4)</t>
  </si>
  <si>
    <t>+ $1,400–$2,200</t>
  </si>
  <si>
    <t>Allura cladding — base Lap (all tiers)</t>
  </si>
  <si>
    <t>$8,450</t>
  </si>
  <si>
    <t>Allura Panel + Shakes upgrade</t>
  </si>
  <si>
    <t>+ $1,200–$1,800</t>
  </si>
  <si>
    <t>+ $2,400–$3,600</t>
  </si>
  <si>
    <t>Crystal Magnus 4500 windows — double-pane</t>
  </si>
  <si>
    <t>$7,800–$9,200</t>
  </si>
  <si>
    <t>Base included</t>
  </si>
  <si>
    <t>→ upgrade to 4700</t>
  </si>
  <si>
    <t>Window upgrade — triple-pane/4700</t>
  </si>
  <si>
    <t>+ $4,800–$6,400</t>
  </si>
  <si>
    <t>HVAC — Quilt 3-zone (T2 + T4)</t>
  </si>
  <si>
    <t>Std mini-split</t>
  </si>
  <si>
    <t>+ $2,800–$4,200</t>
  </si>
  <si>
    <t>Quilt battery-opt.</t>
  </si>
  <si>
    <t>HVAC — Mitsubishi FX H2i sumo (T3)</t>
  </si>
  <si>
    <t>+ $4,200–$6,000</t>
  </si>
  <si>
    <t>HVAC — GSHP alternate (T3 site-dependent)</t>
  </si>
  <si>
    <t>+ $8,000–$14,000</t>
  </si>
  <si>
    <t>Viessmann Vitoair ERV (T2–4)</t>
  </si>
  <si>
    <t>+ $2,200–$3,200</t>
  </si>
  <si>
    <t>HPWH drainwater heat recovery (T2–4)</t>
  </si>
  <si>
    <t>+ $600–$900</t>
  </si>
  <si>
    <t>SPAN MAIN 40 smart panel (T2–4)</t>
  </si>
  <si>
    <t>200A stub</t>
  </si>
  <si>
    <t>+ $3,500–$4,500</t>
  </si>
  <si>
    <t>+ $3,500–$4,500 (island)</t>
  </si>
  <si>
    <t>PV system (5.5–12 kW)</t>
  </si>
  <si>
    <t>— (stub only)</t>
  </si>
  <si>
    <t>+ $15,000–$19,500</t>
  </si>
  <si>
    <t>+ $22,500–$29,000</t>
  </si>
  <si>
    <t>+ $22,500–$34,000 agrivoltaic</t>
  </si>
  <si>
    <t>Battery — Enphase IQ5P or Powerwall 3</t>
  </si>
  <si>
    <t>+ $9,500–$13,500</t>
  </si>
  <si>
    <t>Battery — EcoFlow DPU + FranklinWH (T4)</t>
  </si>
  <si>
    <t>+ $14,000–$22,000</t>
  </si>
  <si>
    <t>LiveRoof Standard (T2)</t>
  </si>
  <si>
    <t>Std membrane</t>
  </si>
  <si>
    <t>+ $5,600–$9,100</t>
  </si>
  <si>
    <t>LiveRoof MAXX + edible rows, Up Top Acres (T3)</t>
  </si>
  <si>
    <t>+ $10,500–$17,500</t>
  </si>
  <si>
    <t>Crop Circle Farms + agrivoltaic trellis (T4)</t>
  </si>
  <si>
    <t>Cistern + drip irrigation (T3–4)</t>
  </si>
  <si>
    <t>+ $1,200–$2,000</t>
  </si>
  <si>
    <t>+ $3,000–$5,000</t>
  </si>
  <si>
    <t>NatureMill composter (T4)</t>
  </si>
  <si>
    <t>Commissioning / HERS / PHIUS / off-grid verify</t>
  </si>
  <si>
    <t>M4Di only</t>
  </si>
  <si>
    <t>+ $3,500–$5,000</t>
  </si>
  <si>
    <t>+ $2,500–$4,000</t>
  </si>
  <si>
    <t>MEP PE fee — CBai-assisted vs. full-service (SOP v1 savings)</t>
  </si>
  <si>
    <t>–$650–$1,050/unit</t>
  </si>
  <si>
    <t>Tier 4 MEP premium (cistern/agrivoltaic/island electrical PE)</t>
  </si>
  <si>
    <t>TOTAL INCREMENTAL PREMIUM (above T1)</t>
  </si>
  <si>
    <t>— (T1 base)</t>
  </si>
  <si>
    <t>~$12,000–$18,000</t>
  </si>
  <si>
    <t>~$28,000–$42,000</t>
  </si>
  <si>
    <t>~$52,000–$72,000</t>
  </si>
  <si>
    <t>Estimated sale price range</t>
  </si>
  <si>
    <t>$232K–$268K</t>
  </si>
  <si>
    <t>$248K–$292K</t>
  </si>
  <si>
    <t>$272K–$322K</t>
  </si>
  <si>
    <t>IRA §45L developer credit</t>
  </si>
  <si>
    <t>–$5,000/unit</t>
  </si>
  <si>
    <t>Net to buyer after §45L</t>
  </si>
  <si>
    <t>L.E.E.P., Inc. trained workforce is included across all four tiers. §45L = $5,000/unit developer credit for DOE Zero Energy Ready Home certification (Tiers 2–4). Buyers may also claim §25C credits for heat pump/water heater. 30% ITC on PV for developer/owner.</t>
  </si>
  <si>
    <t>FORWARD HOME — 31-WEEK DELIVERY SCHEDULE</t>
  </si>
  <si>
    <t>4Ward-SIB Forward Panel system · L.E.E.P. installation crew · All four tiers use same schedule framework</t>
  </si>
  <si>
    <t>Phase</t>
  </si>
  <si>
    <t>Timing</t>
  </si>
  <si>
    <t>Key deliverables</t>
  </si>
  <si>
    <t>Milestone</t>
  </si>
  <si>
    <t>Phase 1 — Predevelopment (M4Di)</t>
  </si>
  <si>
    <t>Wks 1–6</t>
  </si>
  <si>
    <t>LOI executed · Investor equity activated · G0 ROM verification · Site + zoning analysis (Ch. 48) · Tier selection · DOE/PHIUS enrollment (T2–4)</t>
  </si>
  <si>
    <t>Equity committed</t>
  </si>
  <si>
    <t>Phase 2 — Design + Permitting</t>
  </si>
  <si>
    <t>Wks 7–18</t>
  </si>
  <si>
    <t>Schematic design · Permit drawings (AOR stamp) · AHJ submission · M4Di ALDi cost control</t>
  </si>
  <si>
    <t>Permit approved</t>
  </si>
  <si>
    <t>Phase 3 — Fabrication + Site Prep</t>
  </si>
  <si>
    <t>Wks 12–22</t>
  </si>
  <si>
    <t>4Ward-SIB panel order (concurrent with Phase 2 tail) · Foundation · MEP coordination · Panel delivery logistics</t>
  </si>
  <si>
    <t>Panels on site</t>
  </si>
  <si>
    <t>Phase 4 — Erection + Enclosure</t>
  </si>
  <si>
    <t>Wks 22–26</t>
  </si>
  <si>
    <t>L.E.E.P. crew panel install · Dry-in · MEP rough · Windows/doors · Blower door mid-test (T2+)</t>
  </si>
  <si>
    <t>Dry-in complete</t>
  </si>
  <si>
    <t>Phase 5 — Finishes + Rooftop</t>
  </si>
  <si>
    <t>Wks 26–29</t>
  </si>
  <si>
    <t>Interior finishes · MEP trim-out · Rooftop system install (T2–T4) · Agrivoltaic trellis (T4) · Cistern (T3–T4)</t>
  </si>
  <si>
    <t>Rooftop complete</t>
  </si>
  <si>
    <t>Phase 6 — CO + Closing</t>
  </si>
  <si>
    <t>Wks 29–31</t>
  </si>
  <si>
    <t>Final inspections · Certificate of occupancy · Sale closings (for-sale) or lease-up (rental) · M4Di cost report to OED</t>
  </si>
  <si>
    <t>CO issued</t>
  </si>
  <si>
    <t>SCHEDULE COMPARISON</t>
  </si>
  <si>
    <t>4Ward-SIB Forward Panel (M4D system)</t>
  </si>
  <si>
    <t>Source: Offsite Builder Magazine 2025; SIPA RS Means study</t>
  </si>
  <si>
    <t>Standard SIP panelized</t>
  </si>
  <si>
    <t>35 weeks</t>
  </si>
  <si>
    <t>Site-built stick frame</t>
  </si>
  <si>
    <t>39 weeks</t>
  </si>
  <si>
    <t>COST COMPARISON — 4WARD-SIB vs. STANDARD SIP vs. STICK FRAME</t>
  </si>
  <si>
    <t>Per SF of wall · Blue cells = inputs · Sources: SIPA RS Means; M4Di ALDDB; Offsite Builder 2025</t>
  </si>
  <si>
    <t>4Ward-SIB
(Forward Panel)</t>
  </si>
  <si>
    <t>Standard SIP
(OSB face)</t>
  </si>
  <si>
    <t>Stick frame
(all-in layers)</t>
  </si>
  <si>
    <t>Panel saving
vs. stick</t>
  </si>
  <si>
    <t>Unit size (SF) — adjust here</t>
  </si>
  <si>
    <t>Panel / framing materials</t>
  </si>
  <si>
    <t>WRB / house wrap</t>
  </si>
  <si>
    <t>Included</t>
  </si>
  <si>
    <t>Continuous insulation (CI)</t>
  </si>
  <si>
    <t>Cavity insulation sub</t>
  </si>
  <si>
    <t>Not required</t>
  </si>
  <si>
    <t>Wrap/CI install labor</t>
  </si>
  <si>
    <t>Eliminated</t>
  </si>
  <si>
    <t>Panel engineering</t>
  </si>
  <si>
    <t>TOTAL ALL-IN (per unit)</t>
  </si>
  <si>
    <t>Savings vs. stick frame (4Ward-SIB)</t>
  </si>
  <si>
    <t>SCHEDULE SAVINGS (LOAN CARRY)</t>
  </si>
  <si>
    <t>Weeks saved vs. stick frame</t>
  </si>
  <si>
    <t>8 weeks</t>
  </si>
  <si>
    <t>4 weeks</t>
  </si>
  <si>
    <t>Est. loan carry saving / unit (8 wks @ 10.25%)</t>
  </si>
  <si>
    <t>NOTE: 4Ward-SIB pricing fixed at order date. Standard SIP and stick frame subject to lumber index volatility. Energy savings ($1,800–$8,000/yr per unit depending on tier) not included in this cost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</si>
</sst>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_);_(\$* \(#,##0\);_(\$* \-_);_(@_)"/>
    <numFmt numFmtId="165" formatCode="0.0%"/>
    <numFmt numFmtId="166" formatCode="_(\$* #,##0_);_(\$* \(#,##0\)"/>
  </numFmts>
  <fonts count="36" x14ac:knownFonts="1">
    <font>
      <sz val="11"/>
      <color theme="1"/>
      <name val="Calibri"/>
      <family val="2"/>
      <charset val="1"/>
    </font>
    <font>
      <b/>
      <sz val="8"/>
      <color rgb="FFD6EDD6"/>
      <name val="Arial"/>
      <charset val="1"/>
    </font>
    <font>
      <b/>
      <sz val="18"/>
      <color rgb="FFFFFFFF"/>
      <name val="Arial"/>
      <charset val="1"/>
    </font>
    <font>
      <i/>
      <sz val="10"/>
      <color rgb="FFE8E8E3"/>
      <name val="Arial"/>
      <charset val="1"/>
    </font>
    <font>
      <i/>
      <sz val="9"/>
      <color rgb="FFD6EDD6"/>
      <name val="Arial"/>
      <charset val="1"/>
    </font>
    <font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196B23"/>
      <name val="Arial"/>
      <charset val="1"/>
    </font>
    <font>
      <b/>
      <sz val="10"/>
      <color rgb="FF008000"/>
      <name val="Arial"/>
      <charset val="1"/>
    </font>
    <font>
      <b/>
      <sz val="10"/>
      <color rgb="FF196B23"/>
      <name val="Arial"/>
      <charset val="1"/>
    </font>
    <font>
      <b/>
      <sz val="9"/>
      <color rgb="FF1A1A18"/>
      <name val="Arial"/>
      <charset val="1"/>
    </font>
    <font>
      <sz val="9"/>
      <color rgb="FF196B23"/>
      <name val="Arial"/>
      <charset val="1"/>
    </font>
    <font>
      <sz val="9"/>
      <color rgb="FF0F6E56"/>
      <name val="Arial"/>
      <charset val="1"/>
    </font>
    <font>
      <sz val="9"/>
      <color rgb="FF185FA5"/>
      <name val="Arial"/>
      <charset val="1"/>
    </font>
    <font>
      <b/>
      <sz val="9"/>
      <color rgb="FF534AB7"/>
      <name val="Arial"/>
      <charset val="1"/>
    </font>
    <font>
      <i/>
      <sz val="8"/>
      <color rgb="FF666666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9"/>
      <color rgb="FF1A1A18"/>
      <name val="Arial"/>
      <charset val="1"/>
    </font>
    <font>
      <b/>
      <sz val="10"/>
      <color rgb="FF0000FF"/>
      <name val="Arial"/>
      <charset val="1"/>
    </font>
    <font>
      <sz val="10"/>
      <color rgb="FF1A1A18"/>
      <name val="Arial"/>
      <charset val="1"/>
    </font>
    <font>
      <i/>
      <sz val="8"/>
      <color rgb="FF196B23"/>
      <name val="Arial"/>
      <charset val="1"/>
    </font>
    <font>
      <sz val="9"/>
      <color rgb="FF534AB7"/>
      <name val="Arial"/>
      <charset val="1"/>
    </font>
    <font>
      <i/>
      <sz val="8"/>
      <color rgb="FF534AB7"/>
      <name val="Arial"/>
      <charset val="1"/>
    </font>
    <font>
      <b/>
      <sz val="12"/>
      <color rgb="FFFFFFFF"/>
      <name val="Arial"/>
      <charset val="1"/>
    </font>
    <font>
      <i/>
      <sz val="9"/>
      <color rgb="FFE8E8E3"/>
      <name val="Arial"/>
      <charset val="1"/>
    </font>
    <font>
      <sz val="10"/>
      <color rgb="FF008000"/>
      <name val="Arial"/>
      <charset val="1"/>
    </font>
    <font>
      <sz val="9"/>
      <color rgb="FF008000"/>
      <name val="Arial"/>
      <charset val="1"/>
    </font>
    <font>
      <b/>
      <sz val="9"/>
      <color rgb="FF666666"/>
      <name val="Arial"/>
      <charset val="1"/>
    </font>
    <font>
      <b/>
      <sz val="10"/>
      <color rgb="FF0F6E56"/>
      <name val="Arial"/>
      <charset val="1"/>
    </font>
    <font>
      <b/>
      <sz val="10"/>
      <color rgb="FF185FA5"/>
      <name val="Arial"/>
      <charset val="1"/>
    </font>
    <font>
      <b/>
      <sz val="10"/>
      <color rgb="FF534AB7"/>
      <name val="Arial"/>
      <charset val="1"/>
    </font>
    <font>
      <b/>
      <sz val="9"/>
      <color rgb="FF0F6E56"/>
      <name val="Arial"/>
      <charset val="1"/>
    </font>
    <font>
      <sz val="9"/>
      <color rgb="FFBA7517"/>
      <name val="Arial"/>
      <charset val="1"/>
    </font>
    <font>
      <sz val="9"/>
      <color rgb="FFA32D2D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96B23"/>
        <bgColor rgb="FF0F6E56"/>
      </patternFill>
    </fill>
    <fill>
      <patternFill patternType="solid">
        <fgColor rgb="FF1A1A18"/>
        <bgColor rgb="FF003300"/>
      </patternFill>
    </fill>
    <fill>
      <patternFill patternType="solid">
        <fgColor rgb="FFF7F7F4"/>
        <bgColor rgb="FFFFFFFF"/>
      </patternFill>
    </fill>
    <fill>
      <patternFill patternType="solid">
        <fgColor rgb="FFD6EDD6"/>
        <bgColor rgb="FFD4EDE8"/>
      </patternFill>
    </fill>
    <fill>
      <patternFill patternType="solid">
        <fgColor rgb="FFFFFFFF"/>
        <bgColor rgb="FFF7F7F4"/>
      </patternFill>
    </fill>
    <fill>
      <patternFill patternType="solid">
        <fgColor rgb="FFE8E8E3"/>
        <bgColor rgb="FFE8E6FA"/>
      </patternFill>
    </fill>
    <fill>
      <patternFill patternType="solid">
        <fgColor rgb="FFD4EDE8"/>
        <bgColor rgb="FFD6EDD6"/>
      </patternFill>
    </fill>
    <fill>
      <patternFill patternType="solid">
        <fgColor rgb="FFD6E8F6"/>
        <bgColor rgb="FFD4EDE8"/>
      </patternFill>
    </fill>
    <fill>
      <patternFill patternType="solid">
        <fgColor rgb="FFE8E6FA"/>
        <bgColor rgb="FFE8E8E3"/>
      </patternFill>
    </fill>
    <fill>
      <patternFill patternType="solid">
        <fgColor rgb="FFFFFF00"/>
        <bgColor rgb="FFFFFF00"/>
      </patternFill>
    </fill>
    <fill>
      <patternFill patternType="solid">
        <fgColor rgb="FF0F6E56"/>
        <bgColor rgb="FF196B23"/>
      </patternFill>
    </fill>
    <fill>
      <patternFill patternType="solid">
        <fgColor rgb="FF185FA5"/>
        <bgColor rgb="FF0F6E56"/>
      </patternFill>
    </fill>
    <fill>
      <patternFill patternType="solid">
        <fgColor rgb="FF534AB7"/>
        <bgColor rgb="FF666666"/>
      </patternFill>
    </fill>
    <fill>
      <patternFill patternType="solid">
        <fgColor rgb="FFFFF3CD"/>
        <bgColor rgb="FFF7F7F4"/>
      </patternFill>
    </fill>
    <fill>
      <patternFill patternType="solid">
        <fgColor rgb="FFFDDEDE"/>
        <bgColor rgb="FFE8E8E3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BA7517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9" fillId="5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0" fillId="0" borderId="0" xfId="0"/>
    <xf numFmtId="0" fontId="19" fillId="4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0" fillId="5" borderId="0" xfId="0" applyFill="1"/>
    <xf numFmtId="0" fontId="19" fillId="4" borderId="1" xfId="0" applyFont="1" applyFill="1" applyBorder="1" applyAlignment="1">
      <alignment horizontal="left" vertical="center"/>
    </xf>
    <xf numFmtId="166" fontId="20" fillId="11" borderId="3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0" fillId="11" borderId="3" xfId="0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64" fontId="20" fillId="11" borderId="3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164" fontId="20" fillId="10" borderId="3" xfId="0" applyNumberFormat="1" applyFont="1" applyFill="1" applyBorder="1" applyAlignment="1">
      <alignment horizontal="right" vertical="center"/>
    </xf>
    <xf numFmtId="0" fontId="24" fillId="0" borderId="0" xfId="0" applyFont="1"/>
    <xf numFmtId="165" fontId="20" fillId="11" borderId="3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3" fontId="20" fillId="11" borderId="3" xfId="0" applyNumberFormat="1" applyFont="1" applyFill="1" applyBorder="1" applyAlignment="1">
      <alignment horizontal="right" vertical="center"/>
    </xf>
    <xf numFmtId="164" fontId="27" fillId="0" borderId="1" xfId="0" applyNumberFormat="1" applyFont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64" fontId="28" fillId="4" borderId="1" xfId="0" applyNumberFormat="1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5" fontId="27" fillId="0" borderId="1" xfId="0" applyNumberFormat="1" applyFont="1" applyBorder="1" applyAlignment="1">
      <alignment horizontal="right" vertical="center"/>
    </xf>
    <xf numFmtId="0" fontId="29" fillId="4" borderId="1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right" vertical="center"/>
    </xf>
    <xf numFmtId="0" fontId="0" fillId="10" borderId="0" xfId="0" applyFill="1"/>
    <xf numFmtId="0" fontId="11" fillId="10" borderId="1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right" vertical="center"/>
    </xf>
    <xf numFmtId="0" fontId="30" fillId="5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0" fontId="32" fillId="5" borderId="0" xfId="0" applyFont="1" applyFill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34" fillId="15" borderId="2" xfId="0" applyFont="1" applyFill="1" applyBorder="1" applyAlignment="1">
      <alignment horizontal="left" vertical="center"/>
    </xf>
    <xf numFmtId="0" fontId="34" fillId="15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left" vertical="center"/>
    </xf>
    <xf numFmtId="0" fontId="35" fillId="16" borderId="2" xfId="0" applyFont="1" applyFill="1" applyBorder="1" applyAlignment="1">
      <alignment horizontal="left" vertical="center"/>
    </xf>
    <xf numFmtId="0" fontId="35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center"/>
    </xf>
    <xf numFmtId="0" fontId="0" fillId="15" borderId="0" xfId="0" applyFill="1"/>
    <xf numFmtId="0" fontId="10" fillId="4" borderId="1" xfId="0" applyFont="1" applyFill="1" applyBorder="1" applyAlignment="1">
      <alignment horizontal="left" vertical="center"/>
    </xf>
    <xf numFmtId="164" fontId="21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164" fontId="21" fillId="6" borderId="1" xfId="0" applyNumberFormat="1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0" fontId="34" fillId="1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E8E8E3"/>
      <rgbColor rgb="FF808080"/>
      <rgbColor rgb="FF9999FF"/>
      <rgbColor rgb="FF993366"/>
      <rgbColor rgb="FFFFF3CD"/>
      <rgbColor rgb="FFD4EDE8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196B23"/>
      <rgbColor rgb="FF0000FF"/>
      <rgbColor rgb="FF00CCFF"/>
      <rgbColor rgb="FFD6E8F6"/>
      <rgbColor rgb="FFD6EDD6"/>
      <rgbColor rgb="FFF7F7F4"/>
      <rgbColor rgb="FFE8E6FA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A32D2D"/>
      <rgbColor rgb="FF993366"/>
      <rgbColor rgb="FF534AB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6B23"/>
  </sheetPr>
  <dimension ref="A1:G37"/>
  <sheetViews>
    <sheetView tabSelected="1" topLeftCell="A12" zoomScaleNormal="100" workbookViewId="0">
      <selection activeCell="F17" sqref="F17"/>
    </sheetView>
  </sheetViews>
  <sheetFormatPr defaultColWidth="8.703125" defaultRowHeight="14.35" x14ac:dyDescent="0.5"/>
  <cols>
    <col min="1" max="1" width="2" customWidth="1"/>
    <col min="2" max="2" width="30" customWidth="1"/>
    <col min="3" max="3" width="18.64453125" customWidth="1"/>
    <col min="4" max="6" width="18" customWidth="1"/>
    <col min="7" max="7" width="13.64453125" customWidth="1"/>
  </cols>
  <sheetData>
    <row r="1" spans="1:7" ht="13.5" customHeight="1" x14ac:dyDescent="0.5">
      <c r="A1" s="11"/>
      <c r="B1" s="12" t="s">
        <v>0</v>
      </c>
      <c r="C1" s="13"/>
      <c r="D1" s="13"/>
      <c r="E1" s="13"/>
      <c r="F1" s="13"/>
      <c r="G1" s="13"/>
    </row>
    <row r="2" spans="1:7" ht="25.5" customHeight="1" x14ac:dyDescent="0.5">
      <c r="A2" s="11"/>
      <c r="B2" s="14" t="s">
        <v>1</v>
      </c>
      <c r="C2" s="13"/>
      <c r="D2" s="13"/>
      <c r="E2" s="13"/>
      <c r="F2" s="13"/>
      <c r="G2" s="13"/>
    </row>
    <row r="3" spans="1:7" ht="13.5" customHeight="1" x14ac:dyDescent="0.5">
      <c r="A3" s="11"/>
      <c r="B3" s="15" t="s">
        <v>2</v>
      </c>
      <c r="C3" s="13"/>
      <c r="D3" s="13"/>
      <c r="E3" s="13"/>
      <c r="F3" s="13"/>
      <c r="G3" s="13"/>
    </row>
    <row r="4" spans="1:7" ht="13.5" customHeight="1" x14ac:dyDescent="0.5">
      <c r="A4" s="11"/>
      <c r="B4" s="16" t="s">
        <v>3</v>
      </c>
      <c r="C4" s="13"/>
      <c r="D4" s="13"/>
      <c r="E4" s="13"/>
      <c r="F4" s="13"/>
      <c r="G4" s="13"/>
    </row>
    <row r="5" spans="1:7" ht="13.5" customHeight="1" x14ac:dyDescent="0.5">
      <c r="A5" s="11"/>
      <c r="B5" s="17" t="s">
        <v>4</v>
      </c>
      <c r="C5" s="13"/>
      <c r="D5" s="13"/>
      <c r="E5" s="13"/>
      <c r="F5" s="13"/>
      <c r="G5" s="13"/>
    </row>
    <row r="6" spans="1:7" ht="13.5" customHeight="1" x14ac:dyDescent="0.5">
      <c r="A6" s="11"/>
      <c r="B6" s="17" t="s">
        <v>5</v>
      </c>
      <c r="C6" s="13"/>
      <c r="D6" s="13"/>
      <c r="E6" s="13"/>
      <c r="F6" s="13"/>
      <c r="G6" s="13"/>
    </row>
    <row r="8" spans="1:7" ht="15.75" customHeight="1" x14ac:dyDescent="0.5">
      <c r="A8" s="11"/>
      <c r="B8" s="18" t="s">
        <v>6</v>
      </c>
      <c r="C8" s="11"/>
      <c r="D8" s="11"/>
      <c r="E8" s="11"/>
      <c r="F8" s="11"/>
      <c r="G8" s="11"/>
    </row>
    <row r="9" spans="1:7" ht="15" customHeight="1" x14ac:dyDescent="0.5">
      <c r="B9" s="19" t="s">
        <v>7</v>
      </c>
      <c r="C9" s="20">
        <f>'Type D — 10 Units'!D6</f>
        <v>1350</v>
      </c>
    </row>
    <row r="10" spans="1:7" ht="15" customHeight="1" x14ac:dyDescent="0.5">
      <c r="B10" s="19" t="s">
        <v>8</v>
      </c>
      <c r="C10" s="21">
        <f>'Type D — 10 Units'!D8</f>
        <v>0</v>
      </c>
    </row>
    <row r="11" spans="1:7" ht="15" customHeight="1" x14ac:dyDescent="0.5">
      <c r="B11" s="19" t="s">
        <v>9</v>
      </c>
      <c r="C11" s="22">
        <f>'Type D — 10 Units'!D35</f>
        <v>31</v>
      </c>
    </row>
    <row r="12" spans="1:7" ht="15" customHeight="1" x14ac:dyDescent="0.5">
      <c r="B12" s="19" t="s">
        <v>10</v>
      </c>
      <c r="C12" s="21">
        <f>'Type D — 10 Units'!D26</f>
        <v>44775</v>
      </c>
    </row>
    <row r="13" spans="1:7" ht="15" customHeight="1" x14ac:dyDescent="0.5">
      <c r="B13" s="19" t="s">
        <v>11</v>
      </c>
      <c r="C13" s="22">
        <f>'Type D — 10 Units'!D38</f>
        <v>0</v>
      </c>
    </row>
    <row r="14" spans="1:7" ht="15" customHeight="1" x14ac:dyDescent="0.5">
      <c r="B14" s="19" t="s">
        <v>12</v>
      </c>
      <c r="C14" s="23" t="e">
        <f>'Type D — 10 Units'!D39</f>
        <v>#DIV/0!</v>
      </c>
    </row>
    <row r="15" spans="1:7" ht="15" customHeight="1" x14ac:dyDescent="0.5">
      <c r="B15" s="19" t="s">
        <v>13</v>
      </c>
      <c r="C15" s="24" t="s">
        <v>14</v>
      </c>
    </row>
    <row r="16" spans="1:7" ht="15" customHeight="1" x14ac:dyDescent="0.5">
      <c r="B16" s="19" t="s">
        <v>15</v>
      </c>
      <c r="C16" s="25" t="s">
        <v>16</v>
      </c>
    </row>
    <row r="17" spans="1:7" ht="15" customHeight="1" x14ac:dyDescent="0.5">
      <c r="B17" s="19" t="s">
        <v>17</v>
      </c>
      <c r="C17" s="22">
        <f>'Type D — 10 Units'!D11</f>
        <v>261127800000000</v>
      </c>
    </row>
    <row r="18" spans="1:7" ht="15" customHeight="1" x14ac:dyDescent="0.5">
      <c r="B18" s="19" t="s">
        <v>18</v>
      </c>
      <c r="C18" s="21">
        <f>'Type D — 10 Units'!D12</f>
        <v>0</v>
      </c>
    </row>
    <row r="21" spans="1:7" ht="15.75" customHeight="1" x14ac:dyDescent="0.5">
      <c r="A21" s="11"/>
      <c r="B21" s="18" t="s">
        <v>19</v>
      </c>
      <c r="C21" s="11"/>
      <c r="D21" s="11"/>
      <c r="E21" s="11"/>
      <c r="F21" s="11"/>
      <c r="G21" s="11"/>
    </row>
    <row r="22" spans="1:7" ht="15" customHeight="1" x14ac:dyDescent="0.5">
      <c r="B22" s="26" t="s">
        <v>20</v>
      </c>
      <c r="C22" s="26" t="s">
        <v>21</v>
      </c>
      <c r="D22" s="26" t="s">
        <v>22</v>
      </c>
      <c r="E22" s="26" t="s">
        <v>23</v>
      </c>
      <c r="F22" s="26" t="s">
        <v>24</v>
      </c>
      <c r="G22" s="26" t="s">
        <v>25</v>
      </c>
    </row>
    <row r="23" spans="1:7" ht="13.5" customHeight="1" x14ac:dyDescent="0.5">
      <c r="B23" s="27" t="s">
        <v>26</v>
      </c>
      <c r="C23" s="28" t="s">
        <v>27</v>
      </c>
      <c r="D23" s="28" t="s">
        <v>28</v>
      </c>
      <c r="E23" s="28" t="s">
        <v>29</v>
      </c>
      <c r="F23" s="28" t="s">
        <v>30</v>
      </c>
      <c r="G23" s="28" t="s">
        <v>31</v>
      </c>
    </row>
    <row r="24" spans="1:7" ht="13.5" customHeight="1" x14ac:dyDescent="0.5">
      <c r="B24" s="29" t="s">
        <v>32</v>
      </c>
      <c r="C24" s="30" t="s">
        <v>33</v>
      </c>
      <c r="D24" s="30" t="s">
        <v>34</v>
      </c>
      <c r="E24" s="30" t="s">
        <v>35</v>
      </c>
      <c r="F24" s="30" t="s">
        <v>30</v>
      </c>
      <c r="G24" s="30" t="s">
        <v>31</v>
      </c>
    </row>
    <row r="25" spans="1:7" ht="13.5" customHeight="1" x14ac:dyDescent="0.5">
      <c r="B25" s="31" t="s">
        <v>36</v>
      </c>
      <c r="C25" s="32" t="s">
        <v>37</v>
      </c>
      <c r="D25" s="32" t="s">
        <v>38</v>
      </c>
      <c r="E25" s="32" t="s">
        <v>39</v>
      </c>
      <c r="F25" s="32" t="s">
        <v>40</v>
      </c>
      <c r="G25" s="32" t="s">
        <v>41</v>
      </c>
    </row>
    <row r="26" spans="1:7" ht="13.5" customHeight="1" x14ac:dyDescent="0.5">
      <c r="B26" s="33" t="s">
        <v>42</v>
      </c>
      <c r="C26" s="34" t="s">
        <v>43</v>
      </c>
      <c r="D26" s="34" t="s">
        <v>44</v>
      </c>
      <c r="E26" s="34" t="s">
        <v>45</v>
      </c>
      <c r="F26" s="34" t="s">
        <v>46</v>
      </c>
      <c r="G26" s="34" t="s">
        <v>47</v>
      </c>
    </row>
    <row r="28" spans="1:7" ht="27.75" customHeight="1" x14ac:dyDescent="0.5">
      <c r="B28" s="10" t="s">
        <v>48</v>
      </c>
      <c r="C28" s="10"/>
      <c r="D28" s="10"/>
      <c r="E28" s="10"/>
      <c r="F28" s="10"/>
    </row>
    <row r="30" spans="1:7" ht="15.75" customHeight="1" x14ac:dyDescent="0.5">
      <c r="A30" s="11"/>
      <c r="B30" s="36" t="s">
        <v>49</v>
      </c>
      <c r="C30" s="11"/>
      <c r="D30" s="11"/>
      <c r="E30" s="11"/>
      <c r="F30" s="11"/>
      <c r="G30" s="11"/>
    </row>
    <row r="31" spans="1:7" ht="13.5" customHeight="1" x14ac:dyDescent="0.5">
      <c r="B31" s="37" t="s">
        <v>50</v>
      </c>
      <c r="C31" s="9" t="s">
        <v>51</v>
      </c>
      <c r="D31" s="9"/>
      <c r="E31" s="9"/>
      <c r="F31" s="9"/>
    </row>
    <row r="32" spans="1:7" ht="13.5" customHeight="1" x14ac:dyDescent="0.5">
      <c r="B32" s="38" t="s">
        <v>52</v>
      </c>
      <c r="C32" s="8" t="s">
        <v>53</v>
      </c>
      <c r="D32" s="8"/>
      <c r="E32" s="8"/>
      <c r="F32" s="8"/>
    </row>
    <row r="33" spans="2:6" ht="13.5" customHeight="1" x14ac:dyDescent="0.5">
      <c r="B33" s="37" t="s">
        <v>54</v>
      </c>
      <c r="C33" s="9" t="s">
        <v>55</v>
      </c>
      <c r="D33" s="9"/>
      <c r="E33" s="9"/>
      <c r="F33" s="9"/>
    </row>
    <row r="34" spans="2:6" ht="13.5" customHeight="1" x14ac:dyDescent="0.5">
      <c r="B34" s="38" t="s">
        <v>56</v>
      </c>
      <c r="C34" s="8" t="s">
        <v>57</v>
      </c>
      <c r="D34" s="8"/>
      <c r="E34" s="8"/>
      <c r="F34" s="8"/>
    </row>
    <row r="35" spans="2:6" ht="13.5" customHeight="1" x14ac:dyDescent="0.5">
      <c r="B35" s="37" t="s">
        <v>58</v>
      </c>
      <c r="C35" s="9" t="s">
        <v>59</v>
      </c>
      <c r="D35" s="9"/>
      <c r="E35" s="9"/>
      <c r="F35" s="9"/>
    </row>
    <row r="36" spans="2:6" ht="13.5" customHeight="1" x14ac:dyDescent="0.5">
      <c r="B36" s="38" t="s">
        <v>60</v>
      </c>
      <c r="C36" s="8" t="s">
        <v>61</v>
      </c>
      <c r="D36" s="8"/>
      <c r="E36" s="8"/>
      <c r="F36" s="8"/>
    </row>
    <row r="37" spans="2:6" ht="13.5" customHeight="1" x14ac:dyDescent="0.5">
      <c r="B37" s="37" t="s">
        <v>62</v>
      </c>
      <c r="C37" s="9" t="s">
        <v>63</v>
      </c>
      <c r="D37" s="9"/>
      <c r="E37" s="9"/>
      <c r="F37" s="9"/>
    </row>
  </sheetData>
  <mergeCells count="8">
    <mergeCell ref="C35:F35"/>
    <mergeCell ref="C36:F36"/>
    <mergeCell ref="C37:F37"/>
    <mergeCell ref="B28:F28"/>
    <mergeCell ref="C31:F31"/>
    <mergeCell ref="C32:F32"/>
    <mergeCell ref="C33:F33"/>
    <mergeCell ref="C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A7517"/>
  </sheetPr>
  <dimension ref="A1:E45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38" customWidth="1"/>
    <col min="3" max="3" width="16" customWidth="1"/>
    <col min="4" max="4" width="24" customWidth="1"/>
    <col min="5" max="5" width="2" customWidth="1"/>
  </cols>
  <sheetData>
    <row r="1" spans="1:5" ht="15" customHeight="1" x14ac:dyDescent="0.5">
      <c r="A1" s="11"/>
      <c r="B1" s="39" t="s">
        <v>64</v>
      </c>
      <c r="C1" s="13"/>
      <c r="D1" s="13"/>
      <c r="E1" s="13"/>
    </row>
    <row r="2" spans="1:5" ht="15" customHeight="1" x14ac:dyDescent="0.5">
      <c r="B2" s="7" t="s">
        <v>65</v>
      </c>
      <c r="C2" s="7"/>
      <c r="D2" s="7"/>
    </row>
    <row r="4" spans="1:5" ht="15.75" customHeight="1" x14ac:dyDescent="0.5">
      <c r="A4" s="11"/>
      <c r="B4" s="6" t="s">
        <v>66</v>
      </c>
      <c r="C4" s="6"/>
      <c r="D4" s="6"/>
      <c r="E4" s="11"/>
    </row>
    <row r="5" spans="1:5" ht="13.5" customHeight="1" x14ac:dyDescent="0.5">
      <c r="A5" s="40"/>
      <c r="B5" s="41" t="s">
        <v>67</v>
      </c>
      <c r="C5" s="42">
        <v>10.5</v>
      </c>
      <c r="D5" s="43" t="s">
        <v>68</v>
      </c>
    </row>
    <row r="6" spans="1:5" ht="13.5" customHeight="1" x14ac:dyDescent="0.5">
      <c r="A6" s="40"/>
      <c r="B6" s="41" t="s">
        <v>69</v>
      </c>
      <c r="C6" s="42">
        <v>5</v>
      </c>
      <c r="D6" s="43" t="s">
        <v>70</v>
      </c>
    </row>
    <row r="7" spans="1:5" ht="13.5" customHeight="1" x14ac:dyDescent="0.5">
      <c r="A7" s="40"/>
      <c r="B7" s="41" t="s">
        <v>71</v>
      </c>
      <c r="C7" s="42">
        <v>4</v>
      </c>
      <c r="D7" s="43" t="s">
        <v>72</v>
      </c>
    </row>
    <row r="8" spans="1:5" ht="13.5" customHeight="1" x14ac:dyDescent="0.5">
      <c r="A8" s="40"/>
      <c r="B8" s="41" t="s">
        <v>73</v>
      </c>
      <c r="C8" s="42">
        <v>5</v>
      </c>
      <c r="D8" s="43" t="s">
        <v>74</v>
      </c>
    </row>
    <row r="9" spans="1:5" ht="18" customHeight="1" x14ac:dyDescent="0.5">
      <c r="A9" s="11"/>
      <c r="B9" s="18" t="s">
        <v>75</v>
      </c>
      <c r="C9" s="11"/>
      <c r="D9" s="11"/>
      <c r="E9" s="11"/>
    </row>
    <row r="10" spans="1:5" ht="13.5" customHeight="1" x14ac:dyDescent="0.5">
      <c r="A10" s="44"/>
      <c r="B10" s="41" t="s">
        <v>76</v>
      </c>
      <c r="C10" s="45">
        <v>1</v>
      </c>
      <c r="D10" s="46" t="s">
        <v>77</v>
      </c>
    </row>
    <row r="11" spans="1:5" ht="13.5" customHeight="1" x14ac:dyDescent="0.5">
      <c r="A11" s="44"/>
      <c r="B11" s="41" t="s">
        <v>78</v>
      </c>
      <c r="C11" s="47">
        <v>5500</v>
      </c>
      <c r="D11" s="46" t="s">
        <v>79</v>
      </c>
    </row>
    <row r="12" spans="1:5" ht="13.5" customHeight="1" x14ac:dyDescent="0.5">
      <c r="A12" s="44"/>
      <c r="B12" s="41" t="s">
        <v>80</v>
      </c>
      <c r="C12" s="47">
        <v>3200</v>
      </c>
    </row>
    <row r="13" spans="1:5" ht="13.5" customHeight="1" x14ac:dyDescent="0.5">
      <c r="A13" s="44"/>
      <c r="B13" s="41" t="s">
        <v>81</v>
      </c>
      <c r="C13" s="47">
        <v>1800</v>
      </c>
      <c r="D13" s="46" t="s">
        <v>82</v>
      </c>
    </row>
    <row r="14" spans="1:5" ht="13.5" customHeight="1" x14ac:dyDescent="0.5">
      <c r="A14" s="44"/>
      <c r="B14" s="41" t="s">
        <v>83</v>
      </c>
      <c r="C14" s="47">
        <v>1800</v>
      </c>
      <c r="D14" s="46" t="s">
        <v>84</v>
      </c>
    </row>
    <row r="15" spans="1:5" ht="13.5" customHeight="1" x14ac:dyDescent="0.5">
      <c r="A15" s="44"/>
      <c r="B15" s="41" t="s">
        <v>85</v>
      </c>
      <c r="C15" s="47">
        <v>1200</v>
      </c>
      <c r="D15" s="46" t="s">
        <v>86</v>
      </c>
    </row>
    <row r="16" spans="1:5" ht="15.75" customHeight="1" x14ac:dyDescent="0.5">
      <c r="A16" s="44"/>
      <c r="B16" s="48" t="s">
        <v>87</v>
      </c>
      <c r="C16" s="22">
        <f>C11+IF(C10=1,C12,C13)+C14+C15</f>
        <v>11700</v>
      </c>
      <c r="D16" s="49" t="s">
        <v>88</v>
      </c>
    </row>
    <row r="17" spans="1:5" ht="13.5" customHeight="1" x14ac:dyDescent="0.5">
      <c r="A17" s="44"/>
      <c r="B17" s="50" t="s">
        <v>89</v>
      </c>
      <c r="C17" s="51">
        <v>3200</v>
      </c>
      <c r="D17" s="52" t="s">
        <v>90</v>
      </c>
    </row>
    <row r="18" spans="1:5" ht="13.5" customHeight="1" x14ac:dyDescent="0.5">
      <c r="A18" s="40"/>
      <c r="B18" s="41" t="s">
        <v>91</v>
      </c>
      <c r="C18" s="53">
        <v>0.08</v>
      </c>
      <c r="D18" s="43" t="s">
        <v>92</v>
      </c>
    </row>
    <row r="19" spans="1:5" ht="13.5" customHeight="1" x14ac:dyDescent="0.5"/>
    <row r="20" spans="1:5" ht="15" customHeight="1" x14ac:dyDescent="0.5">
      <c r="A20" s="11"/>
      <c r="B20" s="36" t="s">
        <v>93</v>
      </c>
      <c r="E20" s="11"/>
    </row>
    <row r="21" spans="1:5" ht="15.75" customHeight="1" x14ac:dyDescent="0.5">
      <c r="A21" s="40"/>
      <c r="B21" s="5" t="s">
        <v>94</v>
      </c>
      <c r="C21" s="5"/>
      <c r="D21" s="5"/>
    </row>
    <row r="22" spans="1:5" ht="13.5" customHeight="1" x14ac:dyDescent="0.5">
      <c r="A22" s="40"/>
      <c r="B22" s="41" t="s">
        <v>95</v>
      </c>
      <c r="C22" s="45">
        <v>31</v>
      </c>
      <c r="D22" s="43" t="s">
        <v>96</v>
      </c>
    </row>
    <row r="23" spans="1:5" ht="13.5" customHeight="1" x14ac:dyDescent="0.5">
      <c r="A23" s="40"/>
      <c r="B23" s="41" t="s">
        <v>97</v>
      </c>
      <c r="C23" s="53">
        <v>0.8</v>
      </c>
      <c r="D23" s="43" t="s">
        <v>98</v>
      </c>
    </row>
    <row r="24" spans="1:5" ht="13.5" customHeight="1" x14ac:dyDescent="0.5"/>
    <row r="25" spans="1:5" ht="15" customHeight="1" x14ac:dyDescent="0.5">
      <c r="A25" s="11"/>
      <c r="B25" s="36" t="s">
        <v>99</v>
      </c>
      <c r="E25" s="11"/>
    </row>
    <row r="26" spans="1:5" ht="15.75" customHeight="1" x14ac:dyDescent="0.5">
      <c r="A26" s="40"/>
      <c r="B26" s="5" t="s">
        <v>100</v>
      </c>
      <c r="C26" s="5"/>
      <c r="D26" s="5"/>
    </row>
    <row r="27" spans="1:5" ht="13.5" customHeight="1" x14ac:dyDescent="0.5">
      <c r="A27" s="40"/>
      <c r="B27" s="41" t="s">
        <v>101</v>
      </c>
      <c r="C27" s="42">
        <v>235000</v>
      </c>
      <c r="D27" s="43" t="s">
        <v>102</v>
      </c>
    </row>
    <row r="28" spans="1:5" ht="13.5" customHeight="1" x14ac:dyDescent="0.5"/>
    <row r="29" spans="1:5" ht="15" customHeight="1" x14ac:dyDescent="0.5">
      <c r="A29" s="11"/>
      <c r="B29" s="36" t="s">
        <v>103</v>
      </c>
      <c r="E29" s="11"/>
    </row>
    <row r="30" spans="1:5" ht="15.75" customHeight="1" x14ac:dyDescent="0.5">
      <c r="A30" s="40"/>
      <c r="B30" s="5" t="s">
        <v>104</v>
      </c>
      <c r="C30" s="5"/>
      <c r="D30" s="5"/>
    </row>
    <row r="31" spans="1:5" ht="13.5" customHeight="1" x14ac:dyDescent="0.5">
      <c r="A31" s="40"/>
      <c r="B31" s="41" t="s">
        <v>105</v>
      </c>
      <c r="C31" s="53">
        <v>0.45</v>
      </c>
      <c r="D31" s="43" t="s">
        <v>106</v>
      </c>
    </row>
    <row r="32" spans="1:5" ht="13.5" customHeight="1" x14ac:dyDescent="0.5">
      <c r="A32" s="40"/>
      <c r="B32" s="41" t="s">
        <v>107</v>
      </c>
      <c r="C32" s="53">
        <v>6.2E-2</v>
      </c>
      <c r="D32" s="43" t="s">
        <v>108</v>
      </c>
    </row>
    <row r="33" spans="1:5" ht="13.5" customHeight="1" x14ac:dyDescent="0.5"/>
    <row r="34" spans="1:5" ht="13.5" customHeight="1" x14ac:dyDescent="0.5">
      <c r="A34" s="11"/>
      <c r="B34" s="36" t="s">
        <v>109</v>
      </c>
      <c r="E34" s="11"/>
    </row>
    <row r="35" spans="1:5" ht="15" customHeight="1" x14ac:dyDescent="0.5">
      <c r="A35" s="40"/>
      <c r="B35" s="41" t="s">
        <v>110</v>
      </c>
      <c r="C35" s="42">
        <v>1</v>
      </c>
      <c r="D35" s="43" t="s">
        <v>111</v>
      </c>
    </row>
    <row r="36" spans="1:5" ht="15" customHeight="1" x14ac:dyDescent="0.5">
      <c r="A36" s="40"/>
      <c r="B36" s="41" t="s">
        <v>112</v>
      </c>
      <c r="C36" s="42">
        <v>0</v>
      </c>
      <c r="D36" s="43" t="s">
        <v>113</v>
      </c>
    </row>
    <row r="37" spans="1:5" ht="24" customHeight="1" x14ac:dyDescent="0.5">
      <c r="B37" s="4"/>
      <c r="C37" s="4"/>
      <c r="D37" s="4"/>
    </row>
    <row r="38" spans="1:5" ht="15" customHeight="1" x14ac:dyDescent="0.5">
      <c r="A38" s="11"/>
      <c r="B38" s="36" t="s">
        <v>114</v>
      </c>
      <c r="E38" s="11"/>
    </row>
    <row r="39" spans="1:5" ht="15" customHeight="1" x14ac:dyDescent="0.5">
      <c r="A39" s="40"/>
      <c r="B39" s="41" t="s">
        <v>115</v>
      </c>
      <c r="C39" s="42">
        <v>15000</v>
      </c>
      <c r="D39" s="43" t="s">
        <v>116</v>
      </c>
    </row>
    <row r="40" spans="1:5" ht="15" customHeight="1" x14ac:dyDescent="0.5">
      <c r="A40" s="40"/>
      <c r="B40" s="41" t="s">
        <v>117</v>
      </c>
      <c r="C40" s="42">
        <v>35000</v>
      </c>
      <c r="D40" s="43" t="s">
        <v>118</v>
      </c>
    </row>
    <row r="41" spans="1:5" ht="15" customHeight="1" x14ac:dyDescent="0.5">
      <c r="A41" s="40"/>
      <c r="B41" s="41" t="s">
        <v>119</v>
      </c>
      <c r="C41" s="42">
        <v>62000</v>
      </c>
      <c r="D41" s="43" t="s">
        <v>120</v>
      </c>
    </row>
    <row r="42" spans="1:5" ht="15" customHeight="1" x14ac:dyDescent="0.5">
      <c r="A42" s="40"/>
      <c r="B42" s="41" t="s">
        <v>121</v>
      </c>
      <c r="C42" s="42">
        <v>5000</v>
      </c>
      <c r="D42" s="43" t="s">
        <v>122</v>
      </c>
    </row>
    <row r="45" spans="1:5" ht="15" customHeight="1" x14ac:dyDescent="0.5">
      <c r="B45" s="35" t="s">
        <v>123</v>
      </c>
    </row>
  </sheetData>
  <mergeCells count="6">
    <mergeCell ref="B37:D37"/>
    <mergeCell ref="B2:D2"/>
    <mergeCell ref="B4:D4"/>
    <mergeCell ref="B21:D21"/>
    <mergeCell ref="B26:D26"/>
    <mergeCell ref="B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F39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38" customWidth="1"/>
    <col min="3" max="5" width="18" customWidth="1"/>
    <col min="6" max="6" width="2" customWidth="1"/>
  </cols>
  <sheetData>
    <row r="1" spans="1:6" ht="15" customHeight="1" x14ac:dyDescent="0.5">
      <c r="A1" s="11"/>
      <c r="B1" s="54" t="s">
        <v>124</v>
      </c>
      <c r="C1" s="13"/>
      <c r="D1" s="13"/>
      <c r="E1" s="13"/>
      <c r="F1" s="13"/>
    </row>
    <row r="2" spans="1:6" ht="15" customHeight="1" x14ac:dyDescent="0.5">
      <c r="A2" s="13"/>
      <c r="B2" s="3" t="s">
        <v>125</v>
      </c>
      <c r="C2" s="3"/>
      <c r="D2" s="3"/>
      <c r="E2" s="3"/>
      <c r="F2" s="13"/>
    </row>
    <row r="3" spans="1:6" ht="15" customHeight="1" x14ac:dyDescent="0.5">
      <c r="B3" s="56" t="s">
        <v>126</v>
      </c>
      <c r="C3" s="57" t="s">
        <v>127</v>
      </c>
      <c r="D3" s="58" t="s">
        <v>128</v>
      </c>
      <c r="E3" s="58" t="s">
        <v>129</v>
      </c>
    </row>
    <row r="4" spans="1:6" ht="18" customHeight="1" x14ac:dyDescent="0.5">
      <c r="A4" s="11"/>
      <c r="B4" s="18" t="s">
        <v>130</v>
      </c>
      <c r="C4" s="11"/>
      <c r="D4" s="11"/>
      <c r="E4" s="11"/>
    </row>
    <row r="5" spans="1:6" ht="15" customHeight="1" x14ac:dyDescent="0.5">
      <c r="B5" s="19" t="s">
        <v>131</v>
      </c>
      <c r="C5" s="45">
        <v>4</v>
      </c>
      <c r="D5" s="59">
        <v>4</v>
      </c>
    </row>
    <row r="6" spans="1:6" ht="15" customHeight="1" x14ac:dyDescent="0.5">
      <c r="B6" s="19" t="s">
        <v>132</v>
      </c>
      <c r="C6" s="60">
        <v>1050</v>
      </c>
      <c r="D6" s="61">
        <f>C6</f>
        <v>1050</v>
      </c>
      <c r="E6" s="61">
        <f>D6*C5</f>
        <v>4200</v>
      </c>
    </row>
    <row r="7" spans="1:6" ht="15" customHeight="1" x14ac:dyDescent="0.5">
      <c r="B7" s="19" t="s">
        <v>133</v>
      </c>
      <c r="C7" s="61">
        <f>Assumptions!C18</f>
        <v>0.08</v>
      </c>
      <c r="D7" s="61">
        <f>Assumptions!C18</f>
        <v>0.08</v>
      </c>
      <c r="E7" s="62">
        <f>D7*C5</f>
        <v>0.32</v>
      </c>
    </row>
    <row r="9" spans="1:6" ht="18" customHeight="1" x14ac:dyDescent="0.5">
      <c r="A9" s="11"/>
      <c r="B9" s="18" t="s">
        <v>134</v>
      </c>
      <c r="C9" s="11"/>
      <c r="D9" s="11"/>
      <c r="E9" s="11"/>
    </row>
    <row r="10" spans="1:6" ht="15" customHeight="1" x14ac:dyDescent="0.5">
      <c r="B10" s="19" t="s">
        <v>135</v>
      </c>
      <c r="C10" s="42">
        <v>180000</v>
      </c>
      <c r="D10" s="61">
        <f>C10/C5</f>
        <v>45000</v>
      </c>
      <c r="E10" s="62">
        <f>C10</f>
        <v>180000</v>
      </c>
    </row>
    <row r="11" spans="1:6" ht="15" customHeight="1" x14ac:dyDescent="0.5">
      <c r="B11" s="19" t="s">
        <v>136</v>
      </c>
      <c r="D11" s="63">
        <f>D25*Assumptions!C14</f>
        <v>218262600000000</v>
      </c>
      <c r="E11" s="63">
        <f>D11*C5</f>
        <v>873050400000000</v>
      </c>
    </row>
    <row r="12" spans="1:6" ht="15" customHeight="1" x14ac:dyDescent="0.5">
      <c r="B12" s="19" t="s">
        <v>137</v>
      </c>
      <c r="C12" s="64" t="s">
        <v>138</v>
      </c>
    </row>
    <row r="13" spans="1:6" ht="15" customHeight="1" x14ac:dyDescent="0.5">
      <c r="D13" s="64" t="s">
        <v>138</v>
      </c>
    </row>
    <row r="14" spans="1:6" ht="15" customHeight="1" x14ac:dyDescent="0.5">
      <c r="E14" s="64" t="s">
        <v>138</v>
      </c>
    </row>
    <row r="16" spans="1:6" ht="18" customHeight="1" x14ac:dyDescent="0.5">
      <c r="A16" s="11"/>
      <c r="B16" s="18" t="s">
        <v>139</v>
      </c>
      <c r="C16" s="11"/>
      <c r="D16" s="11"/>
      <c r="E16" s="11"/>
    </row>
    <row r="17" spans="1:6" ht="15" customHeight="1" x14ac:dyDescent="0.5">
      <c r="B17" s="19" t="s">
        <v>140</v>
      </c>
      <c r="C17" s="61">
        <f>Assumptions!C5</f>
        <v>10.5</v>
      </c>
      <c r="D17" s="62">
        <f>C6*Assumptions!C5</f>
        <v>11025</v>
      </c>
      <c r="E17" s="62">
        <f>D17*C5</f>
        <v>44100</v>
      </c>
    </row>
    <row r="18" spans="1:6" ht="15" customHeight="1" x14ac:dyDescent="0.5">
      <c r="B18" s="19" t="s">
        <v>141</v>
      </c>
      <c r="C18" s="61">
        <f>Assumptions!C6</f>
        <v>5</v>
      </c>
      <c r="D18" s="62">
        <f>C6*Assumptions!C6</f>
        <v>5250</v>
      </c>
      <c r="E18" s="62">
        <f>D18*C5</f>
        <v>21000</v>
      </c>
    </row>
    <row r="19" spans="1:6" ht="15" customHeight="1" x14ac:dyDescent="0.5">
      <c r="B19" s="19" t="s">
        <v>142</v>
      </c>
      <c r="C19" s="61">
        <f>Assumptions!C7</f>
        <v>4</v>
      </c>
      <c r="D19" s="62">
        <f>C6*Assumptions!C7</f>
        <v>4200</v>
      </c>
      <c r="E19" s="62">
        <f>D19*C5</f>
        <v>16800</v>
      </c>
    </row>
    <row r="20" spans="1:6" ht="15" customHeight="1" x14ac:dyDescent="0.5">
      <c r="B20" s="19" t="s">
        <v>143</v>
      </c>
      <c r="C20" s="61">
        <f>Assumptions!C8</f>
        <v>5</v>
      </c>
      <c r="D20" s="62">
        <f>C6*Assumptions!C8</f>
        <v>5250</v>
      </c>
      <c r="E20" s="62">
        <f>D20*C5</f>
        <v>21000</v>
      </c>
    </row>
    <row r="21" spans="1:6" ht="15" customHeight="1" x14ac:dyDescent="0.5">
      <c r="B21" s="41" t="s">
        <v>144</v>
      </c>
      <c r="C21" s="65">
        <f>Assumptions!C16</f>
        <v>11700</v>
      </c>
      <c r="D21" s="65">
        <f>Assumptions!C16</f>
        <v>11700</v>
      </c>
      <c r="E21" s="66">
        <f>Assumptions!C16*C6</f>
        <v>12285000</v>
      </c>
    </row>
    <row r="22" spans="1:6" ht="12.75" customHeight="1" x14ac:dyDescent="0.5">
      <c r="A22" s="40"/>
      <c r="B22" s="2" t="s">
        <v>145</v>
      </c>
      <c r="C22" s="2"/>
      <c r="D22" s="2"/>
      <c r="E22" s="2"/>
    </row>
    <row r="23" spans="1:6" ht="15" customHeight="1" x14ac:dyDescent="0.5">
      <c r="B23" s="48" t="s">
        <v>146</v>
      </c>
      <c r="D23" s="67">
        <f>SUM(D17:D21)</f>
        <v>37425</v>
      </c>
      <c r="E23" s="67">
        <f>SUM(E17:E21)</f>
        <v>12387900</v>
      </c>
    </row>
    <row r="24" spans="1:6" ht="15" customHeight="1" x14ac:dyDescent="0.5">
      <c r="B24" s="19" t="s">
        <v>147</v>
      </c>
      <c r="C24" s="61">
        <f>Assumptions!C18</f>
        <v>0.08</v>
      </c>
      <c r="D24" s="62">
        <f>D22*Assumptions!C18</f>
        <v>0</v>
      </c>
      <c r="E24" s="62">
        <f>E22*Assumptions!C18</f>
        <v>0</v>
      </c>
    </row>
    <row r="25" spans="1:6" ht="15" customHeight="1" x14ac:dyDescent="0.5">
      <c r="B25" s="19" t="s">
        <v>148</v>
      </c>
      <c r="D25" s="62">
        <f>(D22+D23)*(Assumptions!C13/Assumptions!C15)*Assumptions!C14*Assumptions!C15</f>
        <v>121257000000</v>
      </c>
      <c r="E25" s="62">
        <f>D24*C5</f>
        <v>0</v>
      </c>
    </row>
    <row r="26" spans="1:6" ht="15" customHeight="1" x14ac:dyDescent="0.5">
      <c r="A26" s="13"/>
      <c r="B26" s="68" t="s">
        <v>149</v>
      </c>
      <c r="C26" s="13"/>
      <c r="D26" s="69">
        <f>D22+D23+D24</f>
        <v>37425</v>
      </c>
      <c r="E26" s="69">
        <f>E22+E23+E24</f>
        <v>12387900</v>
      </c>
      <c r="F26" s="13"/>
    </row>
    <row r="27" spans="1:6" ht="18" customHeight="1" x14ac:dyDescent="0.5"/>
    <row r="28" spans="1:6" ht="15" customHeight="1" x14ac:dyDescent="0.5">
      <c r="A28" s="11"/>
      <c r="B28" s="18" t="s">
        <v>150</v>
      </c>
      <c r="C28" s="11"/>
      <c r="D28" s="11"/>
      <c r="E28" s="11"/>
    </row>
    <row r="29" spans="1:6" ht="15" customHeight="1" x14ac:dyDescent="0.5">
      <c r="B29" s="19" t="s">
        <v>151</v>
      </c>
      <c r="D29" s="61">
        <f>Assumptions!C18</f>
        <v>0.08</v>
      </c>
      <c r="E29" s="62">
        <f>D28*C5</f>
        <v>0</v>
      </c>
    </row>
    <row r="30" spans="1:6" ht="15" customHeight="1" x14ac:dyDescent="0.5">
      <c r="B30" s="19" t="s">
        <v>152</v>
      </c>
      <c r="D30" s="62">
        <f>D25</f>
        <v>121257000000</v>
      </c>
      <c r="E30" s="62">
        <f>E25</f>
        <v>0</v>
      </c>
    </row>
    <row r="31" spans="1:6" ht="15" customHeight="1" x14ac:dyDescent="0.5">
      <c r="A31" s="11"/>
      <c r="B31" s="18" t="s">
        <v>153</v>
      </c>
      <c r="C31" s="11"/>
      <c r="D31" s="70">
        <f>D28-D25</f>
        <v>-121257000000</v>
      </c>
      <c r="E31" s="70">
        <f>E28-E25</f>
        <v>0</v>
      </c>
      <c r="F31" s="11"/>
    </row>
    <row r="32" spans="1:6" ht="15" customHeight="1" x14ac:dyDescent="0.5">
      <c r="B32" s="19" t="s">
        <v>154</v>
      </c>
      <c r="D32" s="71" t="e">
        <f>D30/D28</f>
        <v>#DIV/0!</v>
      </c>
      <c r="E32" s="71" t="e">
        <f>E30/E28</f>
        <v>#DIV/0!</v>
      </c>
    </row>
    <row r="33" spans="1:5" ht="18" customHeight="1" x14ac:dyDescent="0.5"/>
    <row r="34" spans="1:5" ht="15" customHeight="1" x14ac:dyDescent="0.5">
      <c r="A34" s="11"/>
      <c r="B34" s="18" t="s">
        <v>155</v>
      </c>
      <c r="C34" s="11"/>
      <c r="D34" s="11"/>
      <c r="E34" s="11"/>
    </row>
    <row r="35" spans="1:5" ht="15" customHeight="1" x14ac:dyDescent="0.5">
      <c r="B35" s="19" t="s">
        <v>104</v>
      </c>
      <c r="D35" s="61">
        <f>Assumptions!C22</f>
        <v>31</v>
      </c>
      <c r="E35" s="62">
        <f>D34*C5</f>
        <v>0</v>
      </c>
    </row>
    <row r="36" spans="1:5" ht="15" customHeight="1" x14ac:dyDescent="0.5">
      <c r="B36" s="19" t="s">
        <v>156</v>
      </c>
      <c r="D36" s="62">
        <f>D34*12</f>
        <v>0</v>
      </c>
      <c r="E36" s="62">
        <f>E34*12</f>
        <v>0</v>
      </c>
    </row>
    <row r="37" spans="1:5" ht="15" customHeight="1" x14ac:dyDescent="0.5">
      <c r="B37" s="19" t="s">
        <v>157</v>
      </c>
      <c r="D37" s="62">
        <f>D35*(1-Assumptions!C23)</f>
        <v>6.1999999999999984</v>
      </c>
      <c r="E37" s="62">
        <f>E35*(1-Assumptions!C23)</f>
        <v>0</v>
      </c>
    </row>
    <row r="38" spans="1:5" ht="15" customHeight="1" x14ac:dyDescent="0.5">
      <c r="B38" s="19" t="s">
        <v>158</v>
      </c>
      <c r="D38" s="72">
        <f>Assumptions!C24</f>
        <v>0</v>
      </c>
    </row>
    <row r="39" spans="1:5" ht="15" customHeight="1" x14ac:dyDescent="0.5">
      <c r="B39" s="73" t="s">
        <v>159</v>
      </c>
      <c r="D39" s="67" t="e">
        <f>D36/Assumptions!C24</f>
        <v>#DIV/0!</v>
      </c>
      <c r="E39" s="67" t="e">
        <f>E36/Assumptions!C24</f>
        <v>#DIV/0!</v>
      </c>
    </row>
  </sheetData>
  <mergeCells count="2">
    <mergeCell ref="B2:E2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96B23"/>
  </sheetPr>
  <dimension ref="A1:F39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38" customWidth="1"/>
    <col min="3" max="5" width="18" customWidth="1"/>
    <col min="6" max="6" width="2" customWidth="1"/>
  </cols>
  <sheetData>
    <row r="1" spans="1:6" ht="15" customHeight="1" x14ac:dyDescent="0.5">
      <c r="A1" s="11"/>
      <c r="B1" s="54" t="s">
        <v>160</v>
      </c>
      <c r="C1" s="13"/>
      <c r="D1" s="13"/>
      <c r="E1" s="13"/>
      <c r="F1" s="13"/>
    </row>
    <row r="2" spans="1:6" ht="15" customHeight="1" x14ac:dyDescent="0.5">
      <c r="A2" s="13"/>
      <c r="B2" s="3" t="s">
        <v>161</v>
      </c>
      <c r="C2" s="3"/>
      <c r="D2" s="3"/>
      <c r="E2" s="3"/>
      <c r="F2" s="13"/>
    </row>
    <row r="3" spans="1:6" ht="15" customHeight="1" x14ac:dyDescent="0.5">
      <c r="B3" s="56" t="s">
        <v>126</v>
      </c>
      <c r="C3" s="57" t="s">
        <v>127</v>
      </c>
      <c r="D3" s="58" t="s">
        <v>128</v>
      </c>
      <c r="E3" s="58" t="s">
        <v>162</v>
      </c>
    </row>
    <row r="4" spans="1:6" ht="18" customHeight="1" x14ac:dyDescent="0.5">
      <c r="A4" s="11"/>
      <c r="B4" s="18" t="s">
        <v>130</v>
      </c>
      <c r="C4" s="11"/>
      <c r="D4" s="11"/>
      <c r="E4" s="11"/>
    </row>
    <row r="5" spans="1:6" ht="15" customHeight="1" x14ac:dyDescent="0.5">
      <c r="B5" s="19" t="s">
        <v>131</v>
      </c>
      <c r="C5" s="45">
        <v>10</v>
      </c>
      <c r="D5" s="59">
        <v>10</v>
      </c>
    </row>
    <row r="6" spans="1:6" ht="15" customHeight="1" x14ac:dyDescent="0.5">
      <c r="B6" s="19" t="s">
        <v>132</v>
      </c>
      <c r="C6" s="60">
        <v>1350</v>
      </c>
      <c r="D6" s="61">
        <f>C6</f>
        <v>1350</v>
      </c>
      <c r="E6" s="61">
        <f>D6*C5</f>
        <v>13500</v>
      </c>
    </row>
    <row r="7" spans="1:6" ht="15" customHeight="1" x14ac:dyDescent="0.5">
      <c r="B7" s="19" t="s">
        <v>133</v>
      </c>
      <c r="C7" s="61">
        <f>Assumptions!C19</f>
        <v>0</v>
      </c>
      <c r="D7" s="61">
        <f>Assumptions!C19</f>
        <v>0</v>
      </c>
      <c r="E7" s="62">
        <f>D7*C5</f>
        <v>0</v>
      </c>
    </row>
    <row r="9" spans="1:6" ht="18" customHeight="1" x14ac:dyDescent="0.5">
      <c r="A9" s="11"/>
      <c r="B9" s="18" t="s">
        <v>134</v>
      </c>
      <c r="C9" s="11"/>
      <c r="D9" s="11"/>
      <c r="E9" s="11"/>
    </row>
    <row r="10" spans="1:6" ht="15" customHeight="1" x14ac:dyDescent="0.5">
      <c r="B10" s="19" t="s">
        <v>135</v>
      </c>
      <c r="C10" s="42">
        <v>500000</v>
      </c>
      <c r="D10" s="61">
        <f>C10/C5</f>
        <v>50000</v>
      </c>
      <c r="E10" s="62">
        <f>C10</f>
        <v>500000</v>
      </c>
    </row>
    <row r="11" spans="1:6" ht="15" customHeight="1" x14ac:dyDescent="0.5">
      <c r="B11" s="19" t="s">
        <v>136</v>
      </c>
      <c r="D11" s="63">
        <f>D25*Assumptions!C14</f>
        <v>261127800000000</v>
      </c>
      <c r="E11" s="63">
        <f>D11*C5</f>
        <v>2611278000000000</v>
      </c>
    </row>
    <row r="12" spans="1:6" ht="15" customHeight="1" x14ac:dyDescent="0.5">
      <c r="B12" s="19" t="s">
        <v>163</v>
      </c>
      <c r="C12" s="64" t="s">
        <v>138</v>
      </c>
    </row>
    <row r="13" spans="1:6" ht="15" customHeight="1" x14ac:dyDescent="0.5">
      <c r="D13" s="64" t="s">
        <v>138</v>
      </c>
    </row>
    <row r="14" spans="1:6" ht="15" customHeight="1" x14ac:dyDescent="0.5">
      <c r="E14" s="64" t="s">
        <v>138</v>
      </c>
    </row>
    <row r="16" spans="1:6" ht="18" customHeight="1" x14ac:dyDescent="0.5">
      <c r="A16" s="11"/>
      <c r="B16" s="18" t="s">
        <v>164</v>
      </c>
      <c r="C16" s="11"/>
      <c r="D16" s="11"/>
      <c r="E16" s="11"/>
    </row>
    <row r="17" spans="1:6" ht="15" customHeight="1" x14ac:dyDescent="0.5">
      <c r="B17" s="19" t="s">
        <v>165</v>
      </c>
      <c r="C17" s="61">
        <f>Assumptions!C5</f>
        <v>10.5</v>
      </c>
      <c r="D17" s="62">
        <f>C6*Assumptions!C5</f>
        <v>14175</v>
      </c>
      <c r="E17" s="62">
        <f>D17*C5</f>
        <v>141750</v>
      </c>
    </row>
    <row r="18" spans="1:6" ht="15" customHeight="1" x14ac:dyDescent="0.5">
      <c r="B18" s="19" t="s">
        <v>141</v>
      </c>
      <c r="C18" s="61">
        <f>Assumptions!C6</f>
        <v>5</v>
      </c>
      <c r="D18" s="62">
        <f>C6*Assumptions!C6</f>
        <v>6750</v>
      </c>
      <c r="E18" s="62">
        <f>D18*C5</f>
        <v>67500</v>
      </c>
    </row>
    <row r="19" spans="1:6" ht="15" customHeight="1" x14ac:dyDescent="0.5">
      <c r="B19" s="19" t="s">
        <v>166</v>
      </c>
      <c r="C19" s="61">
        <f>Assumptions!C7</f>
        <v>4</v>
      </c>
      <c r="D19" s="62">
        <f>C6*Assumptions!C7</f>
        <v>5400</v>
      </c>
      <c r="E19" s="62">
        <f>D19*C5</f>
        <v>54000</v>
      </c>
    </row>
    <row r="20" spans="1:6" ht="15" customHeight="1" x14ac:dyDescent="0.5">
      <c r="B20" s="19" t="s">
        <v>143</v>
      </c>
      <c r="C20" s="61">
        <f>Assumptions!C8</f>
        <v>5</v>
      </c>
      <c r="D20" s="62">
        <f>C6*Assumptions!C8</f>
        <v>6750</v>
      </c>
      <c r="E20" s="62">
        <f>D20*C5</f>
        <v>67500</v>
      </c>
    </row>
    <row r="21" spans="1:6" ht="15" customHeight="1" x14ac:dyDescent="0.5">
      <c r="B21" s="41" t="s">
        <v>144</v>
      </c>
      <c r="C21" s="65">
        <f>Assumptions!C16</f>
        <v>11700</v>
      </c>
      <c r="D21" s="65">
        <f>Assumptions!C16</f>
        <v>11700</v>
      </c>
      <c r="E21" s="66">
        <f>Assumptions!C16*C6</f>
        <v>15795000</v>
      </c>
    </row>
    <row r="22" spans="1:6" ht="12.75" customHeight="1" x14ac:dyDescent="0.5">
      <c r="A22" s="40"/>
      <c r="B22" s="2" t="s">
        <v>145</v>
      </c>
      <c r="C22" s="2"/>
      <c r="D22" s="2"/>
      <c r="E22" s="2"/>
    </row>
    <row r="23" spans="1:6" ht="15" customHeight="1" x14ac:dyDescent="0.5">
      <c r="B23" s="48" t="s">
        <v>146</v>
      </c>
      <c r="D23" s="67">
        <f>SUM(D17:D21)</f>
        <v>44775</v>
      </c>
      <c r="E23" s="67">
        <f>SUM(E17:E21)</f>
        <v>16125750</v>
      </c>
    </row>
    <row r="24" spans="1:6" ht="15" customHeight="1" x14ac:dyDescent="0.5">
      <c r="B24" s="19" t="s">
        <v>147</v>
      </c>
      <c r="C24" s="61">
        <f>Assumptions!C18</f>
        <v>0.08</v>
      </c>
      <c r="D24" s="62">
        <f>D22*Assumptions!C18</f>
        <v>0</v>
      </c>
      <c r="E24" s="62">
        <f>E22*Assumptions!C18</f>
        <v>0</v>
      </c>
    </row>
    <row r="25" spans="1:6" ht="15" customHeight="1" x14ac:dyDescent="0.5">
      <c r="B25" s="19" t="s">
        <v>148</v>
      </c>
      <c r="D25" s="62">
        <f>(D22+D23)*(Assumptions!C13/Assumptions!C15)*Assumptions!C14*Assumptions!C15</f>
        <v>145071000000</v>
      </c>
      <c r="E25" s="62">
        <f>D24*C5</f>
        <v>0</v>
      </c>
    </row>
    <row r="26" spans="1:6" ht="15" customHeight="1" x14ac:dyDescent="0.5">
      <c r="A26" s="13"/>
      <c r="B26" s="68" t="s">
        <v>149</v>
      </c>
      <c r="C26" s="13"/>
      <c r="D26" s="69">
        <f>D22+D23+D24</f>
        <v>44775</v>
      </c>
      <c r="E26" s="69">
        <f>E22+E23+E24</f>
        <v>16125750</v>
      </c>
      <c r="F26" s="13"/>
    </row>
    <row r="27" spans="1:6" ht="18" customHeight="1" x14ac:dyDescent="0.5"/>
    <row r="28" spans="1:6" ht="15" customHeight="1" x14ac:dyDescent="0.5">
      <c r="A28" s="11"/>
      <c r="B28" s="18" t="s">
        <v>150</v>
      </c>
      <c r="C28" s="11"/>
      <c r="D28" s="11"/>
      <c r="E28" s="11"/>
    </row>
    <row r="29" spans="1:6" ht="15" customHeight="1" x14ac:dyDescent="0.5">
      <c r="B29" s="19" t="s">
        <v>151</v>
      </c>
      <c r="D29" s="61">
        <f>Assumptions!C19</f>
        <v>0</v>
      </c>
      <c r="E29" s="62">
        <f>D28*C5</f>
        <v>0</v>
      </c>
    </row>
    <row r="30" spans="1:6" ht="15" customHeight="1" x14ac:dyDescent="0.5">
      <c r="B30" s="19" t="s">
        <v>152</v>
      </c>
      <c r="D30" s="62">
        <f>D25</f>
        <v>145071000000</v>
      </c>
      <c r="E30" s="62">
        <f>E25</f>
        <v>0</v>
      </c>
    </row>
    <row r="31" spans="1:6" ht="15" customHeight="1" x14ac:dyDescent="0.5">
      <c r="A31" s="11"/>
      <c r="B31" s="18" t="s">
        <v>153</v>
      </c>
      <c r="C31" s="11"/>
      <c r="D31" s="70">
        <f>D28-D25</f>
        <v>-145071000000</v>
      </c>
      <c r="E31" s="70">
        <f>E28-E25</f>
        <v>0</v>
      </c>
      <c r="F31" s="11"/>
    </row>
    <row r="32" spans="1:6" ht="15" customHeight="1" x14ac:dyDescent="0.5">
      <c r="B32" s="19" t="s">
        <v>154</v>
      </c>
      <c r="D32" s="71" t="e">
        <f>D30/D28</f>
        <v>#DIV/0!</v>
      </c>
      <c r="E32" s="71" t="e">
        <f>E30/E28</f>
        <v>#DIV/0!</v>
      </c>
    </row>
    <row r="33" spans="1:5" ht="18" customHeight="1" x14ac:dyDescent="0.5"/>
    <row r="34" spans="1:5" ht="15" customHeight="1" x14ac:dyDescent="0.5">
      <c r="A34" s="11"/>
      <c r="B34" s="18" t="s">
        <v>155</v>
      </c>
      <c r="C34" s="11"/>
      <c r="D34" s="11"/>
      <c r="E34" s="11"/>
    </row>
    <row r="35" spans="1:5" ht="15" customHeight="1" x14ac:dyDescent="0.5">
      <c r="B35" s="19" t="s">
        <v>104</v>
      </c>
      <c r="D35" s="61">
        <f>Assumptions!C22</f>
        <v>31</v>
      </c>
      <c r="E35" s="62">
        <f>D34*C5</f>
        <v>0</v>
      </c>
    </row>
    <row r="36" spans="1:5" ht="15" customHeight="1" x14ac:dyDescent="0.5">
      <c r="B36" s="19" t="s">
        <v>156</v>
      </c>
      <c r="D36" s="62">
        <f>D34*12</f>
        <v>0</v>
      </c>
      <c r="E36" s="62">
        <f>E34*12</f>
        <v>0</v>
      </c>
    </row>
    <row r="37" spans="1:5" ht="15" customHeight="1" x14ac:dyDescent="0.5">
      <c r="B37" s="19" t="s">
        <v>167</v>
      </c>
      <c r="D37" s="62">
        <f>D35*(1-Assumptions!C23)</f>
        <v>6.1999999999999984</v>
      </c>
      <c r="E37" s="62">
        <f>E35*(1-Assumptions!C23)</f>
        <v>0</v>
      </c>
    </row>
    <row r="38" spans="1:5" ht="15" customHeight="1" x14ac:dyDescent="0.5">
      <c r="B38" s="19" t="s">
        <v>158</v>
      </c>
      <c r="D38" s="72">
        <f>Assumptions!C24</f>
        <v>0</v>
      </c>
    </row>
    <row r="39" spans="1:5" ht="15" customHeight="1" x14ac:dyDescent="0.5">
      <c r="B39" s="73" t="s">
        <v>168</v>
      </c>
      <c r="D39" s="67" t="e">
        <f>D36/Assumptions!C24</f>
        <v>#DIV/0!</v>
      </c>
      <c r="E39" s="67" t="e">
        <f>E36/Assumptions!C24</f>
        <v>#DIV/0!</v>
      </c>
    </row>
  </sheetData>
  <mergeCells count="2">
    <mergeCell ref="B2:E2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34AB7"/>
  </sheetPr>
  <dimension ref="A1:G34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36" customWidth="1"/>
    <col min="3" max="6" width="14" customWidth="1"/>
    <col min="7" max="7" width="2" customWidth="1"/>
  </cols>
  <sheetData>
    <row r="1" spans="1:7" ht="15" customHeight="1" x14ac:dyDescent="0.5">
      <c r="A1" s="11"/>
      <c r="B1" s="54" t="s">
        <v>169</v>
      </c>
      <c r="C1" s="13"/>
      <c r="D1" s="13"/>
      <c r="E1" s="13"/>
      <c r="F1" s="13"/>
      <c r="G1" s="13"/>
    </row>
    <row r="2" spans="1:7" ht="15" customHeight="1" x14ac:dyDescent="0.5">
      <c r="A2" s="13"/>
      <c r="B2" s="55" t="s">
        <v>170</v>
      </c>
      <c r="C2" s="13"/>
      <c r="D2" s="13"/>
      <c r="E2" s="13"/>
      <c r="F2" s="13"/>
      <c r="G2" s="13"/>
    </row>
    <row r="3" spans="1:7" ht="15" customHeight="1" x14ac:dyDescent="0.5">
      <c r="B3" s="57" t="s">
        <v>171</v>
      </c>
      <c r="C3" s="57" t="s">
        <v>172</v>
      </c>
      <c r="D3" s="74" t="s">
        <v>173</v>
      </c>
      <c r="E3" s="75" t="s">
        <v>174</v>
      </c>
      <c r="F3" s="76" t="s">
        <v>175</v>
      </c>
    </row>
    <row r="4" spans="1:7" ht="13.5" customHeight="1" x14ac:dyDescent="0.5">
      <c r="B4" s="41" t="s">
        <v>176</v>
      </c>
      <c r="C4" s="77" t="s">
        <v>177</v>
      </c>
      <c r="D4" s="78" t="s">
        <v>177</v>
      </c>
      <c r="E4" s="79" t="s">
        <v>177</v>
      </c>
      <c r="F4" s="80" t="s">
        <v>177</v>
      </c>
    </row>
    <row r="5" spans="1:7" ht="13.5" customHeight="1" x14ac:dyDescent="0.5">
      <c r="B5" s="81" t="s">
        <v>178</v>
      </c>
      <c r="C5" s="82" t="s">
        <v>179</v>
      </c>
      <c r="D5" s="83" t="s">
        <v>180</v>
      </c>
      <c r="E5" s="84" t="s">
        <v>180</v>
      </c>
      <c r="F5" s="85" t="s">
        <v>180</v>
      </c>
    </row>
    <row r="6" spans="1:7" ht="13.5" customHeight="1" x14ac:dyDescent="0.5">
      <c r="B6" s="41" t="s">
        <v>181</v>
      </c>
      <c r="C6" s="77" t="s">
        <v>182</v>
      </c>
      <c r="D6" s="78" t="s">
        <v>183</v>
      </c>
      <c r="E6" s="79" t="s">
        <v>183</v>
      </c>
      <c r="F6" s="80" t="s">
        <v>183</v>
      </c>
    </row>
    <row r="7" spans="1:7" ht="13.5" customHeight="1" x14ac:dyDescent="0.5">
      <c r="B7" s="81" t="s">
        <v>184</v>
      </c>
      <c r="C7" s="82" t="s">
        <v>31</v>
      </c>
      <c r="D7" s="83" t="s">
        <v>31</v>
      </c>
      <c r="E7" s="84" t="s">
        <v>185</v>
      </c>
      <c r="F7" s="85" t="s">
        <v>185</v>
      </c>
    </row>
    <row r="8" spans="1:7" ht="13.5" customHeight="1" x14ac:dyDescent="0.5">
      <c r="B8" s="41" t="s">
        <v>186</v>
      </c>
      <c r="C8" s="77" t="s">
        <v>187</v>
      </c>
      <c r="D8" s="78" t="s">
        <v>187</v>
      </c>
      <c r="E8" s="79" t="s">
        <v>187</v>
      </c>
      <c r="F8" s="80" t="s">
        <v>187</v>
      </c>
    </row>
    <row r="9" spans="1:7" ht="13.5" customHeight="1" x14ac:dyDescent="0.5">
      <c r="B9" s="81" t="s">
        <v>188</v>
      </c>
      <c r="C9" s="82" t="s">
        <v>29</v>
      </c>
      <c r="D9" s="83" t="s">
        <v>189</v>
      </c>
      <c r="E9" s="84" t="s">
        <v>190</v>
      </c>
      <c r="F9" s="85" t="s">
        <v>190</v>
      </c>
    </row>
    <row r="10" spans="1:7" ht="13.5" customHeight="1" x14ac:dyDescent="0.5">
      <c r="B10" s="41" t="s">
        <v>191</v>
      </c>
      <c r="C10" s="77" t="s">
        <v>192</v>
      </c>
      <c r="D10" s="78" t="s">
        <v>193</v>
      </c>
      <c r="E10" s="79" t="s">
        <v>194</v>
      </c>
      <c r="F10" s="80" t="s">
        <v>194</v>
      </c>
    </row>
    <row r="11" spans="1:7" ht="13.5" customHeight="1" x14ac:dyDescent="0.5">
      <c r="B11" s="81" t="s">
        <v>195</v>
      </c>
      <c r="C11" s="82" t="s">
        <v>31</v>
      </c>
      <c r="D11" s="83" t="s">
        <v>190</v>
      </c>
      <c r="E11" s="84" t="s">
        <v>196</v>
      </c>
      <c r="F11" s="85" t="s">
        <v>196</v>
      </c>
    </row>
    <row r="12" spans="1:7" ht="13.5" customHeight="1" x14ac:dyDescent="0.5">
      <c r="B12" s="41" t="s">
        <v>197</v>
      </c>
      <c r="C12" s="77" t="s">
        <v>198</v>
      </c>
      <c r="D12" s="78" t="s">
        <v>199</v>
      </c>
      <c r="E12" s="79" t="s">
        <v>31</v>
      </c>
      <c r="F12" s="80" t="s">
        <v>200</v>
      </c>
    </row>
    <row r="13" spans="1:7" ht="13.5" customHeight="1" x14ac:dyDescent="0.5">
      <c r="B13" s="81" t="s">
        <v>201</v>
      </c>
      <c r="C13" s="82" t="s">
        <v>31</v>
      </c>
      <c r="D13" s="83" t="s">
        <v>31</v>
      </c>
      <c r="E13" s="84" t="s">
        <v>202</v>
      </c>
      <c r="F13" s="85" t="s">
        <v>31</v>
      </c>
    </row>
    <row r="14" spans="1:7" ht="13.5" customHeight="1" x14ac:dyDescent="0.5">
      <c r="B14" s="41" t="s">
        <v>203</v>
      </c>
      <c r="C14" s="77" t="s">
        <v>31</v>
      </c>
      <c r="D14" s="78" t="s">
        <v>31</v>
      </c>
      <c r="E14" s="79" t="s">
        <v>204</v>
      </c>
      <c r="F14" s="80" t="s">
        <v>31</v>
      </c>
    </row>
    <row r="15" spans="1:7" ht="13.5" customHeight="1" x14ac:dyDescent="0.5">
      <c r="B15" s="81" t="s">
        <v>205</v>
      </c>
      <c r="C15" s="82" t="s">
        <v>31</v>
      </c>
      <c r="D15" s="83" t="s">
        <v>206</v>
      </c>
      <c r="E15" s="84" t="s">
        <v>206</v>
      </c>
      <c r="F15" s="85" t="s">
        <v>206</v>
      </c>
    </row>
    <row r="16" spans="1:7" ht="13.5" customHeight="1" x14ac:dyDescent="0.5">
      <c r="B16" s="41" t="s">
        <v>207</v>
      </c>
      <c r="C16" s="77" t="s">
        <v>31</v>
      </c>
      <c r="D16" s="78" t="s">
        <v>208</v>
      </c>
      <c r="E16" s="79" t="s">
        <v>208</v>
      </c>
      <c r="F16" s="80" t="s">
        <v>208</v>
      </c>
    </row>
    <row r="17" spans="1:7" ht="13.5" customHeight="1" x14ac:dyDescent="0.5">
      <c r="B17" s="81" t="s">
        <v>209</v>
      </c>
      <c r="C17" s="82" t="s">
        <v>210</v>
      </c>
      <c r="D17" s="83" t="s">
        <v>211</v>
      </c>
      <c r="E17" s="84" t="s">
        <v>211</v>
      </c>
      <c r="F17" s="85" t="s">
        <v>212</v>
      </c>
    </row>
    <row r="18" spans="1:7" ht="13.5" customHeight="1" x14ac:dyDescent="0.5">
      <c r="B18" s="41" t="s">
        <v>213</v>
      </c>
      <c r="C18" s="77" t="s">
        <v>214</v>
      </c>
      <c r="D18" s="78" t="s">
        <v>215</v>
      </c>
      <c r="E18" s="79" t="s">
        <v>216</v>
      </c>
      <c r="F18" s="80" t="s">
        <v>217</v>
      </c>
    </row>
    <row r="19" spans="1:7" ht="13.5" customHeight="1" x14ac:dyDescent="0.5">
      <c r="B19" s="81" t="s">
        <v>218</v>
      </c>
      <c r="C19" s="82" t="s">
        <v>31</v>
      </c>
      <c r="D19" s="83" t="s">
        <v>219</v>
      </c>
      <c r="E19" s="84" t="s">
        <v>219</v>
      </c>
      <c r="F19" s="85" t="s">
        <v>31</v>
      </c>
    </row>
    <row r="20" spans="1:7" ht="13.5" customHeight="1" x14ac:dyDescent="0.5">
      <c r="B20" s="41" t="s">
        <v>220</v>
      </c>
      <c r="C20" s="77" t="s">
        <v>31</v>
      </c>
      <c r="D20" s="78" t="s">
        <v>31</v>
      </c>
      <c r="E20" s="79" t="s">
        <v>31</v>
      </c>
      <c r="F20" s="80" t="s">
        <v>221</v>
      </c>
    </row>
    <row r="21" spans="1:7" ht="13.5" customHeight="1" x14ac:dyDescent="0.5">
      <c r="B21" s="81" t="s">
        <v>222</v>
      </c>
      <c r="C21" s="82" t="s">
        <v>223</v>
      </c>
      <c r="D21" s="83" t="s">
        <v>224</v>
      </c>
      <c r="E21" s="84" t="s">
        <v>31</v>
      </c>
      <c r="F21" s="85" t="s">
        <v>31</v>
      </c>
    </row>
    <row r="22" spans="1:7" ht="13.5" customHeight="1" x14ac:dyDescent="0.5">
      <c r="B22" s="41" t="s">
        <v>225</v>
      </c>
      <c r="C22" s="77" t="s">
        <v>31</v>
      </c>
      <c r="D22" s="78" t="s">
        <v>31</v>
      </c>
      <c r="E22" s="79" t="s">
        <v>226</v>
      </c>
      <c r="F22" s="80" t="s">
        <v>31</v>
      </c>
    </row>
    <row r="23" spans="1:7" ht="13.5" customHeight="1" x14ac:dyDescent="0.5">
      <c r="B23" s="81" t="s">
        <v>227</v>
      </c>
      <c r="C23" s="82" t="s">
        <v>31</v>
      </c>
      <c r="D23" s="83" t="s">
        <v>31</v>
      </c>
      <c r="E23" s="84" t="s">
        <v>31</v>
      </c>
      <c r="F23" s="85" t="s">
        <v>221</v>
      </c>
    </row>
    <row r="24" spans="1:7" ht="13.5" customHeight="1" x14ac:dyDescent="0.5">
      <c r="B24" s="41" t="s">
        <v>228</v>
      </c>
      <c r="C24" s="77" t="s">
        <v>31</v>
      </c>
      <c r="D24" s="78" t="s">
        <v>31</v>
      </c>
      <c r="E24" s="79" t="s">
        <v>229</v>
      </c>
      <c r="F24" s="80" t="s">
        <v>230</v>
      </c>
    </row>
    <row r="25" spans="1:7" ht="13.5" customHeight="1" x14ac:dyDescent="0.5">
      <c r="B25" s="81" t="s">
        <v>231</v>
      </c>
      <c r="C25" s="82" t="s">
        <v>31</v>
      </c>
      <c r="D25" s="83" t="s">
        <v>31</v>
      </c>
      <c r="E25" s="84" t="s">
        <v>31</v>
      </c>
      <c r="F25" s="85" t="s">
        <v>183</v>
      </c>
    </row>
    <row r="26" spans="1:7" ht="13.5" customHeight="1" x14ac:dyDescent="0.5">
      <c r="B26" s="41" t="s">
        <v>232</v>
      </c>
      <c r="C26" s="77" t="s">
        <v>233</v>
      </c>
      <c r="D26" s="78" t="s">
        <v>189</v>
      </c>
      <c r="E26" s="79" t="s">
        <v>234</v>
      </c>
      <c r="F26" s="80" t="s">
        <v>235</v>
      </c>
    </row>
    <row r="27" spans="1:7" ht="13.5" customHeight="1" x14ac:dyDescent="0.5">
      <c r="A27" s="40"/>
      <c r="B27" s="86" t="s">
        <v>236</v>
      </c>
      <c r="C27" s="87" t="s">
        <v>237</v>
      </c>
      <c r="D27" s="88" t="s">
        <v>237</v>
      </c>
      <c r="E27" s="89" t="s">
        <v>237</v>
      </c>
      <c r="F27" s="90" t="s">
        <v>237</v>
      </c>
      <c r="G27" s="40"/>
    </row>
    <row r="28" spans="1:7" ht="13.5" customHeight="1" x14ac:dyDescent="0.5">
      <c r="A28" s="91"/>
      <c r="B28" s="50" t="s">
        <v>238</v>
      </c>
      <c r="C28" s="92" t="s">
        <v>31</v>
      </c>
      <c r="D28" s="93" t="s">
        <v>31</v>
      </c>
      <c r="E28" s="94" t="s">
        <v>31</v>
      </c>
      <c r="F28" s="95" t="s">
        <v>235</v>
      </c>
      <c r="G28" s="91"/>
    </row>
    <row r="29" spans="1:7" ht="15" customHeight="1" x14ac:dyDescent="0.5">
      <c r="A29" s="40"/>
      <c r="B29" s="96" t="s">
        <v>239</v>
      </c>
      <c r="C29" s="97" t="s">
        <v>240</v>
      </c>
      <c r="D29" s="98" t="s">
        <v>241</v>
      </c>
      <c r="E29" s="99" t="s">
        <v>242</v>
      </c>
      <c r="F29" s="100" t="s">
        <v>243</v>
      </c>
      <c r="G29" s="40"/>
    </row>
    <row r="30" spans="1:7" ht="15" customHeight="1" x14ac:dyDescent="0.5">
      <c r="A30" s="40"/>
      <c r="B30" s="96" t="s">
        <v>244</v>
      </c>
      <c r="C30" s="97" t="s">
        <v>28</v>
      </c>
      <c r="D30" s="98" t="s">
        <v>245</v>
      </c>
      <c r="E30" s="99" t="s">
        <v>246</v>
      </c>
      <c r="F30" s="100" t="s">
        <v>247</v>
      </c>
      <c r="G30" s="40"/>
    </row>
    <row r="31" spans="1:7" ht="15" customHeight="1" x14ac:dyDescent="0.5">
      <c r="A31" s="40"/>
      <c r="B31" s="96" t="s">
        <v>248</v>
      </c>
      <c r="C31" s="97" t="s">
        <v>31</v>
      </c>
      <c r="D31" s="98" t="s">
        <v>249</v>
      </c>
      <c r="E31" s="99" t="s">
        <v>249</v>
      </c>
      <c r="F31" s="100" t="s">
        <v>249</v>
      </c>
      <c r="G31" s="40"/>
    </row>
    <row r="32" spans="1:7" ht="30" customHeight="1" x14ac:dyDescent="0.5">
      <c r="A32" s="40"/>
      <c r="B32" s="1" t="s">
        <v>250</v>
      </c>
      <c r="C32" s="1"/>
      <c r="D32" s="1"/>
      <c r="E32" s="1"/>
      <c r="F32" s="1"/>
      <c r="G32" s="40"/>
    </row>
    <row r="34" spans="2:2" ht="15" customHeight="1" x14ac:dyDescent="0.5">
      <c r="B34" s="35" t="s">
        <v>251</v>
      </c>
    </row>
  </sheetData>
  <mergeCells count="1"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E56"/>
  </sheetPr>
  <dimension ref="A1:F14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28" customWidth="1"/>
    <col min="3" max="3" width="14" customWidth="1"/>
    <col min="4" max="4" width="38" customWidth="1"/>
    <col min="5" max="5" width="16" customWidth="1"/>
    <col min="6" max="6" width="2" customWidth="1"/>
  </cols>
  <sheetData>
    <row r="1" spans="1:6" ht="15" customHeight="1" x14ac:dyDescent="0.5">
      <c r="A1" s="11"/>
      <c r="B1" s="39" t="s">
        <v>252</v>
      </c>
      <c r="C1" s="13"/>
      <c r="D1" s="13"/>
      <c r="E1" s="13"/>
      <c r="F1" s="13"/>
    </row>
    <row r="2" spans="1:6" ht="15" customHeight="1" x14ac:dyDescent="0.5">
      <c r="A2" s="13"/>
      <c r="B2" s="3" t="s">
        <v>253</v>
      </c>
      <c r="C2" s="3"/>
      <c r="D2" s="3"/>
      <c r="E2" s="3"/>
      <c r="F2" s="13"/>
    </row>
    <row r="3" spans="1:6" ht="15" customHeight="1" x14ac:dyDescent="0.5">
      <c r="B3" s="56" t="s">
        <v>254</v>
      </c>
      <c r="C3" s="56" t="s">
        <v>255</v>
      </c>
      <c r="D3" s="56" t="s">
        <v>256</v>
      </c>
      <c r="E3" s="56" t="s">
        <v>257</v>
      </c>
    </row>
    <row r="4" spans="1:6" ht="42" customHeight="1" x14ac:dyDescent="0.5">
      <c r="B4" s="101" t="s">
        <v>258</v>
      </c>
      <c r="C4" s="102" t="s">
        <v>259</v>
      </c>
      <c r="D4" s="103" t="s">
        <v>260</v>
      </c>
      <c r="E4" s="104" t="s">
        <v>261</v>
      </c>
    </row>
    <row r="5" spans="1:6" ht="42" customHeight="1" x14ac:dyDescent="0.5">
      <c r="B5" s="105" t="s">
        <v>262</v>
      </c>
      <c r="C5" s="106" t="s">
        <v>263</v>
      </c>
      <c r="D5" s="107" t="s">
        <v>264</v>
      </c>
      <c r="E5" s="108" t="s">
        <v>265</v>
      </c>
    </row>
    <row r="6" spans="1:6" ht="42" customHeight="1" x14ac:dyDescent="0.5">
      <c r="B6" s="101" t="s">
        <v>266</v>
      </c>
      <c r="C6" s="102" t="s">
        <v>267</v>
      </c>
      <c r="D6" s="103" t="s">
        <v>268</v>
      </c>
      <c r="E6" s="104" t="s">
        <v>269</v>
      </c>
    </row>
    <row r="7" spans="1:6" ht="42" customHeight="1" x14ac:dyDescent="0.5">
      <c r="B7" s="105" t="s">
        <v>270</v>
      </c>
      <c r="C7" s="106" t="s">
        <v>271</v>
      </c>
      <c r="D7" s="107" t="s">
        <v>272</v>
      </c>
      <c r="E7" s="108" t="s">
        <v>273</v>
      </c>
    </row>
    <row r="8" spans="1:6" ht="42" customHeight="1" x14ac:dyDescent="0.5">
      <c r="B8" s="101" t="s">
        <v>274</v>
      </c>
      <c r="C8" s="102" t="s">
        <v>275</v>
      </c>
      <c r="D8" s="103" t="s">
        <v>276</v>
      </c>
      <c r="E8" s="104" t="s">
        <v>277</v>
      </c>
    </row>
    <row r="9" spans="1:6" ht="42" customHeight="1" x14ac:dyDescent="0.5">
      <c r="B9" s="105" t="s">
        <v>278</v>
      </c>
      <c r="C9" s="106" t="s">
        <v>279</v>
      </c>
      <c r="D9" s="107" t="s">
        <v>280</v>
      </c>
      <c r="E9" s="108" t="s">
        <v>281</v>
      </c>
    </row>
    <row r="11" spans="1:6" ht="15" customHeight="1" x14ac:dyDescent="0.5">
      <c r="A11" s="13"/>
      <c r="B11" s="68" t="s">
        <v>282</v>
      </c>
      <c r="C11" s="13"/>
      <c r="D11" s="13"/>
      <c r="E11" s="13"/>
      <c r="F11" s="13"/>
    </row>
    <row r="12" spans="1:6" ht="15" customHeight="1" x14ac:dyDescent="0.5">
      <c r="B12" s="109" t="s">
        <v>283</v>
      </c>
      <c r="C12" s="110" t="s">
        <v>14</v>
      </c>
      <c r="D12" s="111" t="s">
        <v>284</v>
      </c>
    </row>
    <row r="13" spans="1:6" ht="15" customHeight="1" x14ac:dyDescent="0.5">
      <c r="B13" s="112" t="s">
        <v>285</v>
      </c>
      <c r="C13" s="113" t="s">
        <v>286</v>
      </c>
      <c r="D13" s="114" t="s">
        <v>284</v>
      </c>
    </row>
    <row r="14" spans="1:6" ht="15" customHeight="1" x14ac:dyDescent="0.5">
      <c r="B14" s="115" t="s">
        <v>287</v>
      </c>
      <c r="C14" s="116" t="s">
        <v>288</v>
      </c>
      <c r="D14" s="117" t="s">
        <v>284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A7517"/>
  </sheetPr>
  <dimension ref="A1:G18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36" customWidth="1"/>
    <col min="3" max="5" width="16" customWidth="1"/>
    <col min="6" max="6" width="14" customWidth="1"/>
    <col min="7" max="7" width="2" customWidth="1"/>
  </cols>
  <sheetData>
    <row r="1" spans="1:7" ht="15" customHeight="1" x14ac:dyDescent="0.5">
      <c r="A1" s="11"/>
      <c r="B1" s="39" t="s">
        <v>289</v>
      </c>
      <c r="C1" s="13"/>
      <c r="D1" s="13"/>
      <c r="E1" s="13"/>
      <c r="F1" s="13"/>
      <c r="G1" s="13"/>
    </row>
    <row r="2" spans="1:7" ht="15" customHeight="1" x14ac:dyDescent="0.5">
      <c r="A2" s="13"/>
      <c r="B2" s="3" t="s">
        <v>290</v>
      </c>
      <c r="C2" s="3"/>
      <c r="D2" s="3"/>
      <c r="E2" s="3"/>
      <c r="F2" s="3"/>
      <c r="G2" s="13"/>
    </row>
    <row r="3" spans="1:7" ht="15" customHeight="1" x14ac:dyDescent="0.5">
      <c r="B3" s="57" t="s">
        <v>171</v>
      </c>
      <c r="C3" s="118" t="s">
        <v>291</v>
      </c>
      <c r="D3" s="119" t="s">
        <v>292</v>
      </c>
      <c r="E3" s="120" t="s">
        <v>293</v>
      </c>
      <c r="F3" s="121" t="s">
        <v>294</v>
      </c>
    </row>
    <row r="4" spans="1:7" ht="15" customHeight="1" x14ac:dyDescent="0.5">
      <c r="B4" s="122" t="s">
        <v>295</v>
      </c>
      <c r="C4" s="60">
        <v>1200</v>
      </c>
      <c r="D4" s="123"/>
    </row>
    <row r="5" spans="1:7" ht="15" customHeight="1" x14ac:dyDescent="0.5">
      <c r="B5" s="124" t="s">
        <v>296</v>
      </c>
      <c r="C5" s="125">
        <f>C4*10.5</f>
        <v>12600</v>
      </c>
      <c r="D5" s="125">
        <f>C4*13</f>
        <v>15600</v>
      </c>
      <c r="E5" s="125">
        <f>C4*14</f>
        <v>16800</v>
      </c>
      <c r="F5" s="126"/>
    </row>
    <row r="6" spans="1:7" ht="15" customHeight="1" x14ac:dyDescent="0.5">
      <c r="B6" s="127" t="s">
        <v>297</v>
      </c>
      <c r="C6" s="128" t="s">
        <v>298</v>
      </c>
      <c r="D6" s="129">
        <f>C4*1.8</f>
        <v>2160</v>
      </c>
      <c r="E6" s="129">
        <f>C4*1.8</f>
        <v>2160</v>
      </c>
      <c r="F6" s="130"/>
    </row>
    <row r="7" spans="1:7" ht="15" customHeight="1" x14ac:dyDescent="0.5">
      <c r="B7" s="124" t="s">
        <v>299</v>
      </c>
      <c r="C7" s="131" t="s">
        <v>298</v>
      </c>
      <c r="D7" s="125">
        <f>C4*2.5</f>
        <v>3000</v>
      </c>
      <c r="E7" s="125">
        <f>C4*3.5</f>
        <v>4200</v>
      </c>
      <c r="F7" s="126"/>
    </row>
    <row r="8" spans="1:7" ht="15" customHeight="1" x14ac:dyDescent="0.5">
      <c r="B8" s="127" t="s">
        <v>300</v>
      </c>
      <c r="C8" s="128" t="s">
        <v>301</v>
      </c>
      <c r="D8" s="128" t="s">
        <v>301</v>
      </c>
      <c r="E8" s="129">
        <f>C4*1.5</f>
        <v>1800</v>
      </c>
      <c r="F8" s="130"/>
    </row>
    <row r="9" spans="1:7" ht="15" customHeight="1" x14ac:dyDescent="0.5">
      <c r="B9" s="124" t="s">
        <v>302</v>
      </c>
      <c r="C9" s="131" t="s">
        <v>303</v>
      </c>
      <c r="D9" s="125">
        <f>C4*1</f>
        <v>1200</v>
      </c>
      <c r="E9" s="125">
        <f>C4*2.5</f>
        <v>3000</v>
      </c>
      <c r="F9" s="126"/>
    </row>
    <row r="10" spans="1:7" ht="15" customHeight="1" x14ac:dyDescent="0.5">
      <c r="B10" s="127" t="s">
        <v>304</v>
      </c>
      <c r="C10" s="129">
        <f>C4*1.05</f>
        <v>1260</v>
      </c>
      <c r="D10" s="129">
        <f>C4*1.6</f>
        <v>1920</v>
      </c>
      <c r="E10" s="128" t="s">
        <v>31</v>
      </c>
      <c r="F10" s="130"/>
    </row>
    <row r="11" spans="1:7" ht="15" customHeight="1" x14ac:dyDescent="0.5">
      <c r="A11" s="13"/>
      <c r="B11" s="68" t="s">
        <v>305</v>
      </c>
      <c r="C11" s="69">
        <f>C4*10.5+C4*1.05-4500</f>
        <v>9360</v>
      </c>
      <c r="D11" s="69">
        <f>C4*13+C4*1.8+C4*2.5+C4*1.6-2000</f>
        <v>20680</v>
      </c>
      <c r="E11" s="69">
        <f>C4*14+C4*1.8+C4*3.5+C4*2.5+4500</f>
        <v>30660</v>
      </c>
      <c r="F11" s="69">
        <f>E11-C11</f>
        <v>21300</v>
      </c>
      <c r="G11" s="13"/>
    </row>
    <row r="12" spans="1:7" ht="15" customHeight="1" x14ac:dyDescent="0.5">
      <c r="B12" s="48" t="s">
        <v>306</v>
      </c>
      <c r="C12" s="67">
        <f>E11-C11</f>
        <v>21300</v>
      </c>
      <c r="F12" s="132">
        <f>(E11-C11)/E11</f>
        <v>0.69471624266144816</v>
      </c>
    </row>
    <row r="14" spans="1:7" ht="15" customHeight="1" x14ac:dyDescent="0.5">
      <c r="A14" s="13"/>
      <c r="B14" s="133" t="s">
        <v>307</v>
      </c>
      <c r="C14" s="13"/>
      <c r="D14" s="13"/>
      <c r="E14" s="13"/>
      <c r="F14" s="13"/>
      <c r="G14" s="13"/>
    </row>
    <row r="15" spans="1:7" ht="15" customHeight="1" x14ac:dyDescent="0.5">
      <c r="B15" s="19" t="s">
        <v>308</v>
      </c>
      <c r="C15" s="24" t="s">
        <v>309</v>
      </c>
      <c r="D15" s="134" t="s">
        <v>310</v>
      </c>
      <c r="E15" s="131" t="s">
        <v>31</v>
      </c>
    </row>
    <row r="16" spans="1:7" ht="15" customHeight="1" x14ac:dyDescent="0.5">
      <c r="B16" s="19" t="s">
        <v>311</v>
      </c>
      <c r="C16" s="67">
        <f>Assumptions!C19*Assumptions!C14*(Assumptions!C13/52)*8</f>
        <v>0</v>
      </c>
    </row>
    <row r="18" spans="2:6" ht="30" customHeight="1" x14ac:dyDescent="0.5">
      <c r="B18" s="10" t="s">
        <v>312</v>
      </c>
      <c r="C18" s="10"/>
      <c r="D18" s="10"/>
      <c r="E18" s="10"/>
      <c r="F18" s="10"/>
    </row>
  </sheetData>
  <mergeCells count="2">
    <mergeCell ref="B2:F2"/>
    <mergeCell ref="B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Assumptions</vt:lpstr>
      <vt:lpstr>Type A — 4 Units</vt:lpstr>
      <vt:lpstr>Type D — 10 Units</vt:lpstr>
      <vt:lpstr>Tier Premium Summary</vt:lpstr>
      <vt:lpstr>Schedule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2026-05-21T01:44:29Z</dcterms:created>
  <dcterms:modified xsi:type="dcterms:W3CDTF">2026-05-31T20:37:47Z</dcterms:modified>
  <dc:language>en-US</dc:language>
</cp:coreProperties>
</file>