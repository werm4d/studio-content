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ssumptions" sheetId="2" state="visible" r:id="rId4"/>
    <sheet name="T1 — Code+" sheetId="3" state="visible" r:id="rId5"/>
    <sheet name="T2 — Zero" sheetId="4" state="visible" r:id="rId6"/>
    <sheet name="T3 — Positive" sheetId="5" state="visible" r:id="rId7"/>
    <sheet name="T4 — Harv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<sst xmlns="http://schemas.openxmlformats.org/spreadsheetml/2006/main" count="457" uniqueCount="241">
  <si>
    <t xml:space="preserve">M4Di FORWARD HOME ROM — FOUR-TIER COST INTELLIGENCE SUMMARY</t>
  </si>
  <si>
    <t xml:space="preserve">G0 ROM ±25%  ·  10-unit Type D lot cluster  ·  1,350 SF/unit  ·  Merge 4 Design LLC × L.E.E.P., Inc.  ·  May 2026</t>
  </si>
  <si>
    <t xml:space="preserve">Cost element</t>
  </si>
  <si>
    <t xml:space="preserve">T1 — Code+</t>
  </si>
  <si>
    <t xml:space="preserve">T2 — Zero</t>
  </si>
  <si>
    <t xml:space="preserve">T3 — Positive</t>
  </si>
  <si>
    <t xml:space="preserve">T4 — Harvest</t>
  </si>
  <si>
    <t xml:space="preserve">HARD COSTS PER UNIT</t>
  </si>
  <si>
    <t xml:space="preserve">—</t>
  </si>
  <si>
    <t xml:space="preserve">4Ward-SIB Forward Panel</t>
  </si>
  <si>
    <t xml:space="preserve">Foundation / structural</t>
  </si>
  <si>
    <t xml:space="preserve">MEP systems — base</t>
  </si>
  <si>
    <t xml:space="preserve">Finishes / millwork / appliances</t>
  </si>
  <si>
    <t xml:space="preserve">Tier-specific upgrades (net)</t>
  </si>
  <si>
    <t xml:space="preserve">HARD COST SUBTOTAL</t>
  </si>
  <si>
    <t xml:space="preserve">SOFT COSTS PER UNIT</t>
  </si>
  <si>
    <t xml:space="preserve">A&amp;E architectural fee</t>
  </si>
  <si>
    <t xml:space="preserve">MEP PE fee (first typology)</t>
  </si>
  <si>
    <t xml:space="preserve">Permits + M4Di OI Tool</t>
  </si>
  <si>
    <t xml:space="preserve">Certification / rater fees</t>
  </si>
  <si>
    <t xml:space="preserve">Tier-specific MEP PE premium</t>
  </si>
  <si>
    <t xml:space="preserve">SOFT COST SUBTOTAL</t>
  </si>
  <si>
    <t xml:space="preserve">Contingency (8%)</t>
  </si>
  <si>
    <t xml:space="preserve">Loan carry (31 wks)</t>
  </si>
  <si>
    <t xml:space="preserve">TOTAL BUILD COST / UNIT</t>
  </si>
  <si>
    <t xml:space="preserve">Sale price / unit</t>
  </si>
  <si>
    <t xml:space="preserve">IRA §45L developer credit</t>
  </si>
  <si>
    <t xml:space="preserve">NET DEVELOPER MARGIN / UNIT</t>
  </si>
  <si>
    <t xml:space="preserve">Developer margin %</t>
  </si>
  <si>
    <t xml:space="preserve">40.4%</t>
  </si>
  <si>
    <t xml:space="preserve">22.2%</t>
  </si>
  <si>
    <t xml:space="preserve">21.2%</t>
  </si>
  <si>
    <t xml:space="preserve">18.1%</t>
  </si>
  <si>
    <t xml:space="preserve">UNIT COUNT</t>
  </si>
  <si>
    <t xml:space="preserve">TOTAL BUILD COST (all units)</t>
  </si>
  <si>
    <t xml:space="preserve">GROSS REVENUE (all units)</t>
  </si>
  <si>
    <t xml:space="preserve">NET MARGIN (all units)</t>
  </si>
  <si>
    <t xml:space="preserve">HERS index target</t>
  </si>
  <si>
    <t xml:space="preserve">55–70</t>
  </si>
  <si>
    <t xml:space="preserve">0–30</t>
  </si>
  <si>
    <t xml:space="preserve">Neg to +10</t>
  </si>
  <si>
    <t xml:space="preserve">Net positive</t>
  </si>
  <si>
    <t xml:space="preserve">Blower door ACH50</t>
  </si>
  <si>
    <t xml:space="preserve">&lt; 2.0 (auto)</t>
  </si>
  <si>
    <t xml:space="preserve">&lt; 1.0</t>
  </si>
  <si>
    <t xml:space="preserve">&lt; 0.6</t>
  </si>
  <si>
    <t xml:space="preserve">Certification path</t>
  </si>
  <si>
    <t xml:space="preserve">Energy Star auto</t>
  </si>
  <si>
    <t xml:space="preserve">DOE ZERH</t>
  </si>
  <si>
    <t xml:space="preserve">PHIUS+</t>
  </si>
  <si>
    <t xml:space="preserve">Off-grid verified</t>
  </si>
  <si>
    <t xml:space="preserve">NOTE: All values G0 ROM ±25%. Soft costs per CBai MEP SOP v1. Override margin % reflects IRA §45L credit offset (T2–T4). Navigate tabs below for full line-item ROM by tier. Update Assumptions tab to recalculate all tiers.</t>
  </si>
  <si>
    <t xml:space="preserve">WORKBOOK NAVIGATION</t>
  </si>
  <si>
    <t xml:space="preserve">Overview</t>
  </si>
  <si>
    <t xml:space="preserve">This sheet — four-tier ROM summary</t>
  </si>
  <si>
    <t xml:space="preserve">Assumptions</t>
  </si>
  <si>
    <t xml:space="preserve">Shared inputs — change here to update all tiers</t>
  </si>
  <si>
    <t xml:space="preserve">Tier 1 full ROM: hard + soft + contingency + carry + return</t>
  </si>
  <si>
    <t xml:space="preserve">Tier 2 full ROM: adds Quilt, SPAN, PV, battery, LiveRoof Std</t>
  </si>
  <si>
    <t xml:space="preserve">Tier 3 full ROM: adds Mitsubishi FX, PV 8.5kW, LiveRoof MAXX + edible</t>
  </si>
  <si>
    <t xml:space="preserve">Tier 4 full ROM: off-grid battery, agrivoltaic PV, Crop Circle Farms</t>
  </si>
  <si>
    <t xml:space="preserve">SHARED ASSUMPTIONS — M4Di FORWARD HOME ROM</t>
  </si>
  <si>
    <t xml:space="preserve">Blue/yellow cells = inputs. Change here — all tier ROM tabs update automatically.</t>
  </si>
  <si>
    <t xml:space="preserve">HARD COST RATES (per SF of gross floor area — blended installed)</t>
  </si>
  <si>
    <t xml:space="preserve">4Ward-SIB Forward Panel — all tiers (per SF)</t>
  </si>
  <si>
    <t xml:space="preserve">Blended installed: $42K/unit @ 1,350 SF · M4Di ALDDB / Barricade SIB ROM May 2026</t>
  </si>
  <si>
    <t xml:space="preserve">Foundation — T1 standard CMU / poured (per SF)</t>
  </si>
  <si>
    <t xml:space="preserve">Blended installed: $28K/unit @ 1,350 SF · M4Di ROM Claymont AE24-002</t>
  </si>
  <si>
    <t xml:space="preserve">Foundation — T2–T4 Superior Walls Xi Plus (per SF)</t>
  </si>
  <si>
    <t xml:space="preserve">Blended installed: $30K/unit @ 1,350 SF · TER 2211-02 premium over CMU</t>
  </si>
  <si>
    <t xml:space="preserve">MEP — T1 standard heat pump (per SF)</t>
  </si>
  <si>
    <t xml:space="preserve">Blended installed: $19K/unit @ 1,350 SF · cold-climate mini-split SEER2 ≥18</t>
  </si>
  <si>
    <t xml:space="preserve">MEP — T2 Quilt 3-zone + Vitoair ERV base (per SF)</t>
  </si>
  <si>
    <t xml:space="preserve">Blended installed: $21K/unit · SEER2 25.3 / HSPF2 12 · ERV budgeted separately</t>
  </si>
  <si>
    <t xml:space="preserve">MEP — T3–T4 Mitsubishi FX H2i sumo (per SF)</t>
  </si>
  <si>
    <t xml:space="preserve">Blended installed: $22K/unit · SEER2 29.9 · 10-yr warranty</t>
  </si>
  <si>
    <t xml:space="preserve">Finishes / millwork / appliances — all tiers (per SF)</t>
  </si>
  <si>
    <t xml:space="preserve">Blended installed: $23K/unit @ 1,350 SF · mid-range Forward Home spec</t>
  </si>
  <si>
    <t xml:space="preserve">SOFT COST SUB-COMPONENTS (per unit — all tiers base)</t>
  </si>
  <si>
    <t xml:space="preserve">Typology toggle (1 = First · 2 = Repeat / Claymont template)</t>
  </si>
  <si>
    <t xml:space="preserve">Toggle affects MEP PE fee only · 2 = 40–50% compression per CBai MEP SOP v1</t>
  </si>
  <si>
    <t xml:space="preserve">  A&amp;E architectural fee (per unit)</t>
  </si>
  <si>
    <t xml:space="preserve">AOR + schematic + permit drawings · fixed regardless of typology</t>
  </si>
  <si>
    <t xml:space="preserve">  MEP PE fee — first typology (per unit, G0–G3)</t>
  </si>
  <si>
    <t xml:space="preserve">CBai-assisted target · M4Di CBai MEP Workflow SOP v1 Table 2</t>
  </si>
  <si>
    <t xml:space="preserve">  MEP PE fee — repeat / Claymont template (per unit)</t>
  </si>
  <si>
    <t xml:space="preserve">40–50% of full-service · available Q4 2026 after Claymont G4 archive</t>
  </si>
  <si>
    <t xml:space="preserve">  Permits / filing / AHJ fees (per unit)</t>
  </si>
  <si>
    <t xml:space="preserve">City of Wilmington residential permit · fixed</t>
  </si>
  <si>
    <t xml:space="preserve">  M4Di OI Tool / ALDi Tracker (per unit)</t>
  </si>
  <si>
    <t xml:space="preserve">G0 ROM + ALDi gate tracking G1–G4 · OED cost-verification standard</t>
  </si>
  <si>
    <t xml:space="preserve">  SOFT COSTS / UNIT (base, active typology)</t>
  </si>
  <si>
    <t xml:space="preserve">Active total · First: ~$11,700 · Repeat: ~$10,300</t>
  </si>
  <si>
    <t xml:space="preserve">FINANCING</t>
  </si>
  <si>
    <t xml:space="preserve">Construction loan rate (annual)</t>
  </si>
  <si>
    <t xml:space="preserve">Delaware construction market May 2026 · New Silver / PRMI</t>
  </si>
  <si>
    <t xml:space="preserve">Build schedule — weeks (4Ward-SIB Forward Panel)</t>
  </si>
  <si>
    <t xml:space="preserve">vs. 35 wks std SIP · 39 wks stick frame · Offsite Builder 2025</t>
  </si>
  <si>
    <t xml:space="preserve">Loan-to-cost ratio (LTC)</t>
  </si>
  <si>
    <t xml:space="preserve">Typical residential construction LTC</t>
  </si>
  <si>
    <t xml:space="preserve">REVENUE &amp; RENTAL</t>
  </si>
  <si>
    <t xml:space="preserve">T1 avg. sale price / unit</t>
  </si>
  <si>
    <t xml:space="preserve">City target $220K–$250K · Type D cluster higher end</t>
  </si>
  <si>
    <t xml:space="preserve">T2 avg. sale price / unit</t>
  </si>
  <si>
    <t xml:space="preserve">T3 avg. sale price / unit</t>
  </si>
  <si>
    <t xml:space="preserve">T4 avg. sale price / unit</t>
  </si>
  <si>
    <t xml:space="preserve">Monthly rent / unit (all tiers)</t>
  </si>
  <si>
    <t xml:space="preserve">Wilmington forward housing market · affordable range</t>
  </si>
  <si>
    <t xml:space="preserve">Stabilized expense ratio</t>
  </si>
  <si>
    <t xml:space="preserve">NOI = 55%</t>
  </si>
  <si>
    <t xml:space="preserve">Cap rate (valuation)</t>
  </si>
  <si>
    <t xml:space="preserve">Delaware multifamily Q1 2026 estimate</t>
  </si>
  <si>
    <t xml:space="preserve">CITY PROGRAM</t>
  </si>
  <si>
    <t xml:space="preserve">Land cost per lot (City program)</t>
  </si>
  <si>
    <t xml:space="preserve">City of Wilmington vacant lot initiative</t>
  </si>
  <si>
    <t xml:space="preserve">Site work / utilities (City-funded)</t>
  </si>
  <si>
    <t xml:space="preserve">Developer cost = $0 · City-covered in program</t>
  </si>
  <si>
    <t xml:space="preserve">COLOR CODE:  Blue = hardcoded input  ·  Yellow = key assumption  ·  Green = formula cross-reference  ·  Typology toggle C10 (1=First / 2=Repeat Claymont)</t>
  </si>
  <si>
    <t xml:space="preserve">TIER 1 — FORWARD CODE+  |  FORWARD HOME ROM</t>
  </si>
  <si>
    <t xml:space="preserve">G0 ROM ±25%  ·  HERS 55–70  ·  ACH50 &lt; 2.0 (auto)  ·  Cert: Energy Star (auto)  ·  Land: $1 (City program)  ·  Site/utilities: City-funded</t>
  </si>
  <si>
    <t xml:space="preserve">Line item</t>
  </si>
  <si>
    <t xml:space="preserve">Input</t>
  </si>
  <si>
    <t xml:space="preserve">Per unit</t>
  </si>
  <si>
    <t xml:space="preserve">Total (10 units)</t>
  </si>
  <si>
    <t xml:space="preserve">Source / note</t>
  </si>
  <si>
    <t xml:space="preserve">PROJECT INPUTS</t>
  </si>
  <si>
    <t xml:space="preserve">Number of units</t>
  </si>
  <si>
    <t xml:space="preserve">Investor equity activated at site control (LOI)</t>
  </si>
  <si>
    <t xml:space="preserve">Avg. unit size (SF)</t>
  </si>
  <si>
    <t xml:space="preserve">Sale price / unit (from Assumptions)</t>
  </si>
  <si>
    <t xml:space="preserve">SOURCES</t>
  </si>
  <si>
    <t xml:space="preserve">Investor equity (site control triggered)</t>
  </si>
  <si>
    <t xml:space="preserve">Deployed at LOI · covers 20% LTC gap + pre-construction soft costs</t>
  </si>
  <si>
    <t xml:space="preserve">Construction loan (80% LTC × total cost)</t>
  </si>
  <si>
    <t xml:space="preserve">(calculated)</t>
  </si>
  <si>
    <t xml:space="preserve">City land ($1 × 10 lots) + site/utilities</t>
  </si>
  <si>
    <t xml:space="preserve">City-funded</t>
  </si>
  <si>
    <t xml:space="preserve">HARD COSTS</t>
  </si>
  <si>
    <t xml:space="preserve">4Ward-SIB Forward Panel system (SF × rate)</t>
  </si>
  <si>
    <t xml:space="preserve">TER 1507-09 · Barricade INDEVCO · all tiers</t>
  </si>
  <si>
    <t xml:space="preserve">Foundation / structural (SF × rate)</t>
  </si>
  <si>
    <t xml:space="preserve">CMU (T1) · Superior Walls Xi Plus TER 2211-02 (T2–T4)</t>
  </si>
  <si>
    <t xml:space="preserve">MEP systems — base HVAC + plumbing + elec. (SF × rate)</t>
  </si>
  <si>
    <t xml:space="preserve">T1: std mini-split · T2: Quilt 3-zone · T3–T4: Mitsubishi FX H2i sumo</t>
  </si>
  <si>
    <t xml:space="preserve">Finishes / millwork / appliances (SF × rate)</t>
  </si>
  <si>
    <t xml:space="preserve">Mid-range Forward Home spec · all tiers</t>
  </si>
  <si>
    <t xml:space="preserve">  HARD COST SUBTOTAL (all installed costs)</t>
  </si>
  <si>
    <t xml:space="preserve">SOFT COSTS</t>
  </si>
  <si>
    <t xml:space="preserve">AOR + permit drawings · fixed all tiers</t>
  </si>
  <si>
    <t xml:space="preserve">MEP PE fee (CBai-assisted, active typology)</t>
  </si>
  <si>
    <t xml:space="preserve">First: $3,200 · Repeat/Claymont: $1,800 · CBai MEP SOP v1</t>
  </si>
  <si>
    <t xml:space="preserve">Permits / filing / AHJ fees</t>
  </si>
  <si>
    <t xml:space="preserve">City of Wilmington residential permit</t>
  </si>
  <si>
    <t xml:space="preserve">M4Di OI Tool / ALDi Tracker</t>
  </si>
  <si>
    <t xml:space="preserve">G0 ROM + ALDi gate G1–G4 · OED cost-verification standard</t>
  </si>
  <si>
    <t xml:space="preserve">  SOFT COST SUBTOTAL</t>
  </si>
  <si>
    <t xml:space="preserve">CONTINGENCY + LOAN CARRY</t>
  </si>
  <si>
    <t xml:space="preserve">Contingency (8% of hard + soft)</t>
  </si>
  <si>
    <t xml:space="preserve">8% of combined hard + soft · per M4Di ALDi standard</t>
  </si>
  <si>
    <t xml:space="preserve">Loan carry (31 wks @ 10.25% · 80% LTC)</t>
  </si>
  <si>
    <t xml:space="preserve">Rate from Assumptions · 31-week schedule · 80% LTC</t>
  </si>
  <si>
    <t xml:space="preserve">TOTAL PROJECT COST</t>
  </si>
  <si>
    <t xml:space="preserve">FOR-SALE RETURN ANALYSIS</t>
  </si>
  <si>
    <t xml:space="preserve">Gross sale revenue</t>
  </si>
  <si>
    <t xml:space="preserve">Assumptions C35 · City target range</t>
  </si>
  <si>
    <t xml:space="preserve">Less: total project cost</t>
  </si>
  <si>
    <t xml:space="preserve">From TOTAL PROJECT COST row above</t>
  </si>
  <si>
    <t xml:space="preserve">DEVELOPER NET MARGIN</t>
  </si>
  <si>
    <t xml:space="preserve">RENTAL ALTERNATIVE (hold scenario)</t>
  </si>
  <si>
    <t xml:space="preserve">Monthly rent / unit</t>
  </si>
  <si>
    <t xml:space="preserve">From Assumptions · all tiers</t>
  </si>
  <si>
    <t xml:space="preserve">Gross annual income</t>
  </si>
  <si>
    <t xml:space="preserve">Net operating income (55%)</t>
  </si>
  <si>
    <t xml:space="preserve">NOI = 55% of gross</t>
  </si>
  <si>
    <t xml:space="preserve">Stabilized cap rate</t>
  </si>
  <si>
    <t xml:space="preserve">6.2% Delaware multifamily Q1 2026</t>
  </si>
  <si>
    <t xml:space="preserve">Stabilized asset value (NOI ÷ cap rate)</t>
  </si>
  <si>
    <t xml:space="preserve">G0 ROM ±25%  ·  All rates blended installed per floor SF  ·  Soft costs disaggregated per CBai MEP Workflow SOP v1  ·  Update Assumptions!C10 to toggle first vs. repeat typology MEP PE fee  ·  Land = $1/lot (City program) · Site work + utilities City-funded</t>
  </si>
  <si>
    <t xml:space="preserve">TIER 2 — FORWARD ZERO  |  FORWARD HOME ROM</t>
  </si>
  <si>
    <t xml:space="preserve">G0 ROM ±25%  ·  HERS 0–30  ·  ACH50 &lt; 1.0  ·  Cert: DOE Zero Energy Ready Home  ·  Land: $1 (City program)  ·  Site/utilities: City-funded</t>
  </si>
  <si>
    <t xml:space="preserve">TIER-SPECIFIC HARD COST UPGRADES</t>
  </si>
  <si>
    <t xml:space="preserve">  Window upgrade — Magnus 4500 triple-pane / krypton</t>
  </si>
  <si>
    <t xml:space="preserve">U ≤ 0.18 · SHGC tuned by orientation</t>
  </si>
  <si>
    <t xml:space="preserve">  SPAN MAIN 40 smart panel</t>
  </si>
  <si>
    <t xml:space="preserve">First UL 3141 certified · Eaton-backed</t>
  </si>
  <si>
    <t xml:space="preserve">  PV system — 5.5 kW Enphase IQ8 microinverters</t>
  </si>
  <si>
    <t xml:space="preserve">Mid of $15K–$19.5K range</t>
  </si>
  <si>
    <t xml:space="preserve">  Battery — Enphase IQ Battery 5P or Tesla Powerwall 3</t>
  </si>
  <si>
    <t xml:space="preserve">13.5–20 kWh · 15-yr warranty</t>
  </si>
  <si>
    <t xml:space="preserve">  LiveRoof® Standard — 700 SF roof</t>
  </si>
  <si>
    <t xml:space="preserve">4.25" soil · FM 4477 · ASTM E108 Class A</t>
  </si>
  <si>
    <t xml:space="preserve">  Viessmann Vitoair ERV</t>
  </si>
  <si>
    <t xml:space="preserve">85% SRE · MERV 13 · CO₂-responsive</t>
  </si>
  <si>
    <t xml:space="preserve">  Drainwater heat recovery</t>
  </si>
  <si>
    <t xml:space="preserve">Shower stack recovery · all T2–T4</t>
  </si>
  <si>
    <t xml:space="preserve">  HERS rating + DOE ZERH enrollment</t>
  </si>
  <si>
    <t xml:space="preserve">HERS rater at CO + DOE program documentation</t>
  </si>
  <si>
    <t xml:space="preserve">Assumptions C36 · City target range</t>
  </si>
  <si>
    <t xml:space="preserve">IRA §45L developer credit (DOE Zero Energy Ready Home)</t>
  </si>
  <si>
    <t xml:space="preserve">$5,000/unit developer credit · T2–T4 DOE ZERH eligible</t>
  </si>
  <si>
    <t xml:space="preserve">TIER 3 — FORWARD POSITIVE  |  FORWARD HOME ROM</t>
  </si>
  <si>
    <t xml:space="preserve">G0 ROM ±25%  ·  HERS Neg to +10  ·  ACH50 &lt; 0.6  ·  Cert: PHIUS+ / PHIUS Zero  ·  Land: $1 (City program)  ·  Site/utilities: City-funded</t>
  </si>
  <si>
    <t xml:space="preserve">  Window upgrade — Magnus 4700 Passive House certified</t>
  </si>
  <si>
    <t xml:space="preserve">U ≤ 0.14 · PHIUS compliant</t>
  </si>
  <si>
    <t xml:space="preserve">UL 3141 · circuit-level control</t>
  </si>
  <si>
    <t xml:space="preserve">  PV system — 8.5 kW high-efficiency TOPCon/HJT</t>
  </si>
  <si>
    <t xml:space="preserve">≥ 22% efficiency · Enphase IQ8</t>
  </si>
  <si>
    <t xml:space="preserve">  Battery — Enphase IQ5P stack (13–20 kWh)</t>
  </si>
  <si>
    <t xml:space="preserve">Stackable · 15-yr warranty · island-capable</t>
  </si>
  <si>
    <t xml:space="preserve">  LiveRoof® MAXX + productive edible rows (Up Top Acres)</t>
  </si>
  <si>
    <t xml:space="preserve">8" soil · RoofBlue riser · lettuce/herbs/tomatoes</t>
  </si>
  <si>
    <t xml:space="preserve">  Cistern stub + Rain Bird XFS-CV subsurface drip</t>
  </si>
  <si>
    <t xml:space="preserve">T3 stub-out for T4 cistern upgrade</t>
  </si>
  <si>
    <t xml:space="preserve">  Interior air barrier membrane — Pro Clima Intello+</t>
  </si>
  <si>
    <t xml:space="preserve">Continuous · PHIUS compliant</t>
  </si>
  <si>
    <t xml:space="preserve">85% SRE · MERV 13</t>
  </si>
  <si>
    <t xml:space="preserve">Required at T3–T4</t>
  </si>
  <si>
    <t xml:space="preserve">  Tier 3–4 MEP PE premium (cistern/agrivoltaic/island elec.)</t>
  </si>
  <si>
    <t xml:space="preserve">Cistern plumbing + agrivoltaic structural + island-mode elec · SOP v1</t>
  </si>
  <si>
    <t xml:space="preserve">  PHIUS rater + commissioning plan</t>
  </si>
  <si>
    <t xml:space="preserve">PHIUS+ 2021 rater engagement · third-party commissioning</t>
  </si>
  <si>
    <t xml:space="preserve">Assumptions C37 · City target range</t>
  </si>
  <si>
    <t xml:space="preserve">TIER 4 — FORWARD HARVEST  |  FORWARD HOME ROM</t>
  </si>
  <si>
    <t xml:space="preserve">G0 ROM ±25%  ·  HERS Net positive  ·  ACH50 &lt; 0.6  ·  Cert: Off-grid verified  ·  Land: $1 (City program)  ·  Site/utilities: City-funded</t>
  </si>
  <si>
    <t xml:space="preserve">  SPAN MAIN 40 — island-mode configured</t>
  </si>
  <si>
    <t xml:space="preserve">Off-grid load-shedding priority schedule</t>
  </si>
  <si>
    <t xml:space="preserve">  Agrivoltaic PV trellis — 8.5–12 kW bifacial TOPCon</t>
  </si>
  <si>
    <t xml:space="preserve">Elevated 5–6 ft above Crop Circle growing beds</t>
  </si>
  <si>
    <t xml:space="preserve">  Off-grid battery — EcoFlow DELTA Pro Ultra + FranklinWH aPower 2</t>
  </si>
  <si>
    <t xml:space="preserve">19.2–90 kWh · true island mode · no utility interconnect</t>
  </si>
  <si>
    <t xml:space="preserve">  Crop Circle Farms® modular rooftop food system</t>
  </si>
  <si>
    <t xml:space="preserve">Patented · 40+ country trademark · 200–600 lbs/yr yield</t>
  </si>
  <si>
    <t xml:space="preserve">  500-gal cistern + gravity-fed Rain Bird XFS-CV drip</t>
  </si>
  <si>
    <t xml:space="preserve">Closed water loop: roof → crops → compost</t>
  </si>
  <si>
    <t xml:space="preserve">  NatureMill indoor composter</t>
  </si>
  <si>
    <t xml:space="preserve">5W · 2-week cycle · feeds rooftop growing medium</t>
  </si>
  <si>
    <t xml:space="preserve">Critical for off-grid battery efficiency</t>
  </si>
  <si>
    <t xml:space="preserve">Required T3–T4</t>
  </si>
  <si>
    <t xml:space="preserve">  PHIUS rater + off-grid performance verification</t>
  </si>
  <si>
    <t xml:space="preserve">PHIUS rater + annual energy/food production audit plan</t>
  </si>
  <si>
    <t xml:space="preserve">Assumptions C38 · City target range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</si>
</sst>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_);_(\$* \(#,##0\);_(\$* \-_);_(@_)"/>
    <numFmt numFmtId="166" formatCode="#,##0"/>
    <numFmt numFmtId="167" formatCode="\$#,##0.00"/>
    <numFmt numFmtId="168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E8E8E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96B23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534AB7"/>
      <name val="Arial"/>
      <family val="0"/>
      <charset val="1"/>
    </font>
    <font>
      <sz val="9"/>
      <color rgb="FF1A1A18"/>
      <name val="Arial"/>
      <family val="0"/>
      <charset val="1"/>
    </font>
    <font>
      <sz val="9"/>
      <color rgb="FF196B23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8"/>
      <color rgb="FF196B23"/>
      <name val="Arial"/>
      <family val="0"/>
      <charset val="1"/>
    </font>
    <font>
      <b val="true"/>
      <sz val="10"/>
      <color rgb="FF196B23"/>
      <name val="Arial"/>
      <family val="0"/>
      <charset val="1"/>
    </font>
    <font>
      <sz val="10"/>
      <color rgb="FF1A1A1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196B23"/>
      <name val="Arial"/>
      <family val="0"/>
      <charset val="1"/>
    </font>
    <font>
      <i val="true"/>
      <sz val="8"/>
      <color rgb="FF196B23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534AB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96B23"/>
        <bgColor rgb="FF0F6E56"/>
      </patternFill>
    </fill>
    <fill>
      <patternFill patternType="solid">
        <fgColor rgb="FF1A1A18"/>
        <bgColor rgb="FF003300"/>
      </patternFill>
    </fill>
    <fill>
      <patternFill patternType="solid">
        <fgColor rgb="FF0F6E56"/>
        <bgColor rgb="FF196B23"/>
      </patternFill>
    </fill>
    <fill>
      <patternFill patternType="solid">
        <fgColor rgb="FF185FA5"/>
        <bgColor rgb="FF0F6E56"/>
      </patternFill>
    </fill>
    <fill>
      <patternFill patternType="solid">
        <fgColor rgb="FF534AB7"/>
        <bgColor rgb="FF666666"/>
      </patternFill>
    </fill>
    <fill>
      <patternFill patternType="solid">
        <fgColor rgb="FFD6EDD6"/>
        <bgColor rgb="FFD4EDE8"/>
      </patternFill>
    </fill>
    <fill>
      <patternFill patternType="solid">
        <fgColor rgb="FFD4EDE8"/>
        <bgColor rgb="FFD6EDD6"/>
      </patternFill>
    </fill>
    <fill>
      <patternFill patternType="solid">
        <fgColor rgb="FFD6E8F6"/>
        <bgColor rgb="FFD4EDE8"/>
      </patternFill>
    </fill>
    <fill>
      <patternFill patternType="solid">
        <fgColor rgb="FFE8E6FA"/>
        <bgColor rgb="FFE8E8E3"/>
      </patternFill>
    </fill>
    <fill>
      <patternFill patternType="solid">
        <fgColor rgb="FFFFFFFF"/>
        <bgColor rgb="FFF7F7F4"/>
      </patternFill>
    </fill>
    <fill>
      <patternFill patternType="solid">
        <fgColor rgb="FFF7F7F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8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/>
      <bottom style="thin">
        <color rgb="FFBA75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08080"/>
      <rgbColor rgb="FF9999FF"/>
      <rgbColor rgb="FF993366"/>
      <rgbColor rgb="FFF7F7F4"/>
      <rgbColor rgb="FFD4EDE8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196B23"/>
      <rgbColor rgb="FF0000FF"/>
      <rgbColor rgb="FF00CCFF"/>
      <rgbColor rgb="FFD6E8F6"/>
      <rgbColor rgb="FFD6EDD6"/>
      <rgbColor rgb="FFE8E8E3"/>
      <rgbColor rgb="FF99CCFF"/>
      <rgbColor rgb="FFFF99CC"/>
      <rgbColor rgb="FFCC99FF"/>
      <rgbColor rgb="FFE8E6F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8"/>
      <rgbColor rgb="FF993300"/>
      <rgbColor rgb="FF993366"/>
      <rgbColor rgb="FF534AB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6B23"/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6" min="3" style="0" width="18"/>
    <col collapsed="false" customWidth="true" hidden="false" outlineLevel="0" max="7" min="7" style="0" width="2"/>
  </cols>
  <sheetData>
    <row r="1" customFormat="false" ht="19.5" hidden="false" customHeight="true" outlineLevel="0" collapsed="false">
      <c r="A1" s="1"/>
      <c r="B1" s="2" t="s">
        <v>0</v>
      </c>
      <c r="C1" s="3"/>
      <c r="D1" s="3"/>
      <c r="E1" s="3"/>
      <c r="F1" s="3"/>
      <c r="G1" s="3"/>
    </row>
    <row r="2" customFormat="false" ht="13.5" hidden="false" customHeight="true" outlineLevel="0" collapsed="false">
      <c r="A2" s="1"/>
      <c r="B2" s="4" t="s">
        <v>1</v>
      </c>
      <c r="C2" s="4"/>
      <c r="D2" s="4"/>
      <c r="E2" s="4"/>
      <c r="F2" s="4"/>
      <c r="G2" s="3"/>
    </row>
    <row r="3" customFormat="false" ht="15.75" hidden="false" customHeight="true" outlineLevel="0" collapsed="false">
      <c r="A3" s="1"/>
      <c r="B3" s="5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1"/>
    </row>
    <row r="4" customFormat="false" ht="13.5" hidden="false" customHeight="true" outlineLevel="0" collapsed="false">
      <c r="A4" s="1"/>
      <c r="B4" s="10" t="s">
        <v>7</v>
      </c>
      <c r="C4" s="11" t="s">
        <v>8</v>
      </c>
      <c r="D4" s="12" t="s">
        <v>8</v>
      </c>
      <c r="E4" s="13" t="s">
        <v>8</v>
      </c>
      <c r="F4" s="14" t="s">
        <v>8</v>
      </c>
    </row>
    <row r="5" customFormat="false" ht="13.5" hidden="false" customHeight="true" outlineLevel="0" collapsed="false">
      <c r="A5" s="15"/>
      <c r="B5" s="16" t="s">
        <v>9</v>
      </c>
      <c r="C5" s="17" t="n">
        <v>41999</v>
      </c>
      <c r="D5" s="17" t="n">
        <v>41999</v>
      </c>
      <c r="E5" s="17" t="n">
        <v>41999</v>
      </c>
      <c r="F5" s="17" t="n">
        <v>41999</v>
      </c>
    </row>
    <row r="6" customFormat="false" ht="13.5" hidden="false" customHeight="true" outlineLevel="0" collapsed="false">
      <c r="A6" s="15"/>
      <c r="B6" s="18" t="s">
        <v>10</v>
      </c>
      <c r="C6" s="19" t="n">
        <v>27999</v>
      </c>
      <c r="D6" s="19" t="n">
        <v>29999</v>
      </c>
      <c r="E6" s="19" t="n">
        <v>29999</v>
      </c>
      <c r="F6" s="19" t="n">
        <v>29999</v>
      </c>
    </row>
    <row r="7" customFormat="false" ht="13.5" hidden="false" customHeight="true" outlineLevel="0" collapsed="false">
      <c r="A7" s="15"/>
      <c r="B7" s="16" t="s">
        <v>11</v>
      </c>
      <c r="C7" s="17" t="n">
        <v>18994</v>
      </c>
      <c r="D7" s="17" t="n">
        <v>21006</v>
      </c>
      <c r="E7" s="17" t="n">
        <v>22005</v>
      </c>
      <c r="F7" s="17" t="n">
        <v>22005</v>
      </c>
    </row>
    <row r="8" customFormat="false" ht="13.5" hidden="false" customHeight="true" outlineLevel="0" collapsed="false">
      <c r="A8" s="15"/>
      <c r="B8" s="18" t="s">
        <v>12</v>
      </c>
      <c r="C8" s="19" t="n">
        <v>23004</v>
      </c>
      <c r="D8" s="19" t="n">
        <v>23004</v>
      </c>
      <c r="E8" s="19" t="n">
        <v>23004</v>
      </c>
      <c r="F8" s="19" t="n">
        <v>23004</v>
      </c>
    </row>
    <row r="9" customFormat="false" ht="13.5" hidden="false" customHeight="true" outlineLevel="0" collapsed="false">
      <c r="A9" s="15"/>
      <c r="B9" s="16" t="s">
        <v>13</v>
      </c>
      <c r="C9" s="20" t="n">
        <v>0</v>
      </c>
      <c r="D9" s="17" t="n">
        <v>47750</v>
      </c>
      <c r="E9" s="17" t="n">
        <v>54100</v>
      </c>
      <c r="F9" s="17" t="n">
        <v>76300</v>
      </c>
    </row>
    <row r="10" customFormat="false" ht="13.5" hidden="false" customHeight="true" outlineLevel="0" collapsed="false">
      <c r="A10" s="1"/>
      <c r="B10" s="21" t="s">
        <v>14</v>
      </c>
      <c r="C10" s="22" t="n">
        <v>111996</v>
      </c>
      <c r="D10" s="23" t="n">
        <v>163758</v>
      </c>
      <c r="E10" s="24" t="n">
        <v>171107</v>
      </c>
      <c r="F10" s="25" t="n">
        <v>193307</v>
      </c>
    </row>
    <row r="11" customFormat="false" ht="13.5" hidden="false" customHeight="true" outlineLevel="0" collapsed="false">
      <c r="A11" s="1"/>
      <c r="B11" s="10" t="s">
        <v>15</v>
      </c>
      <c r="C11" s="11" t="s">
        <v>8</v>
      </c>
      <c r="D11" s="12" t="s">
        <v>8</v>
      </c>
      <c r="E11" s="13" t="s">
        <v>8</v>
      </c>
      <c r="F11" s="14" t="s">
        <v>8</v>
      </c>
    </row>
    <row r="12" customFormat="false" ht="13.5" hidden="false" customHeight="true" outlineLevel="0" collapsed="false">
      <c r="A12" s="15"/>
      <c r="B12" s="18" t="s">
        <v>16</v>
      </c>
      <c r="C12" s="19" t="n">
        <v>5500</v>
      </c>
      <c r="D12" s="19" t="n">
        <v>5500</v>
      </c>
      <c r="E12" s="19" t="n">
        <v>5500</v>
      </c>
      <c r="F12" s="19" t="n">
        <v>5500</v>
      </c>
    </row>
    <row r="13" customFormat="false" ht="13.5" hidden="false" customHeight="true" outlineLevel="0" collapsed="false">
      <c r="A13" s="15"/>
      <c r="B13" s="16" t="s">
        <v>17</v>
      </c>
      <c r="C13" s="17" t="n">
        <v>3200</v>
      </c>
      <c r="D13" s="17" t="n">
        <v>3200</v>
      </c>
      <c r="E13" s="17" t="n">
        <v>3200</v>
      </c>
      <c r="F13" s="17" t="n">
        <v>3200</v>
      </c>
    </row>
    <row r="14" customFormat="false" ht="13.5" hidden="false" customHeight="true" outlineLevel="0" collapsed="false">
      <c r="A14" s="15"/>
      <c r="B14" s="18" t="s">
        <v>18</v>
      </c>
      <c r="C14" s="19" t="n">
        <v>3000</v>
      </c>
      <c r="D14" s="19" t="n">
        <v>3000</v>
      </c>
      <c r="E14" s="19" t="n">
        <v>3000</v>
      </c>
      <c r="F14" s="19" t="n">
        <v>3000</v>
      </c>
    </row>
    <row r="15" customFormat="false" ht="13.5" hidden="false" customHeight="true" outlineLevel="0" collapsed="false">
      <c r="A15" s="15"/>
      <c r="B15" s="16" t="s">
        <v>19</v>
      </c>
      <c r="C15" s="20" t="n">
        <v>0</v>
      </c>
      <c r="D15" s="17" t="n">
        <v>2000</v>
      </c>
      <c r="E15" s="17" t="n">
        <v>4250</v>
      </c>
      <c r="F15" s="17" t="n">
        <v>7500</v>
      </c>
    </row>
    <row r="16" customFormat="false" ht="13.5" hidden="false" customHeight="true" outlineLevel="0" collapsed="false">
      <c r="A16" s="15"/>
      <c r="B16" s="18" t="s">
        <v>20</v>
      </c>
      <c r="C16" s="26" t="n">
        <v>0</v>
      </c>
      <c r="D16" s="26" t="n">
        <v>0</v>
      </c>
      <c r="E16" s="19" t="n">
        <v>3200</v>
      </c>
      <c r="F16" s="19" t="n">
        <v>3200</v>
      </c>
    </row>
    <row r="17" customFormat="false" ht="13.5" hidden="false" customHeight="true" outlineLevel="0" collapsed="false">
      <c r="A17" s="1"/>
      <c r="B17" s="21" t="s">
        <v>21</v>
      </c>
      <c r="C17" s="22" t="n">
        <v>11700</v>
      </c>
      <c r="D17" s="23" t="n">
        <v>13700</v>
      </c>
      <c r="E17" s="24" t="n">
        <v>19150</v>
      </c>
      <c r="F17" s="25" t="n">
        <v>22400</v>
      </c>
    </row>
    <row r="18" customFormat="false" ht="13.5" hidden="false" customHeight="true" outlineLevel="0" collapsed="false">
      <c r="A18" s="15"/>
      <c r="B18" s="18" t="s">
        <v>22</v>
      </c>
      <c r="C18" s="19" t="n">
        <v>9896</v>
      </c>
      <c r="D18" s="19" t="n">
        <v>14196</v>
      </c>
      <c r="E18" s="19" t="n">
        <v>15220</v>
      </c>
      <c r="F18" s="19" t="n">
        <v>17352</v>
      </c>
    </row>
    <row r="19" customFormat="false" ht="13.5" hidden="false" customHeight="true" outlineLevel="0" collapsed="false">
      <c r="A19" s="15"/>
      <c r="B19" s="16" t="s">
        <v>23</v>
      </c>
      <c r="C19" s="17" t="n">
        <v>6531</v>
      </c>
      <c r="D19" s="17" t="n">
        <v>7819</v>
      </c>
      <c r="E19" s="17" t="n">
        <v>8374</v>
      </c>
      <c r="F19" s="17" t="n">
        <v>9530</v>
      </c>
    </row>
    <row r="20" customFormat="false" ht="13.5" hidden="false" customHeight="true" outlineLevel="0" collapsed="false">
      <c r="A20" s="1"/>
      <c r="B20" s="27" t="s">
        <v>24</v>
      </c>
      <c r="C20" s="22" t="n">
        <v>140123</v>
      </c>
      <c r="D20" s="23" t="n">
        <v>199473</v>
      </c>
      <c r="E20" s="24" t="n">
        <v>213851</v>
      </c>
      <c r="F20" s="25" t="n">
        <v>242589</v>
      </c>
    </row>
    <row r="21" customFormat="false" ht="13.5" hidden="false" customHeight="true" outlineLevel="0" collapsed="false">
      <c r="A21" s="15"/>
      <c r="B21" s="16" t="s">
        <v>25</v>
      </c>
      <c r="C21" s="17" t="n">
        <v>235000</v>
      </c>
      <c r="D21" s="17" t="n">
        <v>250000</v>
      </c>
      <c r="E21" s="17" t="n">
        <v>265000</v>
      </c>
      <c r="F21" s="17" t="n">
        <v>290000</v>
      </c>
    </row>
    <row r="22" customFormat="false" ht="13.5" hidden="false" customHeight="true" outlineLevel="0" collapsed="false">
      <c r="A22" s="15"/>
      <c r="B22" s="28" t="s">
        <v>26</v>
      </c>
      <c r="C22" s="26" t="n">
        <v>0</v>
      </c>
      <c r="D22" s="19" t="n">
        <v>5000</v>
      </c>
      <c r="E22" s="19" t="n">
        <v>5000</v>
      </c>
      <c r="F22" s="19" t="n">
        <v>5000</v>
      </c>
    </row>
    <row r="23" customFormat="false" ht="13.5" hidden="false" customHeight="true" outlineLevel="0" collapsed="false">
      <c r="A23" s="1"/>
      <c r="B23" s="10" t="s">
        <v>27</v>
      </c>
      <c r="C23" s="22" t="n">
        <v>94877</v>
      </c>
      <c r="D23" s="23" t="n">
        <v>55527</v>
      </c>
      <c r="E23" s="24" t="n">
        <v>56149</v>
      </c>
      <c r="F23" s="25" t="n">
        <v>52411</v>
      </c>
    </row>
    <row r="24" customFormat="false" ht="13.5" hidden="false" customHeight="true" outlineLevel="0" collapsed="false">
      <c r="A24" s="1"/>
      <c r="B24" s="21" t="s">
        <v>28</v>
      </c>
      <c r="C24" s="11" t="s">
        <v>29</v>
      </c>
      <c r="D24" s="12" t="s">
        <v>30</v>
      </c>
      <c r="E24" s="13" t="s">
        <v>31</v>
      </c>
      <c r="F24" s="14" t="s">
        <v>32</v>
      </c>
    </row>
    <row r="26" customFormat="false" ht="13.5" hidden="false" customHeight="true" outlineLevel="0" collapsed="false">
      <c r="A26" s="15"/>
      <c r="B26" s="18" t="s">
        <v>33</v>
      </c>
      <c r="C26" s="26" t="n">
        <v>10</v>
      </c>
      <c r="D26" s="26" t="n">
        <v>10</v>
      </c>
      <c r="E26" s="26" t="n">
        <v>10</v>
      </c>
      <c r="F26" s="26" t="n">
        <v>10</v>
      </c>
    </row>
    <row r="27" customFormat="false" ht="13.5" hidden="false" customHeight="true" outlineLevel="0" collapsed="false">
      <c r="A27" s="1"/>
      <c r="B27" s="21" t="s">
        <v>34</v>
      </c>
      <c r="C27" s="22" t="n">
        <v>1401230</v>
      </c>
      <c r="D27" s="23" t="n">
        <v>1994730</v>
      </c>
      <c r="E27" s="24" t="n">
        <v>2138510</v>
      </c>
      <c r="F27" s="25" t="n">
        <v>2425890</v>
      </c>
    </row>
    <row r="28" customFormat="false" ht="13.5" hidden="false" customHeight="true" outlineLevel="0" collapsed="false">
      <c r="A28" s="15"/>
      <c r="B28" s="18" t="s">
        <v>35</v>
      </c>
      <c r="C28" s="19" t="n">
        <v>2350000</v>
      </c>
      <c r="D28" s="19" t="n">
        <v>2500000</v>
      </c>
      <c r="E28" s="19" t="n">
        <v>2650000</v>
      </c>
      <c r="F28" s="19" t="n">
        <v>2900000</v>
      </c>
    </row>
    <row r="29" customFormat="false" ht="13.5" hidden="false" customHeight="true" outlineLevel="0" collapsed="false">
      <c r="A29" s="1"/>
      <c r="B29" s="10" t="s">
        <v>36</v>
      </c>
      <c r="C29" s="22" t="n">
        <v>948770</v>
      </c>
      <c r="D29" s="23" t="n">
        <v>555270</v>
      </c>
      <c r="E29" s="24" t="n">
        <v>561490</v>
      </c>
      <c r="F29" s="25" t="n">
        <v>524110</v>
      </c>
    </row>
    <row r="30" customFormat="false" ht="13.5" hidden="false" customHeight="true" outlineLevel="0" collapsed="false">
      <c r="A30" s="15"/>
      <c r="B30" s="18" t="s">
        <v>37</v>
      </c>
      <c r="C30" s="29" t="s">
        <v>38</v>
      </c>
      <c r="D30" s="29" t="s">
        <v>39</v>
      </c>
      <c r="E30" s="29" t="s">
        <v>40</v>
      </c>
      <c r="F30" s="29" t="s">
        <v>41</v>
      </c>
    </row>
    <row r="31" customFormat="false" ht="13.5" hidden="false" customHeight="true" outlineLevel="0" collapsed="false">
      <c r="A31" s="15"/>
      <c r="B31" s="16" t="s">
        <v>42</v>
      </c>
      <c r="C31" s="30" t="s">
        <v>43</v>
      </c>
      <c r="D31" s="30" t="s">
        <v>44</v>
      </c>
      <c r="E31" s="30" t="s">
        <v>45</v>
      </c>
      <c r="F31" s="30" t="s">
        <v>45</v>
      </c>
    </row>
    <row r="32" customFormat="false" ht="13.5" hidden="false" customHeight="true" outlineLevel="0" collapsed="false">
      <c r="A32" s="15"/>
      <c r="B32" s="18" t="s">
        <v>46</v>
      </c>
      <c r="C32" s="29" t="s">
        <v>47</v>
      </c>
      <c r="D32" s="29" t="s">
        <v>48</v>
      </c>
      <c r="E32" s="29" t="s">
        <v>49</v>
      </c>
      <c r="F32" s="29" t="s">
        <v>50</v>
      </c>
    </row>
    <row r="34" customFormat="false" ht="27.75" hidden="false" customHeight="true" outlineLevel="0" collapsed="false">
      <c r="B34" s="31" t="s">
        <v>51</v>
      </c>
      <c r="C34" s="31"/>
      <c r="D34" s="31"/>
      <c r="E34" s="31"/>
      <c r="F34" s="31"/>
    </row>
    <row r="36" customFormat="false" ht="15.75" hidden="false" customHeight="true" outlineLevel="0" collapsed="false">
      <c r="A36" s="1"/>
      <c r="B36" s="32" t="s">
        <v>52</v>
      </c>
      <c r="C36" s="1"/>
      <c r="D36" s="1"/>
      <c r="E36" s="1"/>
      <c r="F36" s="1"/>
      <c r="G36" s="1"/>
    </row>
    <row r="37" customFormat="false" ht="13.5" hidden="false" customHeight="true" outlineLevel="0" collapsed="false">
      <c r="B37" s="33" t="s">
        <v>53</v>
      </c>
      <c r="C37" s="34" t="s">
        <v>54</v>
      </c>
      <c r="D37" s="34"/>
      <c r="E37" s="34"/>
      <c r="F37" s="34"/>
    </row>
    <row r="38" customFormat="false" ht="13.5" hidden="false" customHeight="true" outlineLevel="0" collapsed="false">
      <c r="B38" s="35" t="s">
        <v>55</v>
      </c>
      <c r="C38" s="36" t="s">
        <v>56</v>
      </c>
      <c r="D38" s="36"/>
      <c r="E38" s="36"/>
      <c r="F38" s="36"/>
    </row>
    <row r="39" customFormat="false" ht="13.5" hidden="false" customHeight="true" outlineLevel="0" collapsed="false">
      <c r="B39" s="33" t="s">
        <v>3</v>
      </c>
      <c r="C39" s="34" t="s">
        <v>57</v>
      </c>
      <c r="D39" s="34"/>
      <c r="E39" s="34"/>
      <c r="F39" s="34"/>
    </row>
    <row r="40" customFormat="false" ht="13.5" hidden="false" customHeight="true" outlineLevel="0" collapsed="false">
      <c r="B40" s="35" t="s">
        <v>4</v>
      </c>
      <c r="C40" s="36" t="s">
        <v>58</v>
      </c>
      <c r="D40" s="36"/>
      <c r="E40" s="36"/>
      <c r="F40" s="36"/>
    </row>
    <row r="41" customFormat="false" ht="13.5" hidden="false" customHeight="true" outlineLevel="0" collapsed="false">
      <c r="B41" s="33" t="s">
        <v>5</v>
      </c>
      <c r="C41" s="34" t="s">
        <v>59</v>
      </c>
      <c r="D41" s="34"/>
      <c r="E41" s="34"/>
      <c r="F41" s="34"/>
    </row>
    <row r="42" customFormat="false" ht="13.5" hidden="false" customHeight="true" outlineLevel="0" collapsed="false">
      <c r="B42" s="35" t="s">
        <v>6</v>
      </c>
      <c r="C42" s="36" t="s">
        <v>60</v>
      </c>
      <c r="D42" s="36"/>
      <c r="E42" s="36"/>
      <c r="F42" s="36"/>
    </row>
  </sheetData>
  <mergeCells count="8">
    <mergeCell ref="B2:F2"/>
    <mergeCell ref="B34:F34"/>
    <mergeCell ref="C37:F37"/>
    <mergeCell ref="C38:F38"/>
    <mergeCell ref="C39:F39"/>
    <mergeCell ref="C40:F40"/>
    <mergeCell ref="C41:F41"/>
    <mergeCell ref="C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"/>
  </cols>
  <sheetData>
    <row r="1" customFormat="false" ht="15" hidden="false" customHeight="false" outlineLevel="0" collapsed="false">
      <c r="A1" s="1"/>
      <c r="B1" s="37" t="s">
        <v>61</v>
      </c>
      <c r="C1" s="3"/>
      <c r="D1" s="3"/>
      <c r="E1" s="3"/>
    </row>
    <row r="2" customFormat="false" ht="15" hidden="false" customHeight="false" outlineLevel="0" collapsed="false">
      <c r="B2" s="38" t="s">
        <v>62</v>
      </c>
      <c r="C2" s="38"/>
      <c r="D2" s="38"/>
    </row>
    <row r="4" customFormat="false" ht="18" hidden="false" customHeight="true" outlineLevel="0" collapsed="false">
      <c r="A4" s="1"/>
      <c r="B4" s="39" t="s">
        <v>63</v>
      </c>
      <c r="C4" s="39"/>
      <c r="D4" s="39"/>
      <c r="E4" s="1"/>
    </row>
    <row r="5" customFormat="false" ht="13.5" hidden="false" customHeight="true" outlineLevel="0" collapsed="false">
      <c r="A5" s="15"/>
      <c r="B5" s="18" t="s">
        <v>64</v>
      </c>
      <c r="C5" s="40" t="n">
        <v>31.11</v>
      </c>
      <c r="D5" s="41" t="s">
        <v>65</v>
      </c>
    </row>
    <row r="6" customFormat="false" ht="13.5" hidden="false" customHeight="true" outlineLevel="0" collapsed="false">
      <c r="A6" s="15"/>
      <c r="B6" s="18" t="s">
        <v>66</v>
      </c>
      <c r="C6" s="40" t="n">
        <v>20.74</v>
      </c>
      <c r="D6" s="41" t="s">
        <v>67</v>
      </c>
    </row>
    <row r="7" customFormat="false" ht="13.5" hidden="false" customHeight="true" outlineLevel="0" collapsed="false">
      <c r="A7" s="15"/>
      <c r="B7" s="18" t="s">
        <v>68</v>
      </c>
      <c r="C7" s="40" t="n">
        <v>22.22</v>
      </c>
      <c r="D7" s="41" t="s">
        <v>69</v>
      </c>
    </row>
    <row r="8" customFormat="false" ht="13.5" hidden="false" customHeight="true" outlineLevel="0" collapsed="false">
      <c r="A8" s="15"/>
      <c r="B8" s="18" t="s">
        <v>70</v>
      </c>
      <c r="C8" s="40" t="n">
        <v>14.07</v>
      </c>
      <c r="D8" s="41" t="s">
        <v>71</v>
      </c>
    </row>
    <row r="9" customFormat="false" ht="13.5" hidden="false" customHeight="true" outlineLevel="0" collapsed="false">
      <c r="A9" s="15"/>
      <c r="B9" s="18" t="s">
        <v>72</v>
      </c>
      <c r="C9" s="40" t="n">
        <v>15.56</v>
      </c>
      <c r="D9" s="41" t="s">
        <v>73</v>
      </c>
    </row>
    <row r="10" customFormat="false" ht="13.5" hidden="false" customHeight="true" outlineLevel="0" collapsed="false">
      <c r="A10" s="15"/>
      <c r="B10" s="18" t="s">
        <v>74</v>
      </c>
      <c r="C10" s="40" t="n">
        <v>16.3</v>
      </c>
      <c r="D10" s="41" t="s">
        <v>75</v>
      </c>
    </row>
    <row r="11" customFormat="false" ht="13.5" hidden="false" customHeight="true" outlineLevel="0" collapsed="false">
      <c r="A11" s="15"/>
      <c r="B11" s="18" t="s">
        <v>76</v>
      </c>
      <c r="C11" s="40" t="n">
        <v>17.04</v>
      </c>
      <c r="D11" s="41" t="s">
        <v>77</v>
      </c>
    </row>
    <row r="13" customFormat="false" ht="18" hidden="false" customHeight="true" outlineLevel="0" collapsed="false">
      <c r="A13" s="1"/>
      <c r="B13" s="39" t="s">
        <v>78</v>
      </c>
      <c r="C13" s="39"/>
      <c r="D13" s="39"/>
      <c r="E13" s="1"/>
    </row>
    <row r="14" customFormat="false" ht="13.5" hidden="false" customHeight="true" outlineLevel="0" collapsed="false">
      <c r="A14" s="15"/>
      <c r="B14" s="18" t="s">
        <v>79</v>
      </c>
      <c r="C14" s="42" t="n">
        <v>1</v>
      </c>
      <c r="D14" s="41" t="s">
        <v>80</v>
      </c>
    </row>
    <row r="15" customFormat="false" ht="13.5" hidden="false" customHeight="true" outlineLevel="0" collapsed="false">
      <c r="A15" s="15"/>
      <c r="B15" s="18" t="s">
        <v>81</v>
      </c>
      <c r="C15" s="43" t="n">
        <v>5500</v>
      </c>
      <c r="D15" s="41" t="s">
        <v>82</v>
      </c>
    </row>
    <row r="16" customFormat="false" ht="13.5" hidden="false" customHeight="true" outlineLevel="0" collapsed="false">
      <c r="A16" s="15"/>
      <c r="B16" s="18" t="s">
        <v>83</v>
      </c>
      <c r="C16" s="43" t="n">
        <v>3200</v>
      </c>
      <c r="D16" s="41" t="s">
        <v>84</v>
      </c>
    </row>
    <row r="17" customFormat="false" ht="13.5" hidden="false" customHeight="true" outlineLevel="0" collapsed="false">
      <c r="A17" s="15"/>
      <c r="B17" s="18" t="s">
        <v>85</v>
      </c>
      <c r="C17" s="43" t="n">
        <v>1800</v>
      </c>
      <c r="D17" s="41" t="s">
        <v>86</v>
      </c>
    </row>
    <row r="18" customFormat="false" ht="13.5" hidden="false" customHeight="true" outlineLevel="0" collapsed="false">
      <c r="A18" s="15"/>
      <c r="B18" s="18" t="s">
        <v>87</v>
      </c>
      <c r="C18" s="43" t="n">
        <v>1800</v>
      </c>
      <c r="D18" s="41" t="s">
        <v>88</v>
      </c>
    </row>
    <row r="19" customFormat="false" ht="13.5" hidden="false" customHeight="true" outlineLevel="0" collapsed="false">
      <c r="A19" s="15"/>
      <c r="B19" s="18" t="s">
        <v>89</v>
      </c>
      <c r="C19" s="43" t="n">
        <v>1200</v>
      </c>
      <c r="D19" s="41" t="s">
        <v>90</v>
      </c>
    </row>
    <row r="20" customFormat="false" ht="15" hidden="false" customHeight="true" outlineLevel="0" collapsed="false">
      <c r="A20" s="15"/>
      <c r="B20" s="21" t="s">
        <v>91</v>
      </c>
      <c r="C20" s="44" t="n">
        <f aca="false">C15+IF(C14=1,C16,C17)+C18+C19</f>
        <v>11700</v>
      </c>
      <c r="D20" s="45" t="s">
        <v>92</v>
      </c>
    </row>
    <row r="22" customFormat="false" ht="18" hidden="false" customHeight="true" outlineLevel="0" collapsed="false">
      <c r="A22" s="1"/>
      <c r="B22" s="39" t="s">
        <v>93</v>
      </c>
      <c r="C22" s="39"/>
      <c r="D22" s="39"/>
      <c r="E22" s="1"/>
    </row>
    <row r="23" customFormat="false" ht="13.5" hidden="false" customHeight="true" outlineLevel="0" collapsed="false">
      <c r="A23" s="15"/>
      <c r="B23" s="18" t="s">
        <v>94</v>
      </c>
      <c r="C23" s="46" t="n">
        <v>0.1025</v>
      </c>
      <c r="D23" s="41" t="s">
        <v>95</v>
      </c>
    </row>
    <row r="24" customFormat="false" ht="13.5" hidden="false" customHeight="true" outlineLevel="0" collapsed="false">
      <c r="A24" s="15"/>
      <c r="B24" s="18" t="s">
        <v>96</v>
      </c>
      <c r="C24" s="42" t="n">
        <v>31</v>
      </c>
      <c r="D24" s="41" t="s">
        <v>97</v>
      </c>
    </row>
    <row r="25" customFormat="false" ht="13.5" hidden="false" customHeight="true" outlineLevel="0" collapsed="false">
      <c r="A25" s="15"/>
      <c r="B25" s="18" t="s">
        <v>98</v>
      </c>
      <c r="C25" s="46" t="n">
        <v>0.8</v>
      </c>
      <c r="D25" s="41" t="s">
        <v>99</v>
      </c>
    </row>
    <row r="27" customFormat="false" ht="18" hidden="false" customHeight="true" outlineLevel="0" collapsed="false">
      <c r="A27" s="1"/>
      <c r="B27" s="39" t="s">
        <v>100</v>
      </c>
      <c r="C27" s="39"/>
      <c r="D27" s="39"/>
      <c r="E27" s="1"/>
    </row>
    <row r="28" customFormat="false" ht="13.5" hidden="false" customHeight="true" outlineLevel="0" collapsed="false">
      <c r="A28" s="15"/>
      <c r="B28" s="18" t="s">
        <v>101</v>
      </c>
      <c r="C28" s="43" t="n">
        <v>235000</v>
      </c>
      <c r="D28" s="41" t="s">
        <v>102</v>
      </c>
    </row>
    <row r="29" customFormat="false" ht="13.5" hidden="false" customHeight="true" outlineLevel="0" collapsed="false">
      <c r="A29" s="15"/>
      <c r="B29" s="18" t="s">
        <v>103</v>
      </c>
      <c r="C29" s="43" t="n">
        <v>250000</v>
      </c>
    </row>
    <row r="30" customFormat="false" ht="13.5" hidden="false" customHeight="true" outlineLevel="0" collapsed="false">
      <c r="A30" s="15"/>
      <c r="B30" s="18" t="s">
        <v>104</v>
      </c>
      <c r="C30" s="43" t="n">
        <v>265000</v>
      </c>
    </row>
    <row r="31" customFormat="false" ht="13.5" hidden="false" customHeight="true" outlineLevel="0" collapsed="false">
      <c r="A31" s="15"/>
      <c r="B31" s="18" t="s">
        <v>105</v>
      </c>
      <c r="C31" s="43" t="n">
        <v>290000</v>
      </c>
    </row>
    <row r="32" customFormat="false" ht="13.5" hidden="false" customHeight="true" outlineLevel="0" collapsed="false">
      <c r="A32" s="15"/>
      <c r="B32" s="18" t="s">
        <v>106</v>
      </c>
      <c r="C32" s="43" t="n">
        <v>1550</v>
      </c>
      <c r="D32" s="41" t="s">
        <v>107</v>
      </c>
    </row>
    <row r="33" customFormat="false" ht="13.5" hidden="false" customHeight="true" outlineLevel="0" collapsed="false">
      <c r="A33" s="15"/>
      <c r="B33" s="18" t="s">
        <v>108</v>
      </c>
      <c r="C33" s="46" t="n">
        <v>0.45</v>
      </c>
      <c r="D33" s="41" t="s">
        <v>109</v>
      </c>
    </row>
    <row r="34" customFormat="false" ht="13.5" hidden="false" customHeight="true" outlineLevel="0" collapsed="false">
      <c r="A34" s="15"/>
      <c r="B34" s="18" t="s">
        <v>110</v>
      </c>
      <c r="C34" s="46" t="n">
        <v>0.062</v>
      </c>
      <c r="D34" s="41" t="s">
        <v>111</v>
      </c>
    </row>
    <row r="36" customFormat="false" ht="18" hidden="false" customHeight="true" outlineLevel="0" collapsed="false">
      <c r="A36" s="1"/>
      <c r="B36" s="39" t="s">
        <v>112</v>
      </c>
      <c r="C36" s="39"/>
      <c r="D36" s="39"/>
      <c r="E36" s="1"/>
    </row>
    <row r="37" customFormat="false" ht="13.5" hidden="false" customHeight="true" outlineLevel="0" collapsed="false">
      <c r="A37" s="15"/>
      <c r="B37" s="18" t="s">
        <v>113</v>
      </c>
      <c r="C37" s="43" t="n">
        <v>1</v>
      </c>
      <c r="D37" s="41" t="s">
        <v>114</v>
      </c>
    </row>
    <row r="38" customFormat="false" ht="13.5" hidden="false" customHeight="true" outlineLevel="0" collapsed="false">
      <c r="A38" s="15"/>
      <c r="B38" s="18" t="s">
        <v>115</v>
      </c>
      <c r="C38" s="43" t="n">
        <v>0</v>
      </c>
      <c r="D38" s="41" t="s">
        <v>116</v>
      </c>
    </row>
    <row r="41" customFormat="false" ht="24" hidden="false" customHeight="true" outlineLevel="0" collapsed="false">
      <c r="B41" s="31" t="s">
        <v>117</v>
      </c>
      <c r="C41" s="31"/>
      <c r="D41" s="31"/>
    </row>
  </sheetData>
  <mergeCells count="7">
    <mergeCell ref="B2:D2"/>
    <mergeCell ref="B4:D4"/>
    <mergeCell ref="B13:D13"/>
    <mergeCell ref="B22:D22"/>
    <mergeCell ref="B27:D27"/>
    <mergeCell ref="B36:D36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6B23"/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"/>
  </cols>
  <sheetData>
    <row r="1" customFormat="false" ht="19.5" hidden="false" customHeight="true" outlineLevel="0" collapsed="false">
      <c r="A1" s="1"/>
      <c r="B1" s="2" t="s">
        <v>118</v>
      </c>
      <c r="C1" s="3"/>
      <c r="D1" s="3"/>
      <c r="E1" s="3"/>
      <c r="F1" s="3"/>
      <c r="G1" s="3"/>
    </row>
    <row r="2" customFormat="false" ht="13.5" hidden="false" customHeight="true" outlineLevel="0" collapsed="false">
      <c r="A2" s="1"/>
      <c r="B2" s="4" t="s">
        <v>119</v>
      </c>
      <c r="C2" s="4"/>
      <c r="D2" s="4"/>
      <c r="E2" s="4"/>
      <c r="F2" s="4"/>
      <c r="G2" s="3"/>
    </row>
    <row r="3" customFormat="false" ht="15.75" hidden="false" customHeight="true" outlineLevel="0" collapsed="false">
      <c r="A3" s="1"/>
      <c r="B3" s="5" t="s">
        <v>120</v>
      </c>
      <c r="C3" s="47" t="s">
        <v>121</v>
      </c>
      <c r="D3" s="6" t="s">
        <v>122</v>
      </c>
      <c r="E3" s="6" t="s">
        <v>123</v>
      </c>
      <c r="F3" s="5" t="s">
        <v>124</v>
      </c>
      <c r="G3" s="1"/>
    </row>
    <row r="4" customFormat="false" ht="18" hidden="false" customHeight="true" outlineLevel="0" collapsed="false">
      <c r="A4" s="1"/>
      <c r="B4" s="48" t="s">
        <v>125</v>
      </c>
      <c r="C4" s="1"/>
      <c r="D4" s="1"/>
      <c r="E4" s="1"/>
      <c r="F4" s="1"/>
      <c r="G4" s="1"/>
    </row>
    <row r="5" customFormat="false" ht="13.5" hidden="false" customHeight="true" outlineLevel="0" collapsed="false">
      <c r="A5" s="15"/>
      <c r="B5" s="49" t="s">
        <v>126</v>
      </c>
      <c r="C5" s="42" t="n">
        <v>10</v>
      </c>
      <c r="D5" s="50" t="n">
        <f aca="false">C5</f>
        <v>10</v>
      </c>
      <c r="F5" s="41" t="s">
        <v>127</v>
      </c>
    </row>
    <row r="6" customFormat="false" ht="13.5" hidden="false" customHeight="true" outlineLevel="0" collapsed="false">
      <c r="A6" s="15"/>
      <c r="B6" s="49" t="s">
        <v>128</v>
      </c>
      <c r="C6" s="51" t="n">
        <v>1350</v>
      </c>
      <c r="D6" s="52" t="n">
        <f aca="false">C6</f>
        <v>1350</v>
      </c>
      <c r="E6" s="52" t="n">
        <f aca="false">D6*C5</f>
        <v>13500</v>
      </c>
    </row>
    <row r="7" customFormat="false" ht="13.5" hidden="false" customHeight="true" outlineLevel="0" collapsed="false">
      <c r="A7" s="15"/>
      <c r="B7" s="49" t="s">
        <v>129</v>
      </c>
      <c r="C7" s="53" t="n">
        <f aca="false">Assumptions!C35</f>
        <v>0</v>
      </c>
      <c r="D7" s="53" t="n">
        <f aca="false">Assumptions!C35</f>
        <v>0</v>
      </c>
      <c r="E7" s="54" t="n">
        <f aca="false">D7*C5</f>
        <v>0</v>
      </c>
    </row>
    <row r="9" customFormat="false" ht="18" hidden="false" customHeight="true" outlineLevel="0" collapsed="false">
      <c r="A9" s="1"/>
      <c r="B9" s="48" t="s">
        <v>130</v>
      </c>
      <c r="C9" s="1"/>
      <c r="D9" s="1"/>
      <c r="E9" s="1"/>
      <c r="F9" s="1"/>
      <c r="G9" s="1"/>
    </row>
    <row r="10" customFormat="false" ht="13.5" hidden="false" customHeight="true" outlineLevel="0" collapsed="false">
      <c r="A10" s="15"/>
      <c r="B10" s="49" t="s">
        <v>131</v>
      </c>
      <c r="C10" s="43" t="n">
        <v>500000</v>
      </c>
      <c r="D10" s="54" t="n">
        <f aca="false">C10/C5</f>
        <v>50000</v>
      </c>
      <c r="E10" s="54" t="n">
        <f aca="false">C10</f>
        <v>500000</v>
      </c>
      <c r="F10" s="41" t="s">
        <v>132</v>
      </c>
    </row>
    <row r="11" customFormat="false" ht="13.5" hidden="false" customHeight="true" outlineLevel="0" collapsed="false">
      <c r="A11" s="15"/>
      <c r="B11" s="49" t="s">
        <v>133</v>
      </c>
      <c r="C11" s="55" t="s">
        <v>134</v>
      </c>
      <c r="D11" s="54" t="n">
        <f aca="false">D32*Assumptions!C32</f>
        <v>7.90994189549076E+023</v>
      </c>
      <c r="E11" s="54" t="n">
        <f aca="false">D11*C5</f>
        <v>7.90994189549076E+024</v>
      </c>
    </row>
    <row r="12" customFormat="false" ht="13.5" hidden="false" customHeight="true" outlineLevel="0" collapsed="false">
      <c r="A12" s="15"/>
      <c r="B12" s="49" t="s">
        <v>135</v>
      </c>
      <c r="C12" s="55" t="s">
        <v>136</v>
      </c>
      <c r="D12" s="55" t="s">
        <v>136</v>
      </c>
      <c r="E12" s="55" t="s">
        <v>136</v>
      </c>
    </row>
    <row r="14" customFormat="false" ht="18" hidden="false" customHeight="true" outlineLevel="0" collapsed="false">
      <c r="A14" s="3"/>
      <c r="B14" s="56" t="s">
        <v>137</v>
      </c>
      <c r="C14" s="3"/>
      <c r="D14" s="3"/>
      <c r="E14" s="3"/>
      <c r="F14" s="3"/>
      <c r="G14" s="3"/>
    </row>
    <row r="15" customFormat="false" ht="13.5" hidden="false" customHeight="true" outlineLevel="0" collapsed="false">
      <c r="A15" s="15"/>
      <c r="B15" s="49" t="s">
        <v>138</v>
      </c>
      <c r="C15" s="57" t="n">
        <f aca="false">Assumptions!C5</f>
        <v>31.11</v>
      </c>
      <c r="D15" s="54" t="n">
        <f aca="false">C6*Assumptions!C5</f>
        <v>41998.5</v>
      </c>
      <c r="E15" s="54" t="n">
        <f aca="false">D15*C5</f>
        <v>419985</v>
      </c>
      <c r="F15" s="41" t="s">
        <v>139</v>
      </c>
    </row>
    <row r="16" customFormat="false" ht="13.5" hidden="false" customHeight="true" outlineLevel="0" collapsed="false">
      <c r="A16" s="15"/>
      <c r="B16" s="49" t="s">
        <v>140</v>
      </c>
      <c r="C16" s="57" t="n">
        <f aca="false">Assumptions!C6</f>
        <v>20.74</v>
      </c>
      <c r="D16" s="54" t="n">
        <f aca="false">C6*Assumptions!C6</f>
        <v>27999</v>
      </c>
      <c r="E16" s="54" t="n">
        <f aca="false">D16*C5</f>
        <v>279990</v>
      </c>
      <c r="F16" s="41" t="s">
        <v>141</v>
      </c>
    </row>
    <row r="17" customFormat="false" ht="13.5" hidden="false" customHeight="true" outlineLevel="0" collapsed="false">
      <c r="A17" s="15"/>
      <c r="B17" s="49" t="s">
        <v>142</v>
      </c>
      <c r="C17" s="57" t="n">
        <f aca="false">Assumptions!C8</f>
        <v>14.07</v>
      </c>
      <c r="D17" s="54" t="n">
        <f aca="false">C6*Assumptions!C8</f>
        <v>18994.5</v>
      </c>
      <c r="E17" s="54" t="n">
        <f aca="false">D17*C5</f>
        <v>189945</v>
      </c>
      <c r="F17" s="41" t="s">
        <v>143</v>
      </c>
    </row>
    <row r="18" customFormat="false" ht="13.5" hidden="false" customHeight="true" outlineLevel="0" collapsed="false">
      <c r="A18" s="15"/>
      <c r="B18" s="49" t="s">
        <v>144</v>
      </c>
      <c r="C18" s="57" t="n">
        <f aca="false">Assumptions!C11</f>
        <v>17.04</v>
      </c>
      <c r="D18" s="54" t="n">
        <f aca="false">C6*Assumptions!C11</f>
        <v>23004</v>
      </c>
      <c r="E18" s="54" t="n">
        <f aca="false">D18*C5</f>
        <v>230040</v>
      </c>
      <c r="F18" s="41" t="s">
        <v>145</v>
      </c>
    </row>
    <row r="19" customFormat="false" ht="15" hidden="false" customHeight="true" outlineLevel="0" collapsed="false">
      <c r="A19" s="58"/>
      <c r="B19" s="21" t="s">
        <v>146</v>
      </c>
      <c r="D19" s="59" t="n">
        <f aca="false">SUM(D15:D18)</f>
        <v>111996</v>
      </c>
      <c r="E19" s="59" t="n">
        <f aca="false">SUM(E15:E18)</f>
        <v>1119960</v>
      </c>
    </row>
    <row r="21" customFormat="false" ht="18" hidden="false" customHeight="true" outlineLevel="0" collapsed="false">
      <c r="A21" s="1"/>
      <c r="B21" s="48" t="s">
        <v>147</v>
      </c>
      <c r="C21" s="1"/>
      <c r="D21" s="1"/>
      <c r="E21" s="1"/>
      <c r="F21" s="1"/>
      <c r="G21" s="1"/>
    </row>
    <row r="22" customFormat="false" ht="13.5" hidden="false" customHeight="true" outlineLevel="0" collapsed="false">
      <c r="A22" s="15"/>
      <c r="B22" s="49" t="s">
        <v>16</v>
      </c>
      <c r="C22" s="53" t="n">
        <f aca="false">Assumptions!C15</f>
        <v>5500</v>
      </c>
      <c r="D22" s="53" t="n">
        <f aca="false">Assumptions!C15</f>
        <v>5500</v>
      </c>
      <c r="E22" s="54" t="n">
        <f aca="false">D22*C5</f>
        <v>55000</v>
      </c>
      <c r="F22" s="41" t="s">
        <v>148</v>
      </c>
    </row>
    <row r="23" customFormat="false" ht="13.5" hidden="false" customHeight="true" outlineLevel="0" collapsed="false">
      <c r="A23" s="15"/>
      <c r="B23" s="49" t="s">
        <v>149</v>
      </c>
      <c r="C23" s="53" t="n">
        <f aca="false">IF(Assumptions!C14=1,Assumptions!C16,Assumptions!C17)</f>
        <v>3200</v>
      </c>
      <c r="D23" s="53" t="n">
        <f aca="false">IF(Assumptions!C14=1,Assumptions!C16,Assumptions!C17)</f>
        <v>3200</v>
      </c>
      <c r="E23" s="54" t="n">
        <f aca="false">D23*C5</f>
        <v>32000</v>
      </c>
      <c r="F23" s="41" t="s">
        <v>150</v>
      </c>
    </row>
    <row r="24" customFormat="false" ht="13.5" hidden="false" customHeight="true" outlineLevel="0" collapsed="false">
      <c r="A24" s="15"/>
      <c r="B24" s="49" t="s">
        <v>151</v>
      </c>
      <c r="C24" s="53" t="n">
        <f aca="false">Assumptions!C18</f>
        <v>1800</v>
      </c>
      <c r="D24" s="53" t="n">
        <f aca="false">Assumptions!C18</f>
        <v>1800</v>
      </c>
      <c r="E24" s="54" t="n">
        <f aca="false">D24*C5</f>
        <v>18000</v>
      </c>
      <c r="F24" s="41" t="s">
        <v>152</v>
      </c>
    </row>
    <row r="25" customFormat="false" ht="13.5" hidden="false" customHeight="true" outlineLevel="0" collapsed="false">
      <c r="A25" s="15"/>
      <c r="B25" s="49" t="s">
        <v>153</v>
      </c>
      <c r="C25" s="53" t="n">
        <f aca="false">Assumptions!C19</f>
        <v>1200</v>
      </c>
      <c r="D25" s="53" t="n">
        <f aca="false">Assumptions!C19</f>
        <v>1200</v>
      </c>
      <c r="E25" s="54" t="n">
        <f aca="false">D25*C5</f>
        <v>12000</v>
      </c>
      <c r="F25" s="41" t="s">
        <v>154</v>
      </c>
    </row>
    <row r="26" customFormat="false" ht="15" hidden="false" customHeight="true" outlineLevel="0" collapsed="false">
      <c r="A26" s="58"/>
      <c r="B26" s="21" t="s">
        <v>155</v>
      </c>
      <c r="D26" s="59" t="n">
        <f aca="false">SUM(D21:D25)</f>
        <v>11700</v>
      </c>
      <c r="E26" s="59" t="n">
        <f aca="false">SUM(E21:E25)</f>
        <v>117000</v>
      </c>
    </row>
    <row r="28" customFormat="false" ht="18" hidden="false" customHeight="true" outlineLevel="0" collapsed="false">
      <c r="A28" s="1"/>
      <c r="B28" s="48" t="s">
        <v>156</v>
      </c>
      <c r="C28" s="1"/>
      <c r="D28" s="1"/>
      <c r="E28" s="1"/>
      <c r="F28" s="1"/>
      <c r="G28" s="1"/>
    </row>
    <row r="29" customFormat="false" ht="13.5" hidden="false" customHeight="true" outlineLevel="0" collapsed="false">
      <c r="A29" s="15"/>
      <c r="B29" s="49" t="s">
        <v>157</v>
      </c>
      <c r="C29" s="60" t="n">
        <f aca="false">Assumptions!C18</f>
        <v>1800</v>
      </c>
      <c r="D29" s="54" t="n">
        <f aca="false">(D19+D26)*Assumptions!C18</f>
        <v>222652800</v>
      </c>
      <c r="E29" s="54" t="n">
        <f aca="false">D29*C5</f>
        <v>2226528000</v>
      </c>
      <c r="F29" s="41" t="s">
        <v>158</v>
      </c>
    </row>
    <row r="30" customFormat="false" ht="13.5" hidden="false" customHeight="true" outlineLevel="0" collapsed="false">
      <c r="A30" s="15"/>
      <c r="B30" s="49" t="s">
        <v>159</v>
      </c>
      <c r="D30" s="54" t="n">
        <f aca="false">(D19+D26+D29)*(Assumptions!C30/52)*Assumptions!C32*Assumptions!C31</f>
        <v>5.10318831966923E+020</v>
      </c>
      <c r="E30" s="54" t="n">
        <f aca="false">D30*C5</f>
        <v>5.10318831966923E+021</v>
      </c>
      <c r="F30" s="41" t="s">
        <v>160</v>
      </c>
    </row>
    <row r="32" customFormat="false" ht="18" hidden="false" customHeight="true" outlineLevel="0" collapsed="false">
      <c r="A32" s="3"/>
      <c r="B32" s="37" t="s">
        <v>161</v>
      </c>
      <c r="C32" s="3"/>
      <c r="D32" s="61" t="n">
        <f aca="false">D19+D26+D29+D30</f>
        <v>5.10318831967146E+020</v>
      </c>
      <c r="E32" s="61" t="n">
        <f aca="false">E19+E26+E29+E30</f>
        <v>5.10318831967146E+021</v>
      </c>
      <c r="F32" s="3"/>
      <c r="G32" s="3"/>
    </row>
    <row r="34" customFormat="false" ht="18" hidden="false" customHeight="true" outlineLevel="0" collapsed="false">
      <c r="A34" s="1"/>
      <c r="B34" s="48" t="s">
        <v>162</v>
      </c>
      <c r="C34" s="1"/>
      <c r="D34" s="1"/>
      <c r="E34" s="1"/>
      <c r="F34" s="1"/>
      <c r="G34" s="1"/>
    </row>
    <row r="35" customFormat="false" ht="13.5" hidden="false" customHeight="true" outlineLevel="0" collapsed="false">
      <c r="A35" s="15"/>
      <c r="B35" s="49" t="s">
        <v>163</v>
      </c>
      <c r="D35" s="53" t="n">
        <f aca="false">Assumptions!C35</f>
        <v>0</v>
      </c>
      <c r="E35" s="54" t="n">
        <f aca="false">D35*C5</f>
        <v>0</v>
      </c>
      <c r="F35" s="41" t="s">
        <v>164</v>
      </c>
    </row>
    <row r="36" customFormat="false" ht="13.5" hidden="false" customHeight="true" outlineLevel="0" collapsed="false">
      <c r="A36" s="15"/>
      <c r="B36" s="49" t="s">
        <v>165</v>
      </c>
      <c r="D36" s="54" t="n">
        <f aca="false">D32</f>
        <v>5.10318831967146E+020</v>
      </c>
      <c r="E36" s="54" t="n">
        <f aca="false">E32</f>
        <v>5.10318831967146E+021</v>
      </c>
      <c r="F36" s="41" t="s">
        <v>166</v>
      </c>
    </row>
    <row r="37" customFormat="false" ht="18" hidden="false" customHeight="true" outlineLevel="0" collapsed="false">
      <c r="A37" s="1"/>
      <c r="B37" s="62" t="s">
        <v>167</v>
      </c>
      <c r="C37" s="1"/>
      <c r="D37" s="63" t="n">
        <f aca="false">D35-D32</f>
        <v>-5.10318831967146E+020</v>
      </c>
      <c r="E37" s="63" t="n">
        <f aca="false">E35-E32</f>
        <v>-5.10318831967146E+021</v>
      </c>
      <c r="F37" s="1"/>
      <c r="G37" s="1"/>
    </row>
    <row r="38" customFormat="false" ht="13.5" hidden="false" customHeight="true" outlineLevel="0" collapsed="false">
      <c r="A38" s="15"/>
      <c r="B38" s="21" t="s">
        <v>28</v>
      </c>
      <c r="D38" s="64" t="e">
        <f aca="false">D37/D35</f>
        <v>#DIV/0!</v>
      </c>
      <c r="E38" s="64" t="e">
        <f aca="false">E37/E35</f>
        <v>#DIV/0!</v>
      </c>
    </row>
    <row r="40" customFormat="false" ht="18" hidden="false" customHeight="true" outlineLevel="0" collapsed="false">
      <c r="A40" s="65"/>
      <c r="B40" s="66" t="s">
        <v>168</v>
      </c>
      <c r="C40" s="65"/>
      <c r="D40" s="65"/>
      <c r="E40" s="65"/>
      <c r="F40" s="65"/>
      <c r="G40" s="65"/>
    </row>
    <row r="41" customFormat="false" ht="13.5" hidden="false" customHeight="true" outlineLevel="0" collapsed="false">
      <c r="A41" s="15"/>
      <c r="B41" s="49" t="s">
        <v>169</v>
      </c>
      <c r="D41" s="67" t="n">
        <f aca="false">Assumptions!C39</f>
        <v>0</v>
      </c>
      <c r="E41" s="68" t="n">
        <f aca="false">D41*C5</f>
        <v>0</v>
      </c>
      <c r="F41" s="41" t="s">
        <v>170</v>
      </c>
    </row>
    <row r="42" customFormat="false" ht="13.5" hidden="false" customHeight="true" outlineLevel="0" collapsed="false">
      <c r="A42" s="15"/>
      <c r="B42" s="49" t="s">
        <v>171</v>
      </c>
      <c r="D42" s="68" t="n">
        <f aca="false">D41*12</f>
        <v>0</v>
      </c>
      <c r="E42" s="68" t="n">
        <f aca="false">E41*12</f>
        <v>0</v>
      </c>
    </row>
    <row r="43" customFormat="false" ht="13.5" hidden="false" customHeight="true" outlineLevel="0" collapsed="false">
      <c r="A43" s="15"/>
      <c r="B43" s="49" t="s">
        <v>172</v>
      </c>
      <c r="D43" s="67" t="n">
        <f aca="false">D41*(1-Assumptions!C40)</f>
        <v>0</v>
      </c>
      <c r="E43" s="68" t="n">
        <f aca="false">E41*(1-Assumptions!C40)</f>
        <v>0</v>
      </c>
      <c r="F43" s="41" t="s">
        <v>173</v>
      </c>
    </row>
    <row r="44" customFormat="false" ht="13.5" hidden="false" customHeight="true" outlineLevel="0" collapsed="false">
      <c r="A44" s="15"/>
      <c r="B44" s="49" t="s">
        <v>174</v>
      </c>
      <c r="D44" s="69" t="n">
        <f aca="false">Assumptions!C41</f>
        <v>0</v>
      </c>
      <c r="F44" s="41" t="s">
        <v>175</v>
      </c>
    </row>
    <row r="45" customFormat="false" ht="13.5" hidden="false" customHeight="true" outlineLevel="0" collapsed="false">
      <c r="A45" s="15"/>
      <c r="B45" s="21" t="s">
        <v>176</v>
      </c>
      <c r="D45" s="44" t="e">
        <f aca="false">D41/Assumptions!C41</f>
        <v>#DIV/0!</v>
      </c>
      <c r="E45" s="59" t="e">
        <f aca="false">E41/Assumptions!C41</f>
        <v>#DIV/0!</v>
      </c>
    </row>
    <row r="47" customFormat="false" ht="27.75" hidden="false" customHeight="true" outlineLevel="0" collapsed="false">
      <c r="B47" s="31" t="s">
        <v>177</v>
      </c>
      <c r="C47" s="31"/>
      <c r="D47" s="31"/>
      <c r="E47" s="31"/>
      <c r="F47" s="31"/>
    </row>
  </sheetData>
  <mergeCells count="2">
    <mergeCell ref="B2:F2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"/>
  </cols>
  <sheetData>
    <row r="1" customFormat="false" ht="19.5" hidden="false" customHeight="true" outlineLevel="0" collapsed="false">
      <c r="A1" s="70"/>
      <c r="B1" s="2" t="s">
        <v>178</v>
      </c>
      <c r="C1" s="3"/>
      <c r="D1" s="3"/>
      <c r="E1" s="3"/>
      <c r="F1" s="3"/>
      <c r="G1" s="3"/>
    </row>
    <row r="2" customFormat="false" ht="13.5" hidden="false" customHeight="true" outlineLevel="0" collapsed="false">
      <c r="A2" s="70"/>
      <c r="B2" s="4" t="s">
        <v>179</v>
      </c>
      <c r="C2" s="4"/>
      <c r="D2" s="4"/>
      <c r="E2" s="4"/>
      <c r="F2" s="4"/>
      <c r="G2" s="3"/>
    </row>
    <row r="3" customFormat="false" ht="15.75" hidden="false" customHeight="true" outlineLevel="0" collapsed="false">
      <c r="A3" s="70"/>
      <c r="B3" s="71" t="s">
        <v>120</v>
      </c>
      <c r="C3" s="72" t="s">
        <v>121</v>
      </c>
      <c r="D3" s="7" t="s">
        <v>122</v>
      </c>
      <c r="E3" s="7" t="s">
        <v>123</v>
      </c>
      <c r="F3" s="71" t="s">
        <v>124</v>
      </c>
      <c r="G3" s="70"/>
    </row>
    <row r="4" customFormat="false" ht="18" hidden="false" customHeight="true" outlineLevel="0" collapsed="false">
      <c r="A4" s="1"/>
      <c r="B4" s="48" t="s">
        <v>125</v>
      </c>
      <c r="C4" s="1"/>
      <c r="D4" s="1"/>
      <c r="E4" s="1"/>
      <c r="F4" s="1"/>
      <c r="G4" s="1"/>
    </row>
    <row r="5" customFormat="false" ht="13.5" hidden="false" customHeight="true" outlineLevel="0" collapsed="false">
      <c r="A5" s="15"/>
      <c r="B5" s="49" t="s">
        <v>126</v>
      </c>
      <c r="C5" s="42" t="n">
        <v>10</v>
      </c>
      <c r="D5" s="73" t="n">
        <f aca="false">C5</f>
        <v>10</v>
      </c>
      <c r="F5" s="41" t="s">
        <v>127</v>
      </c>
    </row>
    <row r="6" customFormat="false" ht="13.5" hidden="false" customHeight="true" outlineLevel="0" collapsed="false">
      <c r="A6" s="15"/>
      <c r="B6" s="49" t="s">
        <v>128</v>
      </c>
      <c r="C6" s="51" t="n">
        <v>1350</v>
      </c>
      <c r="D6" s="52" t="n">
        <f aca="false">C6</f>
        <v>1350</v>
      </c>
      <c r="E6" s="52" t="n">
        <f aca="false">D6*C5</f>
        <v>13500</v>
      </c>
    </row>
    <row r="7" customFormat="false" ht="13.5" hidden="false" customHeight="true" outlineLevel="0" collapsed="false">
      <c r="A7" s="15"/>
      <c r="B7" s="49" t="s">
        <v>129</v>
      </c>
      <c r="C7" s="53" t="n">
        <f aca="false">Assumptions!C36</f>
        <v>0</v>
      </c>
      <c r="D7" s="53" t="n">
        <f aca="false">Assumptions!C36</f>
        <v>0</v>
      </c>
      <c r="E7" s="54" t="n">
        <f aca="false">D7*C5</f>
        <v>0</v>
      </c>
    </row>
    <row r="9" customFormat="false" ht="18" hidden="false" customHeight="true" outlineLevel="0" collapsed="false">
      <c r="A9" s="1"/>
      <c r="B9" s="48" t="s">
        <v>130</v>
      </c>
      <c r="C9" s="1"/>
      <c r="D9" s="1"/>
      <c r="E9" s="1"/>
      <c r="F9" s="1"/>
      <c r="G9" s="1"/>
    </row>
    <row r="10" customFormat="false" ht="13.5" hidden="false" customHeight="true" outlineLevel="0" collapsed="false">
      <c r="A10" s="15"/>
      <c r="B10" s="49" t="s">
        <v>131</v>
      </c>
      <c r="C10" s="43" t="n">
        <v>500000</v>
      </c>
      <c r="D10" s="54" t="n">
        <f aca="false">C10/C5</f>
        <v>50000</v>
      </c>
      <c r="E10" s="54" t="n">
        <f aca="false">C10</f>
        <v>500000</v>
      </c>
      <c r="F10" s="41" t="s">
        <v>132</v>
      </c>
    </row>
    <row r="11" customFormat="false" ht="13.5" hidden="false" customHeight="true" outlineLevel="0" collapsed="false">
      <c r="A11" s="15"/>
      <c r="B11" s="49" t="s">
        <v>133</v>
      </c>
      <c r="C11" s="55" t="s">
        <v>134</v>
      </c>
      <c r="D11" s="54" t="n">
        <f aca="false">D41*Assumptions!C32</f>
        <v>1.12709446041963E+024</v>
      </c>
      <c r="E11" s="54" t="n">
        <f aca="false">D11*C5</f>
        <v>1.12709446041963E+025</v>
      </c>
    </row>
    <row r="12" customFormat="false" ht="13.5" hidden="false" customHeight="true" outlineLevel="0" collapsed="false">
      <c r="A12" s="15"/>
      <c r="B12" s="49" t="s">
        <v>135</v>
      </c>
      <c r="C12" s="55" t="s">
        <v>136</v>
      </c>
      <c r="D12" s="55" t="s">
        <v>136</v>
      </c>
      <c r="E12" s="55" t="s">
        <v>136</v>
      </c>
    </row>
    <row r="14" customFormat="false" ht="18" hidden="false" customHeight="true" outlineLevel="0" collapsed="false">
      <c r="A14" s="3"/>
      <c r="B14" s="56" t="s">
        <v>137</v>
      </c>
      <c r="C14" s="3"/>
      <c r="D14" s="3"/>
      <c r="E14" s="3"/>
      <c r="F14" s="3"/>
      <c r="G14" s="3"/>
    </row>
    <row r="15" customFormat="false" ht="13.5" hidden="false" customHeight="true" outlineLevel="0" collapsed="false">
      <c r="A15" s="15"/>
      <c r="B15" s="49" t="s">
        <v>138</v>
      </c>
      <c r="C15" s="57" t="n">
        <f aca="false">Assumptions!C5</f>
        <v>31.11</v>
      </c>
      <c r="D15" s="54" t="n">
        <f aca="false">C6*Assumptions!C5</f>
        <v>41998.5</v>
      </c>
      <c r="E15" s="54" t="n">
        <f aca="false">D15*C5</f>
        <v>419985</v>
      </c>
      <c r="F15" s="41" t="s">
        <v>139</v>
      </c>
    </row>
    <row r="16" customFormat="false" ht="13.5" hidden="false" customHeight="true" outlineLevel="0" collapsed="false">
      <c r="A16" s="15"/>
      <c r="B16" s="49" t="s">
        <v>140</v>
      </c>
      <c r="C16" s="57" t="n">
        <f aca="false">Assumptions!C7</f>
        <v>22.22</v>
      </c>
      <c r="D16" s="54" t="n">
        <f aca="false">C6*Assumptions!C7</f>
        <v>29997</v>
      </c>
      <c r="E16" s="54" t="n">
        <f aca="false">D16*C5</f>
        <v>299970</v>
      </c>
      <c r="F16" s="41" t="s">
        <v>141</v>
      </c>
    </row>
    <row r="17" customFormat="false" ht="13.5" hidden="false" customHeight="true" outlineLevel="0" collapsed="false">
      <c r="A17" s="15"/>
      <c r="B17" s="49" t="s">
        <v>142</v>
      </c>
      <c r="C17" s="57" t="n">
        <f aca="false">Assumptions!C9</f>
        <v>15.56</v>
      </c>
      <c r="D17" s="54" t="n">
        <f aca="false">C6*Assumptions!C9</f>
        <v>21006</v>
      </c>
      <c r="E17" s="54" t="n">
        <f aca="false">D17*C5</f>
        <v>210060</v>
      </c>
      <c r="F17" s="41" t="s">
        <v>143</v>
      </c>
    </row>
    <row r="18" customFormat="false" ht="13.5" hidden="false" customHeight="true" outlineLevel="0" collapsed="false">
      <c r="A18" s="15"/>
      <c r="B18" s="49" t="s">
        <v>144</v>
      </c>
      <c r="C18" s="57" t="n">
        <f aca="false">Assumptions!C11</f>
        <v>17.04</v>
      </c>
      <c r="D18" s="54" t="n">
        <f aca="false">C6*Assumptions!C11</f>
        <v>23004</v>
      </c>
      <c r="E18" s="54" t="n">
        <f aca="false">D18*C5</f>
        <v>230040</v>
      </c>
      <c r="F18" s="41" t="s">
        <v>145</v>
      </c>
    </row>
    <row r="19" customFormat="false" ht="18" hidden="false" customHeight="true" outlineLevel="0" collapsed="false">
      <c r="A19" s="65"/>
      <c r="B19" s="66" t="s">
        <v>180</v>
      </c>
      <c r="C19" s="65"/>
      <c r="D19" s="65"/>
      <c r="E19" s="65"/>
      <c r="F19" s="65"/>
      <c r="G19" s="65"/>
    </row>
    <row r="20" customFormat="false" ht="13.5" hidden="false" customHeight="true" outlineLevel="0" collapsed="false">
      <c r="A20" s="15"/>
      <c r="B20" s="49" t="s">
        <v>181</v>
      </c>
      <c r="C20" s="43" t="n">
        <v>3000</v>
      </c>
      <c r="D20" s="54" t="n">
        <f aca="false">C20</f>
        <v>3000</v>
      </c>
      <c r="E20" s="54" t="n">
        <f aca="false">C20*C5</f>
        <v>30000</v>
      </c>
      <c r="F20" s="41" t="s">
        <v>182</v>
      </c>
    </row>
    <row r="21" customFormat="false" ht="13.5" hidden="false" customHeight="true" outlineLevel="0" collapsed="false">
      <c r="A21" s="15"/>
      <c r="B21" s="49" t="s">
        <v>183</v>
      </c>
      <c r="C21" s="43" t="n">
        <v>4000</v>
      </c>
      <c r="D21" s="54" t="n">
        <f aca="false">C21</f>
        <v>4000</v>
      </c>
      <c r="E21" s="54" t="n">
        <f aca="false">C21*C5</f>
        <v>40000</v>
      </c>
      <c r="F21" s="41" t="s">
        <v>184</v>
      </c>
    </row>
    <row r="22" customFormat="false" ht="13.5" hidden="false" customHeight="true" outlineLevel="0" collapsed="false">
      <c r="A22" s="15"/>
      <c r="B22" s="49" t="s">
        <v>185</v>
      </c>
      <c r="C22" s="43" t="n">
        <v>17250</v>
      </c>
      <c r="D22" s="54" t="n">
        <f aca="false">C22</f>
        <v>17250</v>
      </c>
      <c r="E22" s="54" t="n">
        <f aca="false">C22*C5</f>
        <v>172500</v>
      </c>
      <c r="F22" s="41" t="s">
        <v>186</v>
      </c>
    </row>
    <row r="23" customFormat="false" ht="13.5" hidden="false" customHeight="true" outlineLevel="0" collapsed="false">
      <c r="A23" s="15"/>
      <c r="B23" s="49" t="s">
        <v>187</v>
      </c>
      <c r="C23" s="43" t="n">
        <v>11500</v>
      </c>
      <c r="D23" s="54" t="n">
        <f aca="false">C23</f>
        <v>11500</v>
      </c>
      <c r="E23" s="54" t="n">
        <f aca="false">C23*C5</f>
        <v>115000</v>
      </c>
      <c r="F23" s="41" t="s">
        <v>188</v>
      </c>
    </row>
    <row r="24" customFormat="false" ht="13.5" hidden="false" customHeight="true" outlineLevel="0" collapsed="false">
      <c r="A24" s="15"/>
      <c r="B24" s="49" t="s">
        <v>189</v>
      </c>
      <c r="C24" s="43" t="n">
        <v>7350</v>
      </c>
      <c r="D24" s="54" t="n">
        <f aca="false">C24</f>
        <v>7350</v>
      </c>
      <c r="E24" s="54" t="n">
        <f aca="false">C24*C5</f>
        <v>73500</v>
      </c>
      <c r="F24" s="41" t="s">
        <v>190</v>
      </c>
    </row>
    <row r="25" customFormat="false" ht="13.5" hidden="false" customHeight="true" outlineLevel="0" collapsed="false">
      <c r="A25" s="15"/>
      <c r="B25" s="49" t="s">
        <v>191</v>
      </c>
      <c r="C25" s="43" t="n">
        <v>2700</v>
      </c>
      <c r="D25" s="54" t="n">
        <f aca="false">C25</f>
        <v>2700</v>
      </c>
      <c r="E25" s="54" t="n">
        <f aca="false">C25*C5</f>
        <v>27000</v>
      </c>
      <c r="F25" s="41" t="s">
        <v>192</v>
      </c>
    </row>
    <row r="26" customFormat="false" ht="13.5" hidden="false" customHeight="true" outlineLevel="0" collapsed="false">
      <c r="A26" s="15"/>
      <c r="B26" s="49" t="s">
        <v>193</v>
      </c>
      <c r="C26" s="43" t="n">
        <v>750</v>
      </c>
      <c r="D26" s="54" t="n">
        <f aca="false">C26</f>
        <v>750</v>
      </c>
      <c r="E26" s="54" t="n">
        <f aca="false">C26*C5</f>
        <v>7500</v>
      </c>
      <c r="F26" s="41" t="s">
        <v>194</v>
      </c>
    </row>
    <row r="27" customFormat="false" ht="15" hidden="false" customHeight="true" outlineLevel="0" collapsed="false">
      <c r="A27" s="58"/>
      <c r="B27" s="21" t="s">
        <v>146</v>
      </c>
      <c r="D27" s="59" t="n">
        <f aca="false">SUM(D15:D18)+SUM(D20:D26)</f>
        <v>162555.5</v>
      </c>
      <c r="E27" s="59" t="n">
        <f aca="false">SUM(E15:E18)+SUM(E20:E26)</f>
        <v>1625555</v>
      </c>
    </row>
    <row r="29" customFormat="false" ht="18" hidden="false" customHeight="true" outlineLevel="0" collapsed="false">
      <c r="A29" s="1"/>
      <c r="B29" s="48" t="s">
        <v>147</v>
      </c>
      <c r="C29" s="1"/>
      <c r="D29" s="1"/>
      <c r="E29" s="1"/>
      <c r="F29" s="1"/>
      <c r="G29" s="1"/>
    </row>
    <row r="30" customFormat="false" ht="13.5" hidden="false" customHeight="true" outlineLevel="0" collapsed="false">
      <c r="A30" s="15"/>
      <c r="B30" s="49" t="s">
        <v>16</v>
      </c>
      <c r="C30" s="53" t="n">
        <f aca="false">Assumptions!C15</f>
        <v>5500</v>
      </c>
      <c r="D30" s="53" t="n">
        <f aca="false">Assumptions!C15</f>
        <v>5500</v>
      </c>
      <c r="E30" s="54" t="n">
        <f aca="false">D30*C5</f>
        <v>55000</v>
      </c>
      <c r="F30" s="41" t="s">
        <v>148</v>
      </c>
    </row>
    <row r="31" customFormat="false" ht="13.5" hidden="false" customHeight="true" outlineLevel="0" collapsed="false">
      <c r="A31" s="15"/>
      <c r="B31" s="49" t="s">
        <v>149</v>
      </c>
      <c r="C31" s="53" t="n">
        <f aca="false">IF(Assumptions!C14=1,Assumptions!C16,Assumptions!C17)</f>
        <v>3200</v>
      </c>
      <c r="D31" s="53" t="n">
        <f aca="false">IF(Assumptions!C14=1,Assumptions!C16,Assumptions!C17)</f>
        <v>3200</v>
      </c>
      <c r="E31" s="54" t="n">
        <f aca="false">D31*C5</f>
        <v>32000</v>
      </c>
      <c r="F31" s="41" t="s">
        <v>150</v>
      </c>
    </row>
    <row r="32" customFormat="false" ht="13.5" hidden="false" customHeight="true" outlineLevel="0" collapsed="false">
      <c r="A32" s="15"/>
      <c r="B32" s="49" t="s">
        <v>151</v>
      </c>
      <c r="C32" s="53" t="n">
        <f aca="false">Assumptions!C18</f>
        <v>1800</v>
      </c>
      <c r="D32" s="53" t="n">
        <f aca="false">Assumptions!C18</f>
        <v>1800</v>
      </c>
      <c r="E32" s="54" t="n">
        <f aca="false">D32*C5</f>
        <v>18000</v>
      </c>
      <c r="F32" s="41" t="s">
        <v>152</v>
      </c>
    </row>
    <row r="33" customFormat="false" ht="13.5" hidden="false" customHeight="true" outlineLevel="0" collapsed="false">
      <c r="A33" s="15"/>
      <c r="B33" s="49" t="s">
        <v>153</v>
      </c>
      <c r="C33" s="53" t="n">
        <f aca="false">Assumptions!C19</f>
        <v>1200</v>
      </c>
      <c r="D33" s="53" t="n">
        <f aca="false">Assumptions!C19</f>
        <v>1200</v>
      </c>
      <c r="E33" s="54" t="n">
        <f aca="false">D33*C5</f>
        <v>12000</v>
      </c>
      <c r="F33" s="41" t="s">
        <v>154</v>
      </c>
    </row>
    <row r="34" customFormat="false" ht="13.5" hidden="false" customHeight="true" outlineLevel="0" collapsed="false">
      <c r="A34" s="15"/>
      <c r="B34" s="49" t="s">
        <v>195</v>
      </c>
      <c r="C34" s="43" t="n">
        <v>2000</v>
      </c>
      <c r="D34" s="54" t="n">
        <f aca="false">C34</f>
        <v>2000</v>
      </c>
      <c r="E34" s="54" t="n">
        <f aca="false">C34*C5</f>
        <v>20000</v>
      </c>
      <c r="F34" s="41" t="s">
        <v>196</v>
      </c>
    </row>
    <row r="35" customFormat="false" ht="15" hidden="false" customHeight="true" outlineLevel="0" collapsed="false">
      <c r="A35" s="58"/>
      <c r="B35" s="21" t="s">
        <v>155</v>
      </c>
      <c r="D35" s="59" t="n">
        <f aca="false">SUM(D29:D34)</f>
        <v>13700</v>
      </c>
      <c r="E35" s="59" t="n">
        <f aca="false">SUM(E29:E34)</f>
        <v>137000</v>
      </c>
    </row>
    <row r="37" customFormat="false" ht="18" hidden="false" customHeight="true" outlineLevel="0" collapsed="false">
      <c r="A37" s="1"/>
      <c r="B37" s="48" t="s">
        <v>156</v>
      </c>
      <c r="C37" s="1"/>
      <c r="D37" s="1"/>
      <c r="E37" s="1"/>
      <c r="F37" s="1"/>
      <c r="G37" s="1"/>
    </row>
    <row r="38" customFormat="false" ht="13.5" hidden="false" customHeight="true" outlineLevel="0" collapsed="false">
      <c r="A38" s="15"/>
      <c r="B38" s="49" t="s">
        <v>157</v>
      </c>
      <c r="C38" s="60" t="n">
        <f aca="false">Assumptions!C18</f>
        <v>1800</v>
      </c>
      <c r="D38" s="54" t="n">
        <f aca="false">(D27+D35)*Assumptions!C18</f>
        <v>317259900</v>
      </c>
      <c r="E38" s="54" t="n">
        <f aca="false">D38*C5</f>
        <v>3172599000</v>
      </c>
      <c r="F38" s="41" t="s">
        <v>158</v>
      </c>
    </row>
    <row r="39" customFormat="false" ht="13.5" hidden="false" customHeight="true" outlineLevel="0" collapsed="false">
      <c r="A39" s="15"/>
      <c r="B39" s="49" t="s">
        <v>159</v>
      </c>
      <c r="D39" s="54" t="n">
        <f aca="false">(D27+D35+D38)*(Assumptions!C30/52)*Assumptions!C32*Assumptions!C31</f>
        <v>7.27157716399447E+020</v>
      </c>
      <c r="E39" s="54" t="n">
        <f aca="false">D39*C5</f>
        <v>7.27157716399447E+021</v>
      </c>
      <c r="F39" s="41" t="s">
        <v>160</v>
      </c>
    </row>
    <row r="41" customFormat="false" ht="18" hidden="false" customHeight="true" outlineLevel="0" collapsed="false">
      <c r="A41" s="3"/>
      <c r="B41" s="37" t="s">
        <v>161</v>
      </c>
      <c r="C41" s="3"/>
      <c r="D41" s="61" t="n">
        <f aca="false">D27+D35+D38+D39</f>
        <v>7.27157716399764E+020</v>
      </c>
      <c r="E41" s="61" t="n">
        <f aca="false">E27+E35+E38+E39</f>
        <v>7.27157716399764E+021</v>
      </c>
      <c r="F41" s="3"/>
      <c r="G41" s="3"/>
    </row>
    <row r="43" customFormat="false" ht="18" hidden="false" customHeight="true" outlineLevel="0" collapsed="false">
      <c r="A43" s="70"/>
      <c r="B43" s="74" t="s">
        <v>162</v>
      </c>
      <c r="C43" s="70"/>
      <c r="D43" s="70"/>
      <c r="E43" s="70"/>
      <c r="F43" s="70"/>
      <c r="G43" s="70"/>
    </row>
    <row r="44" customFormat="false" ht="13.5" hidden="false" customHeight="true" outlineLevel="0" collapsed="false">
      <c r="A44" s="15"/>
      <c r="B44" s="49" t="s">
        <v>163</v>
      </c>
      <c r="D44" s="53" t="n">
        <f aca="false">Assumptions!C36</f>
        <v>0</v>
      </c>
      <c r="E44" s="54" t="n">
        <f aca="false">D44*C5</f>
        <v>0</v>
      </c>
      <c r="F44" s="41" t="s">
        <v>197</v>
      </c>
    </row>
    <row r="45" customFormat="false" ht="13.5" hidden="false" customHeight="true" outlineLevel="0" collapsed="false">
      <c r="A45" s="15"/>
      <c r="B45" s="49" t="s">
        <v>165</v>
      </c>
      <c r="D45" s="54" t="n">
        <f aca="false">D41</f>
        <v>7.27157716399764E+020</v>
      </c>
      <c r="E45" s="54" t="n">
        <f aca="false">E41</f>
        <v>7.27157716399764E+021</v>
      </c>
      <c r="F45" s="41" t="s">
        <v>166</v>
      </c>
    </row>
    <row r="46" customFormat="false" ht="13.5" hidden="false" customHeight="true" outlineLevel="0" collapsed="false">
      <c r="A46" s="15"/>
      <c r="B46" s="28" t="s">
        <v>198</v>
      </c>
      <c r="C46" s="43" t="n">
        <v>5000</v>
      </c>
      <c r="D46" s="75" t="n">
        <f aca="false">C46</f>
        <v>5000</v>
      </c>
      <c r="E46" s="75" t="n">
        <f aca="false">C46*C5</f>
        <v>50000</v>
      </c>
      <c r="F46" s="76" t="s">
        <v>199</v>
      </c>
    </row>
    <row r="47" customFormat="false" ht="18" hidden="false" customHeight="true" outlineLevel="0" collapsed="false">
      <c r="A47" s="70"/>
      <c r="B47" s="77" t="s">
        <v>167</v>
      </c>
      <c r="C47" s="70"/>
      <c r="D47" s="78" t="n">
        <f aca="false">D44-D41+D46</f>
        <v>-7.27157716399764E+020</v>
      </c>
      <c r="E47" s="78" t="n">
        <f aca="false">E44-E41+E46</f>
        <v>-7.27157716399764E+021</v>
      </c>
      <c r="F47" s="70"/>
      <c r="G47" s="70"/>
    </row>
    <row r="48" customFormat="false" ht="13.5" hidden="false" customHeight="true" outlineLevel="0" collapsed="false">
      <c r="A48" s="79"/>
      <c r="B48" s="80" t="s">
        <v>28</v>
      </c>
      <c r="D48" s="81" t="e">
        <f aca="false">D47/D44</f>
        <v>#DIV/0!</v>
      </c>
      <c r="E48" s="81" t="e">
        <f aca="false">E47/E44</f>
        <v>#DIV/0!</v>
      </c>
    </row>
    <row r="50" customFormat="false" ht="18" hidden="false" customHeight="true" outlineLevel="0" collapsed="false">
      <c r="A50" s="65"/>
      <c r="B50" s="66" t="s">
        <v>168</v>
      </c>
      <c r="C50" s="65"/>
      <c r="D50" s="65"/>
      <c r="E50" s="65"/>
      <c r="F50" s="65"/>
      <c r="G50" s="65"/>
    </row>
    <row r="51" customFormat="false" ht="13.5" hidden="false" customHeight="true" outlineLevel="0" collapsed="false">
      <c r="A51" s="15"/>
      <c r="B51" s="49" t="s">
        <v>169</v>
      </c>
      <c r="D51" s="67" t="n">
        <f aca="false">Assumptions!C39</f>
        <v>0</v>
      </c>
      <c r="E51" s="68" t="n">
        <f aca="false">D51*C5</f>
        <v>0</v>
      </c>
      <c r="F51" s="41" t="s">
        <v>170</v>
      </c>
    </row>
    <row r="52" customFormat="false" ht="13.5" hidden="false" customHeight="true" outlineLevel="0" collapsed="false">
      <c r="A52" s="15"/>
      <c r="B52" s="49" t="s">
        <v>171</v>
      </c>
      <c r="D52" s="68" t="n">
        <f aca="false">D51*12</f>
        <v>0</v>
      </c>
      <c r="E52" s="68" t="n">
        <f aca="false">E51*12</f>
        <v>0</v>
      </c>
    </row>
    <row r="53" customFormat="false" ht="13.5" hidden="false" customHeight="true" outlineLevel="0" collapsed="false">
      <c r="A53" s="15"/>
      <c r="B53" s="49" t="s">
        <v>172</v>
      </c>
      <c r="D53" s="67" t="n">
        <f aca="false">D51*(1-Assumptions!C40)</f>
        <v>0</v>
      </c>
      <c r="E53" s="68" t="n">
        <f aca="false">E51*(1-Assumptions!C40)</f>
        <v>0</v>
      </c>
      <c r="F53" s="41" t="s">
        <v>173</v>
      </c>
    </row>
    <row r="54" customFormat="false" ht="13.5" hidden="false" customHeight="true" outlineLevel="0" collapsed="false">
      <c r="A54" s="15"/>
      <c r="B54" s="49" t="s">
        <v>174</v>
      </c>
      <c r="D54" s="69" t="n">
        <f aca="false">Assumptions!C41</f>
        <v>0</v>
      </c>
      <c r="F54" s="41" t="s">
        <v>175</v>
      </c>
    </row>
    <row r="55" customFormat="false" ht="13.5" hidden="false" customHeight="true" outlineLevel="0" collapsed="false">
      <c r="A55" s="15"/>
      <c r="B55" s="80" t="s">
        <v>176</v>
      </c>
      <c r="D55" s="82" t="e">
        <f aca="false">D51/Assumptions!C41</f>
        <v>#DIV/0!</v>
      </c>
      <c r="E55" s="83" t="e">
        <f aca="false">E51/Assumptions!C41</f>
        <v>#DIV/0!</v>
      </c>
    </row>
    <row r="57" customFormat="false" ht="27.75" hidden="false" customHeight="true" outlineLevel="0" collapsed="false">
      <c r="B57" s="31" t="s">
        <v>177</v>
      </c>
      <c r="C57" s="31"/>
      <c r="D57" s="31"/>
      <c r="E57" s="31"/>
      <c r="F57" s="31"/>
    </row>
  </sheetData>
  <mergeCells count="2">
    <mergeCell ref="B2:F2"/>
    <mergeCell ref="B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"/>
  </cols>
  <sheetData>
    <row r="1" customFormat="false" ht="19.5" hidden="false" customHeight="true" outlineLevel="0" collapsed="false">
      <c r="A1" s="84"/>
      <c r="B1" s="2" t="s">
        <v>200</v>
      </c>
      <c r="C1" s="3"/>
      <c r="D1" s="3"/>
      <c r="E1" s="3"/>
      <c r="F1" s="3"/>
      <c r="G1" s="3"/>
    </row>
    <row r="2" customFormat="false" ht="13.5" hidden="false" customHeight="true" outlineLevel="0" collapsed="false">
      <c r="A2" s="84"/>
      <c r="B2" s="4" t="s">
        <v>201</v>
      </c>
      <c r="C2" s="4"/>
      <c r="D2" s="4"/>
      <c r="E2" s="4"/>
      <c r="F2" s="4"/>
      <c r="G2" s="3"/>
    </row>
    <row r="3" customFormat="false" ht="15.75" hidden="false" customHeight="true" outlineLevel="0" collapsed="false">
      <c r="A3" s="84"/>
      <c r="B3" s="85" t="s">
        <v>120</v>
      </c>
      <c r="C3" s="86" t="s">
        <v>121</v>
      </c>
      <c r="D3" s="8" t="s">
        <v>122</v>
      </c>
      <c r="E3" s="8" t="s">
        <v>123</v>
      </c>
      <c r="F3" s="85" t="s">
        <v>124</v>
      </c>
      <c r="G3" s="84"/>
    </row>
    <row r="4" customFormat="false" ht="18" hidden="false" customHeight="true" outlineLevel="0" collapsed="false">
      <c r="A4" s="1"/>
      <c r="B4" s="48" t="s">
        <v>125</v>
      </c>
      <c r="C4" s="1"/>
      <c r="D4" s="1"/>
      <c r="E4" s="1"/>
      <c r="F4" s="1"/>
      <c r="G4" s="1"/>
    </row>
    <row r="5" customFormat="false" ht="13.5" hidden="false" customHeight="true" outlineLevel="0" collapsed="false">
      <c r="A5" s="15"/>
      <c r="B5" s="49" t="s">
        <v>126</v>
      </c>
      <c r="C5" s="42" t="n">
        <v>10</v>
      </c>
      <c r="D5" s="87" t="n">
        <f aca="false">C5</f>
        <v>10</v>
      </c>
      <c r="F5" s="41" t="s">
        <v>127</v>
      </c>
    </row>
    <row r="6" customFormat="false" ht="13.5" hidden="false" customHeight="true" outlineLevel="0" collapsed="false">
      <c r="A6" s="15"/>
      <c r="B6" s="49" t="s">
        <v>128</v>
      </c>
      <c r="C6" s="51" t="n">
        <v>1350</v>
      </c>
      <c r="D6" s="52" t="n">
        <f aca="false">C6</f>
        <v>1350</v>
      </c>
      <c r="E6" s="52" t="n">
        <f aca="false">D6*C5</f>
        <v>13500</v>
      </c>
    </row>
    <row r="7" customFormat="false" ht="13.5" hidden="false" customHeight="true" outlineLevel="0" collapsed="false">
      <c r="A7" s="15"/>
      <c r="B7" s="49" t="s">
        <v>129</v>
      </c>
      <c r="C7" s="53" t="n">
        <f aca="false">Assumptions!C37</f>
        <v>1</v>
      </c>
      <c r="D7" s="53" t="n">
        <f aca="false">Assumptions!C37</f>
        <v>1</v>
      </c>
      <c r="E7" s="54" t="n">
        <f aca="false">D7*C5</f>
        <v>10</v>
      </c>
    </row>
    <row r="9" customFormat="false" ht="18" hidden="false" customHeight="true" outlineLevel="0" collapsed="false">
      <c r="A9" s="1"/>
      <c r="B9" s="48" t="s">
        <v>130</v>
      </c>
      <c r="C9" s="1"/>
      <c r="D9" s="1"/>
      <c r="E9" s="1"/>
      <c r="F9" s="1"/>
      <c r="G9" s="1"/>
    </row>
    <row r="10" customFormat="false" ht="13.5" hidden="false" customHeight="true" outlineLevel="0" collapsed="false">
      <c r="A10" s="15"/>
      <c r="B10" s="49" t="s">
        <v>131</v>
      </c>
      <c r="C10" s="43" t="n">
        <v>600000</v>
      </c>
      <c r="D10" s="54" t="n">
        <f aca="false">C10/C5</f>
        <v>60000</v>
      </c>
      <c r="E10" s="54" t="n">
        <f aca="false">C10</f>
        <v>600000</v>
      </c>
      <c r="F10" s="41" t="s">
        <v>132</v>
      </c>
    </row>
    <row r="11" customFormat="false" ht="13.5" hidden="false" customHeight="true" outlineLevel="0" collapsed="false">
      <c r="A11" s="15"/>
      <c r="B11" s="49" t="s">
        <v>133</v>
      </c>
      <c r="C11" s="55" t="s">
        <v>134</v>
      </c>
      <c r="D11" s="54" t="n">
        <f aca="false">D44*Assumptions!C32</f>
        <v>1.30358075453881E+024</v>
      </c>
      <c r="E11" s="54" t="n">
        <f aca="false">D11*C5</f>
        <v>1.30358075453881E+025</v>
      </c>
    </row>
    <row r="12" customFormat="false" ht="13.5" hidden="false" customHeight="true" outlineLevel="0" collapsed="false">
      <c r="A12" s="15"/>
      <c r="B12" s="49" t="s">
        <v>135</v>
      </c>
      <c r="C12" s="55" t="s">
        <v>136</v>
      </c>
      <c r="D12" s="55" t="s">
        <v>136</v>
      </c>
      <c r="E12" s="55" t="s">
        <v>136</v>
      </c>
    </row>
    <row r="14" customFormat="false" ht="18" hidden="false" customHeight="true" outlineLevel="0" collapsed="false">
      <c r="A14" s="3"/>
      <c r="B14" s="56" t="s">
        <v>137</v>
      </c>
      <c r="C14" s="3"/>
      <c r="D14" s="3"/>
      <c r="E14" s="3"/>
      <c r="F14" s="3"/>
      <c r="G14" s="3"/>
    </row>
    <row r="15" customFormat="false" ht="13.5" hidden="false" customHeight="true" outlineLevel="0" collapsed="false">
      <c r="A15" s="15"/>
      <c r="B15" s="49" t="s">
        <v>138</v>
      </c>
      <c r="C15" s="57" t="n">
        <f aca="false">Assumptions!C5</f>
        <v>31.11</v>
      </c>
      <c r="D15" s="54" t="n">
        <f aca="false">C6*Assumptions!C5</f>
        <v>41998.5</v>
      </c>
      <c r="E15" s="54" t="n">
        <f aca="false">D15*C5</f>
        <v>419985</v>
      </c>
      <c r="F15" s="41" t="s">
        <v>139</v>
      </c>
    </row>
    <row r="16" customFormat="false" ht="13.5" hidden="false" customHeight="true" outlineLevel="0" collapsed="false">
      <c r="A16" s="15"/>
      <c r="B16" s="49" t="s">
        <v>140</v>
      </c>
      <c r="C16" s="57" t="n">
        <f aca="false">Assumptions!C7</f>
        <v>22.22</v>
      </c>
      <c r="D16" s="54" t="n">
        <f aca="false">C6*Assumptions!C7</f>
        <v>29997</v>
      </c>
      <c r="E16" s="54" t="n">
        <f aca="false">D16*C5</f>
        <v>299970</v>
      </c>
      <c r="F16" s="41" t="s">
        <v>141</v>
      </c>
    </row>
    <row r="17" customFormat="false" ht="13.5" hidden="false" customHeight="true" outlineLevel="0" collapsed="false">
      <c r="A17" s="15"/>
      <c r="B17" s="49" t="s">
        <v>142</v>
      </c>
      <c r="C17" s="57" t="n">
        <f aca="false">Assumptions!C10</f>
        <v>16.3</v>
      </c>
      <c r="D17" s="54" t="n">
        <f aca="false">C6*Assumptions!C10</f>
        <v>22005</v>
      </c>
      <c r="E17" s="54" t="n">
        <f aca="false">D17*C5</f>
        <v>220050</v>
      </c>
      <c r="F17" s="41" t="s">
        <v>143</v>
      </c>
    </row>
    <row r="18" customFormat="false" ht="13.5" hidden="false" customHeight="true" outlineLevel="0" collapsed="false">
      <c r="A18" s="15"/>
      <c r="B18" s="49" t="s">
        <v>144</v>
      </c>
      <c r="C18" s="57" t="n">
        <f aca="false">Assumptions!C11</f>
        <v>17.04</v>
      </c>
      <c r="D18" s="54" t="n">
        <f aca="false">C6*Assumptions!C11</f>
        <v>23004</v>
      </c>
      <c r="E18" s="54" t="n">
        <f aca="false">D18*C5</f>
        <v>230040</v>
      </c>
      <c r="F18" s="41" t="s">
        <v>145</v>
      </c>
    </row>
    <row r="19" customFormat="false" ht="18" hidden="false" customHeight="true" outlineLevel="0" collapsed="false">
      <c r="A19" s="65"/>
      <c r="B19" s="66" t="s">
        <v>180</v>
      </c>
      <c r="C19" s="65"/>
      <c r="D19" s="65"/>
      <c r="E19" s="65"/>
      <c r="F19" s="65"/>
      <c r="G19" s="65"/>
    </row>
    <row r="20" customFormat="false" ht="13.5" hidden="false" customHeight="true" outlineLevel="0" collapsed="false">
      <c r="A20" s="15"/>
      <c r="B20" s="49" t="s">
        <v>202</v>
      </c>
      <c r="C20" s="43" t="n">
        <v>5600</v>
      </c>
      <c r="D20" s="54" t="n">
        <f aca="false">C20</f>
        <v>5600</v>
      </c>
      <c r="E20" s="54" t="n">
        <f aca="false">C20*C5</f>
        <v>56000</v>
      </c>
      <c r="F20" s="41" t="s">
        <v>203</v>
      </c>
    </row>
    <row r="21" customFormat="false" ht="13.5" hidden="false" customHeight="true" outlineLevel="0" collapsed="false">
      <c r="A21" s="15"/>
      <c r="B21" s="49" t="s">
        <v>183</v>
      </c>
      <c r="C21" s="43" t="n">
        <v>4000</v>
      </c>
      <c r="D21" s="54" t="n">
        <f aca="false">C21</f>
        <v>4000</v>
      </c>
      <c r="E21" s="54" t="n">
        <f aca="false">C21*C5</f>
        <v>40000</v>
      </c>
      <c r="F21" s="41" t="s">
        <v>204</v>
      </c>
    </row>
    <row r="22" customFormat="false" ht="13.5" hidden="false" customHeight="true" outlineLevel="0" collapsed="false">
      <c r="A22" s="15"/>
      <c r="B22" s="49" t="s">
        <v>205</v>
      </c>
      <c r="C22" s="43" t="n">
        <v>25750</v>
      </c>
      <c r="D22" s="54" t="n">
        <f aca="false">C22</f>
        <v>25750</v>
      </c>
      <c r="E22" s="54" t="n">
        <f aca="false">C22*C5</f>
        <v>257500</v>
      </c>
      <c r="F22" s="41" t="s">
        <v>206</v>
      </c>
    </row>
    <row r="23" customFormat="false" ht="13.5" hidden="false" customHeight="true" outlineLevel="0" collapsed="false">
      <c r="A23" s="15"/>
      <c r="B23" s="49" t="s">
        <v>207</v>
      </c>
      <c r="C23" s="43" t="n">
        <v>11500</v>
      </c>
      <c r="D23" s="54" t="n">
        <f aca="false">C23</f>
        <v>11500</v>
      </c>
      <c r="E23" s="54" t="n">
        <f aca="false">C23*C5</f>
        <v>115000</v>
      </c>
      <c r="F23" s="41" t="s">
        <v>208</v>
      </c>
    </row>
    <row r="24" customFormat="false" ht="13.5" hidden="false" customHeight="true" outlineLevel="0" collapsed="false">
      <c r="A24" s="15"/>
      <c r="B24" s="49" t="s">
        <v>209</v>
      </c>
      <c r="C24" s="43" t="n">
        <v>14000</v>
      </c>
      <c r="D24" s="54" t="n">
        <f aca="false">C24</f>
        <v>14000</v>
      </c>
      <c r="E24" s="54" t="n">
        <f aca="false">C24*C5</f>
        <v>140000</v>
      </c>
      <c r="F24" s="41" t="s">
        <v>210</v>
      </c>
    </row>
    <row r="25" customFormat="false" ht="13.5" hidden="false" customHeight="true" outlineLevel="0" collapsed="false">
      <c r="A25" s="15"/>
      <c r="B25" s="49" t="s">
        <v>211</v>
      </c>
      <c r="C25" s="43" t="n">
        <v>1600</v>
      </c>
      <c r="D25" s="54" t="n">
        <f aca="false">C25</f>
        <v>1600</v>
      </c>
      <c r="E25" s="54" t="n">
        <f aca="false">C25*C5</f>
        <v>16000</v>
      </c>
      <c r="F25" s="41" t="s">
        <v>212</v>
      </c>
    </row>
    <row r="26" customFormat="false" ht="13.5" hidden="false" customHeight="true" outlineLevel="0" collapsed="false">
      <c r="A26" s="15"/>
      <c r="B26" s="49" t="s">
        <v>213</v>
      </c>
      <c r="C26" s="43" t="n">
        <v>1800</v>
      </c>
      <c r="D26" s="54" t="n">
        <f aca="false">C26</f>
        <v>1800</v>
      </c>
      <c r="E26" s="54" t="n">
        <f aca="false">C26*C5</f>
        <v>18000</v>
      </c>
      <c r="F26" s="41" t="s">
        <v>214</v>
      </c>
    </row>
    <row r="27" customFormat="false" ht="13.5" hidden="false" customHeight="true" outlineLevel="0" collapsed="false">
      <c r="A27" s="15"/>
      <c r="B27" s="49" t="s">
        <v>191</v>
      </c>
      <c r="C27" s="43" t="n">
        <v>2700</v>
      </c>
      <c r="D27" s="54" t="n">
        <f aca="false">C27</f>
        <v>2700</v>
      </c>
      <c r="E27" s="54" t="n">
        <f aca="false">C27*C5</f>
        <v>27000</v>
      </c>
      <c r="F27" s="41" t="s">
        <v>215</v>
      </c>
    </row>
    <row r="28" customFormat="false" ht="13.5" hidden="false" customHeight="true" outlineLevel="0" collapsed="false">
      <c r="A28" s="15"/>
      <c r="B28" s="49" t="s">
        <v>193</v>
      </c>
      <c r="C28" s="43" t="n">
        <v>750</v>
      </c>
      <c r="D28" s="54" t="n">
        <f aca="false">C28</f>
        <v>750</v>
      </c>
      <c r="E28" s="54" t="n">
        <f aca="false">C28*C5</f>
        <v>7500</v>
      </c>
      <c r="F28" s="41" t="s">
        <v>216</v>
      </c>
    </row>
    <row r="29" customFormat="false" ht="15" hidden="false" customHeight="true" outlineLevel="0" collapsed="false">
      <c r="A29" s="58"/>
      <c r="B29" s="21" t="s">
        <v>146</v>
      </c>
      <c r="D29" s="59" t="n">
        <f aca="false">SUM(D15:D18)+SUM(D20:D28)</f>
        <v>184704.5</v>
      </c>
      <c r="E29" s="59" t="n">
        <f aca="false">SUM(E15:E18)+SUM(E20:E28)</f>
        <v>1847045</v>
      </c>
    </row>
    <row r="31" customFormat="false" ht="18" hidden="false" customHeight="true" outlineLevel="0" collapsed="false">
      <c r="A31" s="1"/>
      <c r="B31" s="48" t="s">
        <v>147</v>
      </c>
      <c r="C31" s="1"/>
      <c r="D31" s="1"/>
      <c r="E31" s="1"/>
      <c r="F31" s="1"/>
      <c r="G31" s="1"/>
    </row>
    <row r="32" customFormat="false" ht="13.5" hidden="false" customHeight="true" outlineLevel="0" collapsed="false">
      <c r="A32" s="15"/>
      <c r="B32" s="49" t="s">
        <v>16</v>
      </c>
      <c r="C32" s="53" t="n">
        <f aca="false">Assumptions!C15</f>
        <v>5500</v>
      </c>
      <c r="D32" s="53" t="n">
        <f aca="false">Assumptions!C15</f>
        <v>5500</v>
      </c>
      <c r="E32" s="54" t="n">
        <f aca="false">D32*C5</f>
        <v>55000</v>
      </c>
      <c r="F32" s="41" t="s">
        <v>148</v>
      </c>
    </row>
    <row r="33" customFormat="false" ht="13.5" hidden="false" customHeight="true" outlineLevel="0" collapsed="false">
      <c r="A33" s="15"/>
      <c r="B33" s="49" t="s">
        <v>149</v>
      </c>
      <c r="C33" s="53" t="n">
        <f aca="false">IF(Assumptions!C14=1,Assumptions!C16,Assumptions!C17)</f>
        <v>3200</v>
      </c>
      <c r="D33" s="53" t="n">
        <f aca="false">IF(Assumptions!C14=1,Assumptions!C16,Assumptions!C17)</f>
        <v>3200</v>
      </c>
      <c r="E33" s="54" t="n">
        <f aca="false">D33*C5</f>
        <v>32000</v>
      </c>
      <c r="F33" s="41" t="s">
        <v>150</v>
      </c>
    </row>
    <row r="34" customFormat="false" ht="13.5" hidden="false" customHeight="true" outlineLevel="0" collapsed="false">
      <c r="A34" s="15"/>
      <c r="B34" s="49" t="s">
        <v>217</v>
      </c>
      <c r="C34" s="43" t="n">
        <v>3200</v>
      </c>
      <c r="D34" s="54" t="n">
        <f aca="false">C34</f>
        <v>3200</v>
      </c>
      <c r="E34" s="54" t="n">
        <f aca="false">C34*C5</f>
        <v>32000</v>
      </c>
      <c r="F34" s="41" t="s">
        <v>218</v>
      </c>
    </row>
    <row r="35" customFormat="false" ht="13.5" hidden="false" customHeight="true" outlineLevel="0" collapsed="false">
      <c r="A35" s="15"/>
      <c r="B35" s="49" t="s">
        <v>151</v>
      </c>
      <c r="C35" s="53" t="n">
        <f aca="false">Assumptions!C18</f>
        <v>1800</v>
      </c>
      <c r="D35" s="53" t="n">
        <f aca="false">Assumptions!C18</f>
        <v>1800</v>
      </c>
      <c r="E35" s="54" t="n">
        <f aca="false">D35*C5</f>
        <v>18000</v>
      </c>
      <c r="F35" s="41" t="s">
        <v>152</v>
      </c>
    </row>
    <row r="36" customFormat="false" ht="13.5" hidden="false" customHeight="true" outlineLevel="0" collapsed="false">
      <c r="A36" s="15"/>
      <c r="B36" s="49" t="s">
        <v>153</v>
      </c>
      <c r="C36" s="53" t="n">
        <f aca="false">Assumptions!C19</f>
        <v>1200</v>
      </c>
      <c r="D36" s="53" t="n">
        <f aca="false">Assumptions!C19</f>
        <v>1200</v>
      </c>
      <c r="E36" s="54" t="n">
        <f aca="false">D36*C5</f>
        <v>12000</v>
      </c>
      <c r="F36" s="41" t="s">
        <v>154</v>
      </c>
    </row>
    <row r="37" customFormat="false" ht="13.5" hidden="false" customHeight="true" outlineLevel="0" collapsed="false">
      <c r="A37" s="15"/>
      <c r="B37" s="49" t="s">
        <v>219</v>
      </c>
      <c r="C37" s="43" t="n">
        <v>4250</v>
      </c>
      <c r="D37" s="54" t="n">
        <f aca="false">C37</f>
        <v>4250</v>
      </c>
      <c r="E37" s="54" t="n">
        <f aca="false">C37*C5</f>
        <v>42500</v>
      </c>
      <c r="F37" s="41" t="s">
        <v>220</v>
      </c>
    </row>
    <row r="38" customFormat="false" ht="15" hidden="false" customHeight="true" outlineLevel="0" collapsed="false">
      <c r="A38" s="58"/>
      <c r="B38" s="21" t="s">
        <v>155</v>
      </c>
      <c r="D38" s="59" t="n">
        <f aca="false">SUM(D31:D37)</f>
        <v>19150</v>
      </c>
      <c r="E38" s="59" t="n">
        <f aca="false">SUM(E31:E37)</f>
        <v>191500</v>
      </c>
    </row>
    <row r="40" customFormat="false" ht="18" hidden="false" customHeight="true" outlineLevel="0" collapsed="false">
      <c r="A40" s="1"/>
      <c r="B40" s="48" t="s">
        <v>156</v>
      </c>
      <c r="C40" s="1"/>
      <c r="D40" s="1"/>
      <c r="E40" s="1"/>
      <c r="F40" s="1"/>
      <c r="G40" s="1"/>
    </row>
    <row r="41" customFormat="false" ht="13.5" hidden="false" customHeight="true" outlineLevel="0" collapsed="false">
      <c r="A41" s="15"/>
      <c r="B41" s="49" t="s">
        <v>157</v>
      </c>
      <c r="C41" s="60" t="n">
        <f aca="false">Assumptions!C18</f>
        <v>1800</v>
      </c>
      <c r="D41" s="54" t="n">
        <f aca="false">(D29+D38)*Assumptions!C18</f>
        <v>366938100</v>
      </c>
      <c r="E41" s="54" t="n">
        <f aca="false">D41*C5</f>
        <v>3669381000</v>
      </c>
      <c r="F41" s="41" t="s">
        <v>158</v>
      </c>
    </row>
    <row r="42" customFormat="false" ht="13.5" hidden="false" customHeight="true" outlineLevel="0" collapsed="false">
      <c r="A42" s="15"/>
      <c r="B42" s="49" t="s">
        <v>159</v>
      </c>
      <c r="D42" s="54" t="n">
        <f aca="false">(D29+D38+D41)*(Assumptions!C30/52)*Assumptions!C32*Assumptions!C31</f>
        <v>8.41019841637572E+020</v>
      </c>
      <c r="E42" s="54" t="n">
        <f aca="false">D42*C5</f>
        <v>8.41019841637572E+021</v>
      </c>
      <c r="F42" s="41" t="s">
        <v>160</v>
      </c>
    </row>
    <row r="44" customFormat="false" ht="18" hidden="false" customHeight="true" outlineLevel="0" collapsed="false">
      <c r="A44" s="3"/>
      <c r="B44" s="37" t="s">
        <v>161</v>
      </c>
      <c r="C44" s="3"/>
      <c r="D44" s="61" t="n">
        <f aca="false">D29+D38+D41+D42</f>
        <v>8.41019841637939E+020</v>
      </c>
      <c r="E44" s="61" t="n">
        <f aca="false">E29+E38+E41+E42</f>
        <v>8.41019841637939E+021</v>
      </c>
      <c r="F44" s="3"/>
      <c r="G44" s="3"/>
    </row>
    <row r="46" customFormat="false" ht="18" hidden="false" customHeight="true" outlineLevel="0" collapsed="false">
      <c r="A46" s="84"/>
      <c r="B46" s="88" t="s">
        <v>162</v>
      </c>
      <c r="C46" s="84"/>
      <c r="D46" s="84"/>
      <c r="E46" s="84"/>
      <c r="F46" s="84"/>
      <c r="G46" s="84"/>
    </row>
    <row r="47" customFormat="false" ht="13.5" hidden="false" customHeight="true" outlineLevel="0" collapsed="false">
      <c r="A47" s="15"/>
      <c r="B47" s="49" t="s">
        <v>163</v>
      </c>
      <c r="D47" s="53" t="n">
        <f aca="false">Assumptions!C37</f>
        <v>1</v>
      </c>
      <c r="E47" s="54" t="n">
        <f aca="false">D47*C5</f>
        <v>10</v>
      </c>
      <c r="F47" s="41" t="s">
        <v>221</v>
      </c>
    </row>
    <row r="48" customFormat="false" ht="13.5" hidden="false" customHeight="true" outlineLevel="0" collapsed="false">
      <c r="A48" s="15"/>
      <c r="B48" s="49" t="s">
        <v>165</v>
      </c>
      <c r="D48" s="54" t="n">
        <f aca="false">D44</f>
        <v>8.41019841637939E+020</v>
      </c>
      <c r="E48" s="54" t="n">
        <f aca="false">E44</f>
        <v>8.41019841637939E+021</v>
      </c>
      <c r="F48" s="41" t="s">
        <v>166</v>
      </c>
    </row>
    <row r="49" customFormat="false" ht="13.5" hidden="false" customHeight="true" outlineLevel="0" collapsed="false">
      <c r="A49" s="15"/>
      <c r="B49" s="28" t="s">
        <v>198</v>
      </c>
      <c r="C49" s="43" t="n">
        <v>5000</v>
      </c>
      <c r="D49" s="75" t="n">
        <f aca="false">C49</f>
        <v>5000</v>
      </c>
      <c r="E49" s="75" t="n">
        <f aca="false">C49*C5</f>
        <v>50000</v>
      </c>
      <c r="F49" s="76" t="s">
        <v>199</v>
      </c>
    </row>
    <row r="50" customFormat="false" ht="18" hidden="false" customHeight="true" outlineLevel="0" collapsed="false">
      <c r="A50" s="84"/>
      <c r="B50" s="89" t="s">
        <v>167</v>
      </c>
      <c r="C50" s="84"/>
      <c r="D50" s="90" t="n">
        <f aca="false">D47-D44+D49</f>
        <v>-8.41019841637939E+020</v>
      </c>
      <c r="E50" s="90" t="n">
        <f aca="false">E47-E44+E49</f>
        <v>-8.41019841637939E+021</v>
      </c>
      <c r="F50" s="84"/>
      <c r="G50" s="84"/>
    </row>
    <row r="51" customFormat="false" ht="13.5" hidden="false" customHeight="true" outlineLevel="0" collapsed="false">
      <c r="A51" s="91"/>
      <c r="B51" s="92" t="s">
        <v>28</v>
      </c>
      <c r="D51" s="93" t="n">
        <f aca="false">D50/D47</f>
        <v>-8.41019841637939E+020</v>
      </c>
      <c r="E51" s="93" t="n">
        <f aca="false">E50/E47</f>
        <v>-8.41019841637939E+020</v>
      </c>
    </row>
    <row r="53" customFormat="false" ht="18" hidden="false" customHeight="true" outlineLevel="0" collapsed="false">
      <c r="A53" s="65"/>
      <c r="B53" s="66" t="s">
        <v>168</v>
      </c>
      <c r="C53" s="65"/>
      <c r="D53" s="65"/>
      <c r="E53" s="65"/>
      <c r="F53" s="65"/>
      <c r="G53" s="65"/>
    </row>
    <row r="54" customFormat="false" ht="13.5" hidden="false" customHeight="true" outlineLevel="0" collapsed="false">
      <c r="A54" s="15"/>
      <c r="B54" s="49" t="s">
        <v>169</v>
      </c>
      <c r="D54" s="67" t="n">
        <f aca="false">Assumptions!C39</f>
        <v>0</v>
      </c>
      <c r="E54" s="68" t="n">
        <f aca="false">D54*C5</f>
        <v>0</v>
      </c>
      <c r="F54" s="41" t="s">
        <v>170</v>
      </c>
    </row>
    <row r="55" customFormat="false" ht="13.5" hidden="false" customHeight="true" outlineLevel="0" collapsed="false">
      <c r="A55" s="15"/>
      <c r="B55" s="49" t="s">
        <v>171</v>
      </c>
      <c r="D55" s="68" t="n">
        <f aca="false">D54*12</f>
        <v>0</v>
      </c>
      <c r="E55" s="68" t="n">
        <f aca="false">E54*12</f>
        <v>0</v>
      </c>
    </row>
    <row r="56" customFormat="false" ht="13.5" hidden="false" customHeight="true" outlineLevel="0" collapsed="false">
      <c r="A56" s="15"/>
      <c r="B56" s="49" t="s">
        <v>172</v>
      </c>
      <c r="D56" s="67" t="n">
        <f aca="false">D54*(1-Assumptions!C40)</f>
        <v>0</v>
      </c>
      <c r="E56" s="68" t="n">
        <f aca="false">E54*(1-Assumptions!C40)</f>
        <v>0</v>
      </c>
      <c r="F56" s="41" t="s">
        <v>173</v>
      </c>
    </row>
    <row r="57" customFormat="false" ht="13.5" hidden="false" customHeight="true" outlineLevel="0" collapsed="false">
      <c r="A57" s="15"/>
      <c r="B57" s="49" t="s">
        <v>174</v>
      </c>
      <c r="D57" s="69" t="n">
        <f aca="false">Assumptions!C41</f>
        <v>0</v>
      </c>
      <c r="F57" s="41" t="s">
        <v>175</v>
      </c>
    </row>
    <row r="58" customFormat="false" ht="13.5" hidden="false" customHeight="true" outlineLevel="0" collapsed="false">
      <c r="A58" s="15"/>
      <c r="B58" s="92" t="s">
        <v>176</v>
      </c>
      <c r="D58" s="94" t="e">
        <f aca="false">D54/Assumptions!C41</f>
        <v>#DIV/0!</v>
      </c>
      <c r="E58" s="95" t="e">
        <f aca="false">E54/Assumptions!C41</f>
        <v>#DIV/0!</v>
      </c>
    </row>
    <row r="60" customFormat="false" ht="27.75" hidden="false" customHeight="true" outlineLevel="0" collapsed="false">
      <c r="B60" s="31" t="s">
        <v>177</v>
      </c>
      <c r="C60" s="31"/>
      <c r="D60" s="31"/>
      <c r="E60" s="31"/>
      <c r="F60" s="31"/>
    </row>
  </sheetData>
  <mergeCells count="2">
    <mergeCell ref="B2:F2"/>
    <mergeCell ref="B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"/>
  </cols>
  <sheetData>
    <row r="1" customFormat="false" ht="19.5" hidden="false" customHeight="true" outlineLevel="0" collapsed="false">
      <c r="A1" s="96"/>
      <c r="B1" s="2" t="s">
        <v>222</v>
      </c>
      <c r="C1" s="3"/>
      <c r="D1" s="3"/>
      <c r="E1" s="3"/>
      <c r="F1" s="3"/>
      <c r="G1" s="3"/>
    </row>
    <row r="2" customFormat="false" ht="13.5" hidden="false" customHeight="true" outlineLevel="0" collapsed="false">
      <c r="A2" s="96"/>
      <c r="B2" s="4" t="s">
        <v>223</v>
      </c>
      <c r="C2" s="4"/>
      <c r="D2" s="4"/>
      <c r="E2" s="4"/>
      <c r="F2" s="4"/>
      <c r="G2" s="3"/>
    </row>
    <row r="3" customFormat="false" ht="15.75" hidden="false" customHeight="true" outlineLevel="0" collapsed="false">
      <c r="A3" s="96"/>
      <c r="B3" s="97" t="s">
        <v>120</v>
      </c>
      <c r="C3" s="98" t="s">
        <v>121</v>
      </c>
      <c r="D3" s="9" t="s">
        <v>122</v>
      </c>
      <c r="E3" s="9" t="s">
        <v>123</v>
      </c>
      <c r="F3" s="97" t="s">
        <v>124</v>
      </c>
      <c r="G3" s="96"/>
    </row>
    <row r="4" customFormat="false" ht="18" hidden="false" customHeight="true" outlineLevel="0" collapsed="false">
      <c r="A4" s="1"/>
      <c r="B4" s="48" t="s">
        <v>125</v>
      </c>
      <c r="C4" s="1"/>
      <c r="D4" s="1"/>
      <c r="E4" s="1"/>
      <c r="F4" s="1"/>
      <c r="G4" s="1"/>
    </row>
    <row r="5" customFormat="false" ht="13.5" hidden="false" customHeight="true" outlineLevel="0" collapsed="false">
      <c r="A5" s="15"/>
      <c r="B5" s="49" t="s">
        <v>126</v>
      </c>
      <c r="C5" s="42" t="n">
        <v>10</v>
      </c>
      <c r="D5" s="99" t="n">
        <f aca="false">C5</f>
        <v>10</v>
      </c>
      <c r="F5" s="41" t="s">
        <v>127</v>
      </c>
    </row>
    <row r="6" customFormat="false" ht="13.5" hidden="false" customHeight="true" outlineLevel="0" collapsed="false">
      <c r="A6" s="15"/>
      <c r="B6" s="49" t="s">
        <v>128</v>
      </c>
      <c r="C6" s="51" t="n">
        <v>1350</v>
      </c>
      <c r="D6" s="52" t="n">
        <f aca="false">C6</f>
        <v>1350</v>
      </c>
      <c r="E6" s="52" t="n">
        <f aca="false">D6*C5</f>
        <v>13500</v>
      </c>
    </row>
    <row r="7" customFormat="false" ht="13.5" hidden="false" customHeight="true" outlineLevel="0" collapsed="false">
      <c r="A7" s="15"/>
      <c r="B7" s="49" t="s">
        <v>129</v>
      </c>
      <c r="C7" s="53" t="n">
        <f aca="false">Assumptions!C38</f>
        <v>0</v>
      </c>
      <c r="D7" s="53" t="n">
        <f aca="false">Assumptions!C38</f>
        <v>0</v>
      </c>
      <c r="E7" s="54" t="n">
        <f aca="false">D7*C5</f>
        <v>0</v>
      </c>
    </row>
    <row r="9" customFormat="false" ht="18" hidden="false" customHeight="true" outlineLevel="0" collapsed="false">
      <c r="A9" s="1"/>
      <c r="B9" s="48" t="s">
        <v>130</v>
      </c>
      <c r="C9" s="1"/>
      <c r="D9" s="1"/>
      <c r="E9" s="1"/>
      <c r="F9" s="1"/>
      <c r="G9" s="1"/>
    </row>
    <row r="10" customFormat="false" ht="13.5" hidden="false" customHeight="true" outlineLevel="0" collapsed="false">
      <c r="A10" s="15"/>
      <c r="B10" s="49" t="s">
        <v>131</v>
      </c>
      <c r="C10" s="43" t="n">
        <v>750000</v>
      </c>
      <c r="D10" s="54" t="n">
        <f aca="false">C10/C5</f>
        <v>75000</v>
      </c>
      <c r="E10" s="54" t="n">
        <f aca="false">C10</f>
        <v>750000</v>
      </c>
      <c r="F10" s="41" t="s">
        <v>132</v>
      </c>
    </row>
    <row r="11" customFormat="false" ht="13.5" hidden="false" customHeight="true" outlineLevel="0" collapsed="false">
      <c r="A11" s="15"/>
      <c r="B11" s="49" t="s">
        <v>133</v>
      </c>
      <c r="C11" s="55" t="s">
        <v>134</v>
      </c>
      <c r="D11" s="54" t="n">
        <f aca="false">D45*Assumptions!C32</f>
        <v>1.37807857426011E+024</v>
      </c>
      <c r="E11" s="54" t="n">
        <f aca="false">D11*C5</f>
        <v>1.37807857426011E+025</v>
      </c>
    </row>
    <row r="12" customFormat="false" ht="13.5" hidden="false" customHeight="true" outlineLevel="0" collapsed="false">
      <c r="A12" s="15"/>
      <c r="B12" s="49" t="s">
        <v>135</v>
      </c>
      <c r="C12" s="55" t="s">
        <v>136</v>
      </c>
      <c r="D12" s="55" t="s">
        <v>136</v>
      </c>
      <c r="E12" s="55" t="s">
        <v>136</v>
      </c>
    </row>
    <row r="14" customFormat="false" ht="18" hidden="false" customHeight="true" outlineLevel="0" collapsed="false">
      <c r="A14" s="3"/>
      <c r="B14" s="56" t="s">
        <v>137</v>
      </c>
      <c r="C14" s="3"/>
      <c r="D14" s="3"/>
      <c r="E14" s="3"/>
      <c r="F14" s="3"/>
      <c r="G14" s="3"/>
    </row>
    <row r="15" customFormat="false" ht="13.5" hidden="false" customHeight="true" outlineLevel="0" collapsed="false">
      <c r="A15" s="15"/>
      <c r="B15" s="49" t="s">
        <v>138</v>
      </c>
      <c r="C15" s="57" t="n">
        <f aca="false">Assumptions!C5</f>
        <v>31.11</v>
      </c>
      <c r="D15" s="54" t="n">
        <f aca="false">C6*Assumptions!C5</f>
        <v>41998.5</v>
      </c>
      <c r="E15" s="54" t="n">
        <f aca="false">D15*C5</f>
        <v>419985</v>
      </c>
      <c r="F15" s="41" t="s">
        <v>139</v>
      </c>
    </row>
    <row r="16" customFormat="false" ht="13.5" hidden="false" customHeight="true" outlineLevel="0" collapsed="false">
      <c r="A16" s="15"/>
      <c r="B16" s="49" t="s">
        <v>140</v>
      </c>
      <c r="C16" s="57" t="n">
        <f aca="false">Assumptions!C7</f>
        <v>22.22</v>
      </c>
      <c r="D16" s="54" t="n">
        <f aca="false">C6*Assumptions!C7</f>
        <v>29997</v>
      </c>
      <c r="E16" s="54" t="n">
        <f aca="false">D16*C5</f>
        <v>299970</v>
      </c>
      <c r="F16" s="41" t="s">
        <v>141</v>
      </c>
    </row>
    <row r="17" customFormat="false" ht="13.5" hidden="false" customHeight="true" outlineLevel="0" collapsed="false">
      <c r="A17" s="15"/>
      <c r="B17" s="49" t="s">
        <v>142</v>
      </c>
      <c r="C17" s="57" t="n">
        <f aca="false">Assumptions!C10</f>
        <v>16.3</v>
      </c>
      <c r="D17" s="54" t="n">
        <f aca="false">C6*Assumptions!C10</f>
        <v>22005</v>
      </c>
      <c r="E17" s="54" t="n">
        <f aca="false">D17*C5</f>
        <v>220050</v>
      </c>
      <c r="F17" s="41" t="s">
        <v>143</v>
      </c>
    </row>
    <row r="18" customFormat="false" ht="13.5" hidden="false" customHeight="true" outlineLevel="0" collapsed="false">
      <c r="A18" s="15"/>
      <c r="B18" s="49" t="s">
        <v>144</v>
      </c>
      <c r="C18" s="57" t="n">
        <f aca="false">Assumptions!C11</f>
        <v>17.04</v>
      </c>
      <c r="D18" s="54" t="n">
        <f aca="false">C6*Assumptions!C11</f>
        <v>23004</v>
      </c>
      <c r="E18" s="54" t="n">
        <f aca="false">D18*C5</f>
        <v>230040</v>
      </c>
      <c r="F18" s="41" t="s">
        <v>145</v>
      </c>
    </row>
    <row r="19" customFormat="false" ht="18" hidden="false" customHeight="true" outlineLevel="0" collapsed="false">
      <c r="A19" s="65"/>
      <c r="B19" s="66" t="s">
        <v>180</v>
      </c>
      <c r="C19" s="65"/>
      <c r="D19" s="65"/>
      <c r="E19" s="65"/>
      <c r="F19" s="65"/>
      <c r="G19" s="65"/>
    </row>
    <row r="20" customFormat="false" ht="13.5" hidden="false" customHeight="true" outlineLevel="0" collapsed="false">
      <c r="A20" s="15"/>
      <c r="B20" s="49" t="s">
        <v>202</v>
      </c>
      <c r="C20" s="43" t="n">
        <v>5600</v>
      </c>
      <c r="D20" s="54" t="n">
        <f aca="false">C20</f>
        <v>5600</v>
      </c>
      <c r="E20" s="54" t="n">
        <f aca="false">C20*C5</f>
        <v>56000</v>
      </c>
      <c r="F20" s="41" t="s">
        <v>203</v>
      </c>
    </row>
    <row r="21" customFormat="false" ht="13.5" hidden="false" customHeight="true" outlineLevel="0" collapsed="false">
      <c r="A21" s="15"/>
      <c r="B21" s="49" t="s">
        <v>224</v>
      </c>
      <c r="C21" s="43" t="n">
        <v>4000</v>
      </c>
      <c r="D21" s="54" t="n">
        <f aca="false">C21</f>
        <v>4000</v>
      </c>
      <c r="E21" s="54" t="n">
        <f aca="false">C21*C5</f>
        <v>40000</v>
      </c>
      <c r="F21" s="41" t="s">
        <v>225</v>
      </c>
    </row>
    <row r="22" customFormat="false" ht="13.5" hidden="false" customHeight="true" outlineLevel="0" collapsed="false">
      <c r="A22" s="15"/>
      <c r="B22" s="49" t="s">
        <v>226</v>
      </c>
      <c r="C22" s="43" t="n">
        <v>28250</v>
      </c>
      <c r="D22" s="54" t="n">
        <f aca="false">C22</f>
        <v>28250</v>
      </c>
      <c r="E22" s="54" t="n">
        <f aca="false">C22*C5</f>
        <v>282500</v>
      </c>
      <c r="F22" s="41" t="s">
        <v>227</v>
      </c>
    </row>
    <row r="23" customFormat="false" ht="13.5" hidden="false" customHeight="true" outlineLevel="0" collapsed="false">
      <c r="A23" s="15"/>
      <c r="B23" s="49" t="s">
        <v>228</v>
      </c>
      <c r="C23" s="43" t="n">
        <v>18000</v>
      </c>
      <c r="D23" s="54" t="n">
        <f aca="false">C23</f>
        <v>18000</v>
      </c>
      <c r="E23" s="54" t="n">
        <f aca="false">C23*C5</f>
        <v>180000</v>
      </c>
      <c r="F23" s="41" t="s">
        <v>229</v>
      </c>
    </row>
    <row r="24" customFormat="false" ht="13.5" hidden="false" customHeight="true" outlineLevel="0" collapsed="false">
      <c r="A24" s="15"/>
      <c r="B24" s="49" t="s">
        <v>230</v>
      </c>
      <c r="C24" s="43" t="n">
        <v>10000</v>
      </c>
      <c r="D24" s="54" t="n">
        <f aca="false">C24</f>
        <v>10000</v>
      </c>
      <c r="E24" s="54" t="n">
        <f aca="false">C24*C5</f>
        <v>100000</v>
      </c>
      <c r="F24" s="41" t="s">
        <v>231</v>
      </c>
    </row>
    <row r="25" customFormat="false" ht="13.5" hidden="false" customHeight="true" outlineLevel="0" collapsed="false">
      <c r="A25" s="15"/>
      <c r="B25" s="49" t="s">
        <v>232</v>
      </c>
      <c r="C25" s="43" t="n">
        <v>4000</v>
      </c>
      <c r="D25" s="54" t="n">
        <f aca="false">C25</f>
        <v>4000</v>
      </c>
      <c r="E25" s="54" t="n">
        <f aca="false">C25*C5</f>
        <v>40000</v>
      </c>
      <c r="F25" s="41" t="s">
        <v>233</v>
      </c>
    </row>
    <row r="26" customFormat="false" ht="13.5" hidden="false" customHeight="true" outlineLevel="0" collapsed="false">
      <c r="A26" s="15"/>
      <c r="B26" s="49" t="s">
        <v>234</v>
      </c>
      <c r="C26" s="43" t="n">
        <v>1000</v>
      </c>
      <c r="D26" s="54" t="n">
        <f aca="false">C26</f>
        <v>1000</v>
      </c>
      <c r="E26" s="54" t="n">
        <f aca="false">C26*C5</f>
        <v>10000</v>
      </c>
      <c r="F26" s="41" t="s">
        <v>235</v>
      </c>
    </row>
    <row r="27" customFormat="false" ht="13.5" hidden="false" customHeight="true" outlineLevel="0" collapsed="false">
      <c r="A27" s="15"/>
      <c r="B27" s="49" t="s">
        <v>213</v>
      </c>
      <c r="C27" s="43" t="n">
        <v>1800</v>
      </c>
      <c r="D27" s="54" t="n">
        <f aca="false">C27</f>
        <v>1800</v>
      </c>
      <c r="E27" s="54" t="n">
        <f aca="false">C27*C5</f>
        <v>18000</v>
      </c>
      <c r="F27" s="41" t="s">
        <v>236</v>
      </c>
    </row>
    <row r="28" customFormat="false" ht="13.5" hidden="false" customHeight="true" outlineLevel="0" collapsed="false">
      <c r="A28" s="15"/>
      <c r="B28" s="49" t="s">
        <v>191</v>
      </c>
      <c r="C28" s="43" t="n">
        <v>2700</v>
      </c>
      <c r="D28" s="54" t="n">
        <f aca="false">C28</f>
        <v>2700</v>
      </c>
      <c r="E28" s="54" t="n">
        <f aca="false">C28*C5</f>
        <v>27000</v>
      </c>
      <c r="F28" s="41" t="s">
        <v>215</v>
      </c>
    </row>
    <row r="29" customFormat="false" ht="13.5" hidden="false" customHeight="true" outlineLevel="0" collapsed="false">
      <c r="A29" s="15"/>
      <c r="B29" s="49" t="s">
        <v>193</v>
      </c>
      <c r="C29" s="43" t="n">
        <v>750</v>
      </c>
      <c r="D29" s="54" t="n">
        <f aca="false">C29</f>
        <v>750</v>
      </c>
      <c r="E29" s="54" t="n">
        <f aca="false">C29*C5</f>
        <v>7500</v>
      </c>
      <c r="F29" s="41" t="s">
        <v>237</v>
      </c>
    </row>
    <row r="30" customFormat="false" ht="15" hidden="false" customHeight="true" outlineLevel="0" collapsed="false">
      <c r="A30" s="58"/>
      <c r="B30" s="21" t="s">
        <v>146</v>
      </c>
      <c r="D30" s="59" t="n">
        <f aca="false">SUM(D15:D18)+SUM(D20:D29)</f>
        <v>193104.5</v>
      </c>
      <c r="E30" s="59" t="n">
        <f aca="false">SUM(E15:E18)+SUM(E20:E29)</f>
        <v>1931045</v>
      </c>
    </row>
    <row r="32" customFormat="false" ht="18" hidden="false" customHeight="true" outlineLevel="0" collapsed="false">
      <c r="A32" s="1"/>
      <c r="B32" s="48" t="s">
        <v>147</v>
      </c>
      <c r="C32" s="1"/>
      <c r="D32" s="1"/>
      <c r="E32" s="1"/>
      <c r="F32" s="1"/>
      <c r="G32" s="1"/>
    </row>
    <row r="33" customFormat="false" ht="13.5" hidden="false" customHeight="true" outlineLevel="0" collapsed="false">
      <c r="A33" s="15"/>
      <c r="B33" s="49" t="s">
        <v>16</v>
      </c>
      <c r="C33" s="53" t="n">
        <f aca="false">Assumptions!C15</f>
        <v>5500</v>
      </c>
      <c r="D33" s="53" t="n">
        <f aca="false">Assumptions!C15</f>
        <v>5500</v>
      </c>
      <c r="E33" s="54" t="n">
        <f aca="false">D33*C5</f>
        <v>55000</v>
      </c>
      <c r="F33" s="41" t="s">
        <v>148</v>
      </c>
    </row>
    <row r="34" customFormat="false" ht="13.5" hidden="false" customHeight="true" outlineLevel="0" collapsed="false">
      <c r="A34" s="15"/>
      <c r="B34" s="49" t="s">
        <v>149</v>
      </c>
      <c r="C34" s="53" t="n">
        <f aca="false">IF(Assumptions!C14=1,Assumptions!C16,Assumptions!C17)</f>
        <v>3200</v>
      </c>
      <c r="D34" s="53" t="n">
        <f aca="false">IF(Assumptions!C14=1,Assumptions!C16,Assumptions!C17)</f>
        <v>3200</v>
      </c>
      <c r="E34" s="54" t="n">
        <f aca="false">D34*C5</f>
        <v>32000</v>
      </c>
      <c r="F34" s="41" t="s">
        <v>150</v>
      </c>
    </row>
    <row r="35" customFormat="false" ht="13.5" hidden="false" customHeight="true" outlineLevel="0" collapsed="false">
      <c r="A35" s="15"/>
      <c r="B35" s="49" t="s">
        <v>217</v>
      </c>
      <c r="C35" s="43" t="n">
        <v>3200</v>
      </c>
      <c r="D35" s="54" t="n">
        <f aca="false">C35</f>
        <v>3200</v>
      </c>
      <c r="E35" s="54" t="n">
        <f aca="false">C35*C5</f>
        <v>32000</v>
      </c>
      <c r="F35" s="41" t="s">
        <v>218</v>
      </c>
    </row>
    <row r="36" customFormat="false" ht="13.5" hidden="false" customHeight="true" outlineLevel="0" collapsed="false">
      <c r="A36" s="15"/>
      <c r="B36" s="49" t="s">
        <v>151</v>
      </c>
      <c r="C36" s="53" t="n">
        <f aca="false">Assumptions!C18</f>
        <v>1800</v>
      </c>
      <c r="D36" s="53" t="n">
        <f aca="false">Assumptions!C18</f>
        <v>1800</v>
      </c>
      <c r="E36" s="54" t="n">
        <f aca="false">D36*C5</f>
        <v>18000</v>
      </c>
      <c r="F36" s="41" t="s">
        <v>152</v>
      </c>
    </row>
    <row r="37" customFormat="false" ht="13.5" hidden="false" customHeight="true" outlineLevel="0" collapsed="false">
      <c r="A37" s="15"/>
      <c r="B37" s="49" t="s">
        <v>153</v>
      </c>
      <c r="C37" s="53" t="n">
        <f aca="false">Assumptions!C19</f>
        <v>1200</v>
      </c>
      <c r="D37" s="53" t="n">
        <f aca="false">Assumptions!C19</f>
        <v>1200</v>
      </c>
      <c r="E37" s="54" t="n">
        <f aca="false">D37*C5</f>
        <v>12000</v>
      </c>
      <c r="F37" s="41" t="s">
        <v>154</v>
      </c>
    </row>
    <row r="38" customFormat="false" ht="13.5" hidden="false" customHeight="true" outlineLevel="0" collapsed="false">
      <c r="A38" s="15"/>
      <c r="B38" s="49" t="s">
        <v>238</v>
      </c>
      <c r="C38" s="43" t="n">
        <v>7500</v>
      </c>
      <c r="D38" s="54" t="n">
        <f aca="false">C38</f>
        <v>7500</v>
      </c>
      <c r="E38" s="54" t="n">
        <f aca="false">C38*C5</f>
        <v>75000</v>
      </c>
      <c r="F38" s="41" t="s">
        <v>239</v>
      </c>
    </row>
    <row r="39" customFormat="false" ht="15" hidden="false" customHeight="true" outlineLevel="0" collapsed="false">
      <c r="A39" s="58"/>
      <c r="B39" s="21" t="s">
        <v>155</v>
      </c>
      <c r="D39" s="59" t="n">
        <f aca="false">SUM(D32:D38)</f>
        <v>22400</v>
      </c>
      <c r="E39" s="59" t="n">
        <f aca="false">SUM(E32:E38)</f>
        <v>224000</v>
      </c>
    </row>
    <row r="41" customFormat="false" ht="18" hidden="false" customHeight="true" outlineLevel="0" collapsed="false">
      <c r="A41" s="1"/>
      <c r="B41" s="48" t="s">
        <v>156</v>
      </c>
      <c r="C41" s="1"/>
      <c r="D41" s="1"/>
      <c r="E41" s="1"/>
      <c r="F41" s="1"/>
      <c r="G41" s="1"/>
    </row>
    <row r="42" customFormat="false" ht="13.5" hidden="false" customHeight="true" outlineLevel="0" collapsed="false">
      <c r="A42" s="15"/>
      <c r="B42" s="49" t="s">
        <v>157</v>
      </c>
      <c r="C42" s="60" t="n">
        <f aca="false">Assumptions!C18</f>
        <v>1800</v>
      </c>
      <c r="D42" s="54" t="n">
        <f aca="false">(D30+D39)*Assumptions!C18</f>
        <v>387908100</v>
      </c>
      <c r="E42" s="54" t="n">
        <f aca="false">D42*C5</f>
        <v>3879081000</v>
      </c>
      <c r="F42" s="41" t="s">
        <v>158</v>
      </c>
    </row>
    <row r="43" customFormat="false" ht="13.5" hidden="false" customHeight="true" outlineLevel="0" collapsed="false">
      <c r="A43" s="15"/>
      <c r="B43" s="49" t="s">
        <v>159</v>
      </c>
      <c r="D43" s="54" t="n">
        <f aca="false">(D30+D39+D42)*(Assumptions!C30/52)*Assumptions!C32*Assumptions!C31</f>
        <v>8.89082951135168E+020</v>
      </c>
      <c r="E43" s="54" t="n">
        <f aca="false">D43*C5</f>
        <v>8.89082951135168E+021</v>
      </c>
      <c r="F43" s="41" t="s">
        <v>160</v>
      </c>
    </row>
    <row r="45" customFormat="false" ht="18" hidden="false" customHeight="true" outlineLevel="0" collapsed="false">
      <c r="A45" s="3"/>
      <c r="B45" s="37" t="s">
        <v>161</v>
      </c>
      <c r="C45" s="3"/>
      <c r="D45" s="61" t="n">
        <f aca="false">D30+D39+D42+D43</f>
        <v>8.89082951135556E+020</v>
      </c>
      <c r="E45" s="61" t="n">
        <f aca="false">E30+E39+E42+E43</f>
        <v>8.89082951135556E+021</v>
      </c>
      <c r="F45" s="3"/>
      <c r="G45" s="3"/>
    </row>
    <row r="47" customFormat="false" ht="18" hidden="false" customHeight="true" outlineLevel="0" collapsed="false">
      <c r="A47" s="96"/>
      <c r="B47" s="100" t="s">
        <v>162</v>
      </c>
      <c r="C47" s="96"/>
      <c r="D47" s="96"/>
      <c r="E47" s="96"/>
      <c r="F47" s="96"/>
      <c r="G47" s="96"/>
    </row>
    <row r="48" customFormat="false" ht="13.5" hidden="false" customHeight="true" outlineLevel="0" collapsed="false">
      <c r="A48" s="15"/>
      <c r="B48" s="49" t="s">
        <v>163</v>
      </c>
      <c r="D48" s="53" t="n">
        <f aca="false">Assumptions!C38</f>
        <v>0</v>
      </c>
      <c r="E48" s="54" t="n">
        <f aca="false">D48*C5</f>
        <v>0</v>
      </c>
      <c r="F48" s="41" t="s">
        <v>240</v>
      </c>
    </row>
    <row r="49" customFormat="false" ht="13.5" hidden="false" customHeight="true" outlineLevel="0" collapsed="false">
      <c r="A49" s="15"/>
      <c r="B49" s="49" t="s">
        <v>165</v>
      </c>
      <c r="D49" s="54" t="n">
        <f aca="false">D45</f>
        <v>8.89082951135556E+020</v>
      </c>
      <c r="E49" s="54" t="n">
        <f aca="false">E45</f>
        <v>8.89082951135556E+021</v>
      </c>
      <c r="F49" s="41" t="s">
        <v>166</v>
      </c>
    </row>
    <row r="50" customFormat="false" ht="13.5" hidden="false" customHeight="true" outlineLevel="0" collapsed="false">
      <c r="A50" s="15"/>
      <c r="B50" s="28" t="s">
        <v>198</v>
      </c>
      <c r="C50" s="43" t="n">
        <v>5000</v>
      </c>
      <c r="D50" s="75" t="n">
        <f aca="false">C50</f>
        <v>5000</v>
      </c>
      <c r="E50" s="75" t="n">
        <f aca="false">C50*C5</f>
        <v>50000</v>
      </c>
      <c r="F50" s="76" t="s">
        <v>199</v>
      </c>
    </row>
    <row r="51" customFormat="false" ht="18" hidden="false" customHeight="true" outlineLevel="0" collapsed="false">
      <c r="A51" s="96"/>
      <c r="B51" s="101" t="s">
        <v>167</v>
      </c>
      <c r="C51" s="96"/>
      <c r="D51" s="102" t="n">
        <f aca="false">D48-D45+D50</f>
        <v>-8.89082951135556E+020</v>
      </c>
      <c r="E51" s="102" t="n">
        <f aca="false">E48-E45+E50</f>
        <v>-8.89082951135556E+021</v>
      </c>
      <c r="F51" s="96"/>
      <c r="G51" s="96"/>
    </row>
    <row r="52" customFormat="false" ht="13.5" hidden="false" customHeight="true" outlineLevel="0" collapsed="false">
      <c r="A52" s="103"/>
      <c r="B52" s="104" t="s">
        <v>28</v>
      </c>
      <c r="D52" s="105" t="e">
        <f aca="false">D51/D48</f>
        <v>#DIV/0!</v>
      </c>
      <c r="E52" s="105" t="e">
        <f aca="false">E51/E48</f>
        <v>#DIV/0!</v>
      </c>
    </row>
    <row r="54" customFormat="false" ht="18" hidden="false" customHeight="true" outlineLevel="0" collapsed="false">
      <c r="A54" s="65"/>
      <c r="B54" s="66" t="s">
        <v>168</v>
      </c>
      <c r="C54" s="65"/>
      <c r="D54" s="65"/>
      <c r="E54" s="65"/>
      <c r="F54" s="65"/>
      <c r="G54" s="65"/>
    </row>
    <row r="55" customFormat="false" ht="13.5" hidden="false" customHeight="true" outlineLevel="0" collapsed="false">
      <c r="A55" s="15"/>
      <c r="B55" s="49" t="s">
        <v>169</v>
      </c>
      <c r="D55" s="67" t="n">
        <f aca="false">Assumptions!C39</f>
        <v>0</v>
      </c>
      <c r="E55" s="68" t="n">
        <f aca="false">D55*C5</f>
        <v>0</v>
      </c>
      <c r="F55" s="41" t="s">
        <v>170</v>
      </c>
    </row>
    <row r="56" customFormat="false" ht="13.5" hidden="false" customHeight="true" outlineLevel="0" collapsed="false">
      <c r="A56" s="15"/>
      <c r="B56" s="49" t="s">
        <v>171</v>
      </c>
      <c r="D56" s="68" t="n">
        <f aca="false">D55*12</f>
        <v>0</v>
      </c>
      <c r="E56" s="68" t="n">
        <f aca="false">E55*12</f>
        <v>0</v>
      </c>
    </row>
    <row r="57" customFormat="false" ht="13.5" hidden="false" customHeight="true" outlineLevel="0" collapsed="false">
      <c r="A57" s="15"/>
      <c r="B57" s="49" t="s">
        <v>172</v>
      </c>
      <c r="D57" s="67" t="n">
        <f aca="false">D55*(1-Assumptions!C40)</f>
        <v>0</v>
      </c>
      <c r="E57" s="68" t="n">
        <f aca="false">E55*(1-Assumptions!C40)</f>
        <v>0</v>
      </c>
      <c r="F57" s="41" t="s">
        <v>173</v>
      </c>
    </row>
    <row r="58" customFormat="false" ht="13.5" hidden="false" customHeight="true" outlineLevel="0" collapsed="false">
      <c r="A58" s="15"/>
      <c r="B58" s="49" t="s">
        <v>174</v>
      </c>
      <c r="D58" s="69" t="n">
        <f aca="false">Assumptions!C41</f>
        <v>0</v>
      </c>
      <c r="F58" s="41" t="s">
        <v>175</v>
      </c>
    </row>
    <row r="59" customFormat="false" ht="13.5" hidden="false" customHeight="true" outlineLevel="0" collapsed="false">
      <c r="A59" s="15"/>
      <c r="B59" s="104" t="s">
        <v>176</v>
      </c>
      <c r="D59" s="106" t="e">
        <f aca="false">D55/Assumptions!C41</f>
        <v>#DIV/0!</v>
      </c>
      <c r="E59" s="107" t="e">
        <f aca="false">E55/Assumptions!C41</f>
        <v>#DIV/0!</v>
      </c>
    </row>
    <row r="61" customFormat="false" ht="27.75" hidden="false" customHeight="true" outlineLevel="0" collapsed="false">
      <c r="B61" s="31" t="s">
        <v>177</v>
      </c>
      <c r="C61" s="31"/>
      <c r="D61" s="31"/>
      <c r="E61" s="31"/>
      <c r="F61" s="31"/>
    </row>
  </sheetData>
  <mergeCells count="2">
    <mergeCell ref="B2:F2"/>
    <mergeCell ref="B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2026-05-31T22:44:43Z</dcterms:created>
  <dc:creator>openpyxl</dc:creator>
  <dc:description/>
  <dc:language>en-US</dc:language>
  <cp:lastModifiedBy/>
  <dcterms:modified xsi:type="dcterms:W3CDTF">2026-05-31T22:44:43Z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