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ources and U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<sst xmlns="http://schemas.openxmlformats.org/spreadsheetml/2006/main" count="153" uniqueCount="128">
  <si>
    <t xml:space="preserve">M4Di — Merge 4 Development Institute</t>
  </si>
  <si>
    <t xml:space="preserve">Wells Fargo / Enterprise Housing Affordability Breakthrough Challenge — 2026 Cycle</t>
  </si>
  <si>
    <t xml:space="preserve">BUDGET — Finance Category  |  Lead Applicant: Central Baptist CDC  |  Grant Period: 24 Months  |  Total Request: $2,000,000</t>
  </si>
  <si>
    <t xml:space="preserve">Budget Line Item</t>
  </si>
  <si>
    <t xml:space="preserve">Description / Justification</t>
  </si>
  <si>
    <t xml:space="preserve">Qty</t>
  </si>
  <si>
    <t xml:space="preserve">Unit</t>
  </si>
  <si>
    <t xml:space="preserve">Year 1 ($)</t>
  </si>
  <si>
    <t xml:space="preserve">Year 2 ($)</t>
  </si>
  <si>
    <t xml:space="preserve">Total ($)</t>
  </si>
  <si>
    <t xml:space="preserve">A  PERSONNEL &amp; CONTRACTOR SERVICES</t>
  </si>
  <si>
    <t xml:space="preserve">Personnel costs reflect the proportional FTE time of M4Di principals and a program associate dedicated to grant-funded activities. All rates are commensurate with nonprofit Mid-Atlantic professional compensation standards.</t>
  </si>
  <si>
    <t xml:space="preserve">David Ainsworth, AIA — Predevelopment Lead</t>
  </si>
  <si>
    <t xml:space="preserve">0.5 FTE. Methodology leadership, OI Tool build direction, client engagement, grant reporting.</t>
  </si>
  <si>
    <t xml:space="preserve">FTE/yr</t>
  </si>
  <si>
    <t xml:space="preserve">Travis Davis — Platform Operator / GMD</t>
  </si>
  <si>
    <t xml:space="preserve">0.4 FTE. Web app build coordination, platform operation, visualization, M4Di Terminal.</t>
  </si>
  <si>
    <t xml:space="preserve">Leo Lynch — Operations &amp; Grant Compliance</t>
  </si>
  <si>
    <t xml:space="preserve">0.3 FTE. Grant reporting, financial management, CDFI partner development.</t>
  </si>
  <si>
    <t xml:space="preserve">Trevor Knight — Strategy &amp; Business Development</t>
  </si>
  <si>
    <t xml:space="preserve">0.2 FTE. CDFI relationships, funder outreach, Academy partner development.</t>
  </si>
  <si>
    <t xml:space="preserve">Program Associate (new hire, Year 2)</t>
  </si>
  <si>
    <t xml:space="preserve">0.8 FTE, Year 2 only. Client engagement support, ALDDB data entry, Academy coordination.</t>
  </si>
  <si>
    <t xml:space="preserve">Contracted Developer — Web App Build</t>
  </si>
  <si>
    <t xml:space="preserve">Part-time contractor. Auth, Supabase database, deployment pipeline, security audit. ~140 hrs @ $100/hr.</t>
  </si>
  <si>
    <t xml:space="preserve">hrs</t>
  </si>
  <si>
    <t xml:space="preserve">CB CDC Administrative Fee (8%)</t>
  </si>
  <si>
    <t xml:space="preserve">Fiscal sponsor oversight, financial controls, compliance, grant administration.</t>
  </si>
  <si>
    <t xml:space="preserve">lump sum</t>
  </si>
  <si>
    <t xml:space="preserve">A  PERSONNEL SUBTOTAL</t>
  </si>
  <si>
    <t xml:space="preserve">B  TECHNOLOGY &amp; INFRASTRUCTURE</t>
  </si>
  <si>
    <t xml:space="preserve">Cloud Hosting — Vercel + Supabase (Production)</t>
  </si>
  <si>
    <t xml:space="preserve">Frontend (Vercel Pro) + database (Supabase Pro). Supports 10–20 users, multi-project storage.</t>
  </si>
  <si>
    <t xml:space="preserve">yr</t>
  </si>
  <si>
    <t xml:space="preserve">Anthropic Claude API — Build Phase + AI Advisor</t>
  </si>
  <si>
    <t xml:space="preserve">Code generation during build phase + ongoing AI Advisor feature for scope narrative generation.</t>
  </si>
  <si>
    <t xml:space="preserve">Regrid API — Parcel Data Integration</t>
  </si>
  <si>
    <t xml:space="preserve">Address-driven parcel/zoning auto-population for ZONING &amp; CODE ANALYSIS tab. Nonprofit pricing.</t>
  </si>
  <si>
    <t xml:space="preserve">Security &amp; Code Audit (one-time)</t>
  </si>
  <si>
    <t xml:space="preserve">Third-party security review before client access. Required before external user access granted.</t>
  </si>
  <si>
    <t xml:space="preserve">BLS / ENR Data Subscriptions</t>
  </si>
  <si>
    <t xml:space="preserve">Regional labor cost data (BLS OEWS) and construction cost index (ENR) for OI Tool regional factors.</t>
  </si>
  <si>
    <t xml:space="preserve">Software Licenses &amp; Tools</t>
  </si>
  <si>
    <t xml:space="preserve">Revit 2026, Microsoft 365, GitHub org, design tools. Allocated portion for M4Di program use.</t>
  </si>
  <si>
    <t xml:space="preserve">B  TECHNOLOGY SUBTOTAL</t>
  </si>
  <si>
    <t xml:space="preserve">C  M4Di ACADEMY — CURRICULUM &amp; PROGRAM</t>
  </si>
  <si>
    <t xml:space="preserve">Academy Curriculum Development — Phase 1</t>
  </si>
  <si>
    <t xml:space="preserve">FeasOps™ P1–P3 curriculum, 6-module course build, contractor cost literacy track. Writer + instructional design.</t>
  </si>
  <si>
    <t xml:space="preserve">Academy Curriculum Development — Phase 2</t>
  </si>
  <si>
    <t xml:space="preserve">Advanced modules: CLT/SIP cost methodology, CDFI funder budget formats, ALDi gate controls.</t>
  </si>
  <si>
    <t xml:space="preserve">Cohort Delivery — Year 1 Pilot (15 participants)</t>
  </si>
  <si>
    <t xml:space="preserve">First cohort facilitation, materials, participant support. LEEP x M4Di Academy co-delivery.</t>
  </si>
  <si>
    <t xml:space="preserve">cohort</t>
  </si>
  <si>
    <t xml:space="preserve">Cohort Delivery — Year 2 (2 cohorts, 15 avg.)</t>
  </si>
  <si>
    <t xml:space="preserve">Two cohorts at full delivery cost. Participant fee offset reduces net grant spend.</t>
  </si>
  <si>
    <t xml:space="preserve">Academy Platform &amp; LMS Setup</t>
  </si>
  <si>
    <t xml:space="preserve">Learning management system setup, course hosting, participant portal. One-time Year 1 build.</t>
  </si>
  <si>
    <t xml:space="preserve">Nonprofit Development Kit — Content Build</t>
  </si>
  <si>
    <t xml:space="preserve">Subscriber-ready digital toolkit: templates, guides, benchmark summaries. Year 2 launch.</t>
  </si>
  <si>
    <t xml:space="preserve">C  ACADEMY SUBTOTAL</t>
  </si>
  <si>
    <t xml:space="preserve">D  ALDDB HISTORICAL COST DATABASE</t>
  </si>
  <si>
    <t xml:space="preserve">ALDDB Cloud Database Architecture</t>
  </si>
  <si>
    <t xml:space="preserve">Supabase schema design, data migration from Excel, API endpoints for OI Tool integration.</t>
  </si>
  <si>
    <t xml:space="preserve">Data Entry &amp; Validation (closed projects)</t>
  </si>
  <si>
    <t xml:space="preserve">Entry and QA of historical project cost records into ALDDB. Target: 10+ records Year 1.</t>
  </si>
  <si>
    <t xml:space="preserve">Annual Mid-Atlantic Cost Benchmark Report — Year 2</t>
  </si>
  <si>
    <t xml:space="preserve">Design, data analysis, and publishing of first public benchmark report. Travis leads production.</t>
  </si>
  <si>
    <t xml:space="preserve">report</t>
  </si>
  <si>
    <t xml:space="preserve">CDFI Partner Data Sharing Agreements</t>
  </si>
  <si>
    <t xml:space="preserve">Legal review and execution of data sharing agreements with CDFI pilot subscribers.</t>
  </si>
  <si>
    <t xml:space="preserve">agreements</t>
  </si>
  <si>
    <t xml:space="preserve">D  ALDDB SUBTOTAL</t>
  </si>
  <si>
    <t xml:space="preserve">E  CLT/SIP MANUFACTURING MARKET STUDY SEED</t>
  </si>
  <si>
    <t xml:space="preserve">Market Study — Demand Analysis Phase</t>
  </si>
  <si>
    <t xml:space="preserve">Regional CLT/SIP demand quantification. Mid-Atlantic project pipeline, cost modeling, supply chain gap analysis.</t>
  </si>
  <si>
    <t xml:space="preserve">Market Study — Site &amp; Pro Forma Phase</t>
  </si>
  <si>
    <t xml:space="preserve">I-95 corridor site identification, manufacturing facility pro forma, capital stack modeling.</t>
  </si>
  <si>
    <t xml:space="preserve">University Research Partnership Setup</t>
  </si>
  <si>
    <t xml:space="preserve">MOU with U of Delaware or Delaware State. Federal grant co-PI pathway development.</t>
  </si>
  <si>
    <t xml:space="preserve">Manufacturing Study Advisory Panel</t>
  </si>
  <si>
    <t xml:space="preserve">3 sessions with CLT industry, workforce, and CDFI advisors. Travel + honoraria.</t>
  </si>
  <si>
    <t xml:space="preserve">sessions</t>
  </si>
  <si>
    <t xml:space="preserve">Legal — Manufacturing Entity Structure Analysis</t>
  </si>
  <si>
    <t xml:space="preserve">Attorney review of nonprofit/for-profit structure options for M4Di Ventures LLC.</t>
  </si>
  <si>
    <t xml:space="preserve">EDA Grant Application Preparation</t>
  </si>
  <si>
    <t xml:space="preserve">Professional grant writing support for EDA Build to Scale application (Year 2 target).</t>
  </si>
  <si>
    <t xml:space="preserve">E  MANUFACTURING STUDY SUBTOTAL</t>
  </si>
  <si>
    <t xml:space="preserve">F  OUTREACH, PARTNERSHIPS &amp; COMMUNICATIONS</t>
  </si>
  <si>
    <t xml:space="preserve">CDFI Partner Development — Events &amp; Materials</t>
  </si>
  <si>
    <t xml:space="preserve">National CDFI conference attendance, presentation materials, partner cultivation. 2 events/yr.</t>
  </si>
  <si>
    <t xml:space="preserve">events/yr</t>
  </si>
  <si>
    <t xml:space="preserve">M4Di Website — Platform &amp; Content Updates</t>
  </si>
  <si>
    <t xml:space="preserve">OI Tool web app public-facing pages, Academy portal, ALDDB benchmark dashboard.</t>
  </si>
  <si>
    <t xml:space="preserve">Travel — Client Engagement &amp; Conferences</t>
  </si>
  <si>
    <t xml:space="preserve">Site visits, CDFI meetings, Enterprise peer learning participation. Mid-Atlantic geography.</t>
  </si>
  <si>
    <t xml:space="preserve">Legal — Entity Formation &amp; Agreement Review</t>
  </si>
  <si>
    <t xml:space="preserve">M4Di, Inc. formation, fiscal sponsorship agreement, CDFI partnership agreements.</t>
  </si>
  <si>
    <t xml:space="preserve">Evaluation &amp; Impact Measurement</t>
  </si>
  <si>
    <t xml:space="preserve">Third-party evaluation of program outcomes: units in pipeline, cost savings, CDFI adoption.</t>
  </si>
  <si>
    <t xml:space="preserve">F  OUTREACH SUBTOTAL</t>
  </si>
  <si>
    <t xml:space="preserve">G  CONTINGENCY</t>
  </si>
  <si>
    <t xml:space="preserve">Program Contingency (5%)</t>
  </si>
  <si>
    <t xml:space="preserve">Reserve for unanticipated program costs, scope changes, or technology cost escalation.</t>
  </si>
  <si>
    <t xml:space="preserve">of total</t>
  </si>
  <si>
    <t xml:space="preserve">G  CONTINGENCY SUBTOTAL</t>
  </si>
  <si>
    <t xml:space="preserve">TOTAL GRANT REQUEST</t>
  </si>
  <si>
    <t xml:space="preserve">M4Di — SOURCES AND USES TABLE</t>
  </si>
  <si>
    <t xml:space="preserve">Wells Fargo / Enterprise Housing Affordability Breakthrough Challenge | Grant Period: 24 Months</t>
  </si>
  <si>
    <t xml:space="preserve">Source / Use Category</t>
  </si>
  <si>
    <t xml:space="preserve">Year 1</t>
  </si>
  <si>
    <t xml:space="preserve">Year 2</t>
  </si>
  <si>
    <t xml:space="preserve">Total</t>
  </si>
  <si>
    <t xml:space="preserve">SOURCES</t>
  </si>
  <si>
    <t xml:space="preserve">Wells Fargo / Enterprise Grant</t>
  </si>
  <si>
    <t xml:space="preserve">M4Di Principal In-Kind (estimated soft match)</t>
  </si>
  <si>
    <t xml:space="preserve">CB CDC In-Kind Oversight</t>
  </si>
  <si>
    <t xml:space="preserve">Earned Revenue (FeasOps, ALDi retainers — not grant-funded)</t>
  </si>
  <si>
    <t xml:space="preserve">TOTAL SOURCES</t>
  </si>
  <si>
    <t xml:space="preserve">USES (from Budget tab)</t>
  </si>
  <si>
    <t xml:space="preserve">A — Personnel &amp; Contractor Services</t>
  </si>
  <si>
    <t xml:space="preserve">B — Technology &amp; Infrastructure</t>
  </si>
  <si>
    <t xml:space="preserve">C — M4Di Academy</t>
  </si>
  <si>
    <t xml:space="preserve">D — ALDDB Historical Cost Database</t>
  </si>
  <si>
    <t xml:space="preserve">E — CLT/SIP Manufacturing Study Seed</t>
  </si>
  <si>
    <t xml:space="preserve">F — Outreach &amp; Partnerships</t>
  </si>
  <si>
    <t xml:space="preserve">G — Contingency (5%)</t>
  </si>
  <si>
    <t xml:space="preserve">TOTAL USES</t>
  </si>
  <si>
    <t xml:space="preserve">GRANT FUNDS BALANCE CHECK (Sources - Uses should = $0)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</si>
</sst>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66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AA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C447C"/>
        <bgColor rgb="FF185FA5"/>
      </patternFill>
    </fill>
    <fill>
      <patternFill patternType="solid">
        <fgColor rgb="FF185FA5"/>
        <bgColor rgb="FF2E75B6"/>
      </patternFill>
    </fill>
    <fill>
      <patternFill patternType="solid">
        <fgColor rgb="FFBDD7EE"/>
        <bgColor rgb="FFCCCCCC"/>
      </patternFill>
    </fill>
    <fill>
      <patternFill patternType="solid">
        <fgColor rgb="FFE6F1FB"/>
        <bgColor rgb="FFFFFFFF"/>
      </patternFill>
    </fill>
    <fill>
      <patternFill patternType="solid">
        <fgColor rgb="FFFFF3CD"/>
        <bgColor rgb="FFFFFFFF"/>
      </patternFill>
    </fill>
    <fill>
      <patternFill patternType="solid">
        <fgColor rgb="FFFFFFFF"/>
        <bgColor rgb="FFE6F1FB"/>
      </patternFill>
    </fill>
    <fill>
      <patternFill patternType="solid">
        <fgColor rgb="FF2E75B6"/>
        <bgColor rgb="FF185FA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A6600"/>
      <rgbColor rgb="FF800080"/>
      <rgbColor rgb="FF008080"/>
      <rgbColor rgb="FFCCCCCC"/>
      <rgbColor rgb="FF888888"/>
      <rgbColor rgb="FF9999FF"/>
      <rgbColor rgb="FF993366"/>
      <rgbColor rgb="FFFFF3CD"/>
      <rgbColor rgb="FFE6F1FB"/>
      <rgbColor rgb="FF660066"/>
      <rgbColor rgb="FFFF8080"/>
      <rgbColor rgb="FF185FA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" hidden="false" customHeight="true" outlineLevel="0" collapsed="false"/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.7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</row>
    <row r="7" customFormat="false" ht="27.75" hidden="false" customHeight="true" outlineLevel="0" collapsed="false">
      <c r="A7" s="6" t="s">
        <v>11</v>
      </c>
      <c r="B7" s="6"/>
      <c r="C7" s="6"/>
      <c r="D7" s="6"/>
      <c r="E7" s="6"/>
      <c r="F7" s="6"/>
      <c r="G7" s="6"/>
    </row>
    <row r="8" customFormat="false" ht="27.75" hidden="false" customHeight="true" outlineLevel="0" collapsed="false">
      <c r="A8" s="7" t="s">
        <v>12</v>
      </c>
      <c r="B8" s="8" t="s">
        <v>13</v>
      </c>
      <c r="C8" s="9" t="n">
        <v>0.5</v>
      </c>
      <c r="D8" s="10" t="s">
        <v>14</v>
      </c>
      <c r="E8" s="11" t="n">
        <v>62500</v>
      </c>
      <c r="F8" s="11" t="n">
        <v>65000</v>
      </c>
      <c r="G8" s="12" t="n">
        <f aca="false">E8+F8</f>
        <v>127500</v>
      </c>
    </row>
    <row r="9" customFormat="false" ht="27.75" hidden="false" customHeight="true" outlineLevel="0" collapsed="false">
      <c r="A9" s="13" t="s">
        <v>15</v>
      </c>
      <c r="B9" s="14" t="s">
        <v>16</v>
      </c>
      <c r="C9" s="15" t="n">
        <v>0.4</v>
      </c>
      <c r="D9" s="16" t="s">
        <v>14</v>
      </c>
      <c r="E9" s="17" t="n">
        <v>50000</v>
      </c>
      <c r="F9" s="17" t="n">
        <v>52000</v>
      </c>
      <c r="G9" s="18" t="n">
        <f aca="false">E9+F9</f>
        <v>102000</v>
      </c>
    </row>
    <row r="10" customFormat="false" ht="27.75" hidden="false" customHeight="true" outlineLevel="0" collapsed="false">
      <c r="A10" s="7" t="s">
        <v>17</v>
      </c>
      <c r="B10" s="8" t="s">
        <v>18</v>
      </c>
      <c r="C10" s="9" t="n">
        <v>0.3</v>
      </c>
      <c r="D10" s="10" t="s">
        <v>14</v>
      </c>
      <c r="E10" s="11" t="n">
        <v>37500</v>
      </c>
      <c r="F10" s="11" t="n">
        <v>39000</v>
      </c>
      <c r="G10" s="12" t="n">
        <f aca="false">E10+F10</f>
        <v>76500</v>
      </c>
    </row>
    <row r="11" customFormat="false" ht="27.75" hidden="false" customHeight="true" outlineLevel="0" collapsed="false">
      <c r="A11" s="13" t="s">
        <v>19</v>
      </c>
      <c r="B11" s="14" t="s">
        <v>20</v>
      </c>
      <c r="C11" s="15" t="n">
        <v>0.2</v>
      </c>
      <c r="D11" s="16" t="s">
        <v>14</v>
      </c>
      <c r="E11" s="17" t="n">
        <v>25000</v>
      </c>
      <c r="F11" s="17" t="n">
        <v>26000</v>
      </c>
      <c r="G11" s="18" t="n">
        <f aca="false">E11+F11</f>
        <v>51000</v>
      </c>
    </row>
    <row r="12" customFormat="false" ht="27.75" hidden="false" customHeight="true" outlineLevel="0" collapsed="false">
      <c r="A12" s="7" t="s">
        <v>21</v>
      </c>
      <c r="B12" s="8" t="s">
        <v>22</v>
      </c>
      <c r="C12" s="9" t="n">
        <v>0</v>
      </c>
      <c r="D12" s="10" t="s">
        <v>14</v>
      </c>
      <c r="E12" s="11" t="n">
        <v>0</v>
      </c>
      <c r="F12" s="11" t="n">
        <v>48000</v>
      </c>
      <c r="G12" s="12" t="n">
        <f aca="false">E12+F12</f>
        <v>48000</v>
      </c>
    </row>
    <row r="13" customFormat="false" ht="27.75" hidden="false" customHeight="true" outlineLevel="0" collapsed="false">
      <c r="A13" s="13" t="s">
        <v>23</v>
      </c>
      <c r="B13" s="14" t="s">
        <v>24</v>
      </c>
      <c r="C13" s="15" t="n">
        <v>140</v>
      </c>
      <c r="D13" s="16" t="s">
        <v>25</v>
      </c>
      <c r="E13" s="17" t="n">
        <v>14000</v>
      </c>
      <c r="F13" s="17" t="n">
        <v>0</v>
      </c>
      <c r="G13" s="18" t="n">
        <f aca="false">E13+F13</f>
        <v>14000</v>
      </c>
    </row>
    <row r="14" customFormat="false" ht="27.75" hidden="false" customHeight="true" outlineLevel="0" collapsed="false">
      <c r="A14" s="7" t="s">
        <v>26</v>
      </c>
      <c r="B14" s="8" t="s">
        <v>27</v>
      </c>
      <c r="C14" s="9" t="n">
        <v>1</v>
      </c>
      <c r="D14" s="10" t="s">
        <v>28</v>
      </c>
      <c r="E14" s="11" t="n">
        <v>80000</v>
      </c>
      <c r="F14" s="11" t="n">
        <v>80000</v>
      </c>
      <c r="G14" s="12" t="n">
        <f aca="false">E14+F14</f>
        <v>160000</v>
      </c>
    </row>
    <row r="15" customFormat="false" ht="18" hidden="false" customHeight="true" outlineLevel="0" collapsed="false">
      <c r="A15" s="19" t="s">
        <v>29</v>
      </c>
      <c r="B15" s="19"/>
      <c r="C15" s="19"/>
      <c r="D15" s="20" t="n">
        <f aca="false">SUM(E8:E14)</f>
        <v>269000</v>
      </c>
      <c r="E15" s="20" t="n">
        <f aca="false">SUM(F8:F14)</f>
        <v>310000</v>
      </c>
      <c r="F15" s="20" t="n">
        <f aca="false">D15+E15</f>
        <v>579000</v>
      </c>
      <c r="G15" s="19"/>
    </row>
    <row r="16" customFormat="false" ht="15.75" hidden="false" customHeight="true" outlineLevel="0" collapsed="false">
      <c r="A16" s="5" t="s">
        <v>30</v>
      </c>
      <c r="B16" s="5"/>
      <c r="C16" s="5"/>
      <c r="D16" s="5"/>
      <c r="E16" s="5"/>
      <c r="F16" s="5"/>
      <c r="G16" s="5"/>
    </row>
    <row r="17" customFormat="false" ht="27.75" hidden="false" customHeight="true" outlineLevel="0" collapsed="false">
      <c r="A17" s="7" t="s">
        <v>31</v>
      </c>
      <c r="B17" s="8" t="s">
        <v>32</v>
      </c>
      <c r="C17" s="9" t="n">
        <v>1</v>
      </c>
      <c r="D17" s="10" t="s">
        <v>33</v>
      </c>
      <c r="E17" s="11" t="n">
        <v>1800</v>
      </c>
      <c r="F17" s="11" t="n">
        <v>1800</v>
      </c>
      <c r="G17" s="12" t="n">
        <f aca="false">E17+F17</f>
        <v>3600</v>
      </c>
    </row>
    <row r="18" customFormat="false" ht="27.75" hidden="false" customHeight="true" outlineLevel="0" collapsed="false">
      <c r="A18" s="13" t="s">
        <v>34</v>
      </c>
      <c r="B18" s="14" t="s">
        <v>35</v>
      </c>
      <c r="C18" s="15" t="n">
        <v>1</v>
      </c>
      <c r="D18" s="16" t="s">
        <v>33</v>
      </c>
      <c r="E18" s="17" t="n">
        <v>1200</v>
      </c>
      <c r="F18" s="17" t="n">
        <v>1200</v>
      </c>
      <c r="G18" s="18" t="n">
        <f aca="false">E18+F18</f>
        <v>2400</v>
      </c>
    </row>
    <row r="19" customFormat="false" ht="27.75" hidden="false" customHeight="true" outlineLevel="0" collapsed="false">
      <c r="A19" s="7" t="s">
        <v>36</v>
      </c>
      <c r="B19" s="8" t="s">
        <v>37</v>
      </c>
      <c r="C19" s="9" t="n">
        <v>1</v>
      </c>
      <c r="D19" s="10" t="s">
        <v>33</v>
      </c>
      <c r="E19" s="11" t="n">
        <v>1800</v>
      </c>
      <c r="F19" s="11" t="n">
        <v>1800</v>
      </c>
      <c r="G19" s="12" t="n">
        <f aca="false">E19+F19</f>
        <v>3600</v>
      </c>
    </row>
    <row r="20" customFormat="false" ht="27.75" hidden="false" customHeight="true" outlineLevel="0" collapsed="false">
      <c r="A20" s="13" t="s">
        <v>38</v>
      </c>
      <c r="B20" s="14" t="s">
        <v>39</v>
      </c>
      <c r="C20" s="15" t="n">
        <v>1</v>
      </c>
      <c r="D20" s="16" t="s">
        <v>28</v>
      </c>
      <c r="E20" s="17" t="n">
        <v>3000</v>
      </c>
      <c r="F20" s="17" t="n">
        <v>0</v>
      </c>
      <c r="G20" s="18" t="n">
        <f aca="false">E20+F20</f>
        <v>3000</v>
      </c>
    </row>
    <row r="21" customFormat="false" ht="27.75" hidden="false" customHeight="true" outlineLevel="0" collapsed="false">
      <c r="A21" s="7" t="s">
        <v>40</v>
      </c>
      <c r="B21" s="8" t="s">
        <v>41</v>
      </c>
      <c r="C21" s="9" t="n">
        <v>1</v>
      </c>
      <c r="D21" s="10" t="s">
        <v>33</v>
      </c>
      <c r="E21" s="11" t="n">
        <v>500</v>
      </c>
      <c r="F21" s="11" t="n">
        <v>500</v>
      </c>
      <c r="G21" s="12" t="n">
        <f aca="false">E21+F21</f>
        <v>1000</v>
      </c>
    </row>
    <row r="22" customFormat="false" ht="27.75" hidden="false" customHeight="true" outlineLevel="0" collapsed="false">
      <c r="A22" s="13" t="s">
        <v>42</v>
      </c>
      <c r="B22" s="14" t="s">
        <v>43</v>
      </c>
      <c r="C22" s="15" t="n">
        <v>1</v>
      </c>
      <c r="D22" s="16" t="s">
        <v>33</v>
      </c>
      <c r="E22" s="17" t="n">
        <v>3000</v>
      </c>
      <c r="F22" s="17" t="n">
        <v>3000</v>
      </c>
      <c r="G22" s="18" t="n">
        <f aca="false">E22+F22</f>
        <v>6000</v>
      </c>
    </row>
    <row r="23" customFormat="false" ht="18" hidden="false" customHeight="true" outlineLevel="0" collapsed="false">
      <c r="A23" s="19" t="s">
        <v>44</v>
      </c>
      <c r="B23" s="19"/>
      <c r="C23" s="19"/>
      <c r="D23" s="20" t="n">
        <f aca="false">SUM(E17:E22)</f>
        <v>11300</v>
      </c>
      <c r="E23" s="20" t="n">
        <f aca="false">SUM(F17:F22)</f>
        <v>8300</v>
      </c>
      <c r="F23" s="20" t="n">
        <f aca="false">D23+E23</f>
        <v>19600</v>
      </c>
      <c r="G23" s="19"/>
    </row>
    <row r="24" customFormat="false" ht="15.75" hidden="false" customHeight="true" outlineLevel="0" collapsed="false">
      <c r="A24" s="5" t="s">
        <v>45</v>
      </c>
      <c r="B24" s="5"/>
      <c r="C24" s="5"/>
      <c r="D24" s="5"/>
      <c r="E24" s="5"/>
      <c r="F24" s="5"/>
      <c r="G24" s="5"/>
    </row>
    <row r="25" customFormat="false" ht="27.75" hidden="false" customHeight="true" outlineLevel="0" collapsed="false">
      <c r="A25" s="7" t="s">
        <v>46</v>
      </c>
      <c r="B25" s="8" t="s">
        <v>47</v>
      </c>
      <c r="C25" s="9" t="n">
        <v>1</v>
      </c>
      <c r="D25" s="10" t="s">
        <v>28</v>
      </c>
      <c r="E25" s="11" t="n">
        <v>45000</v>
      </c>
      <c r="F25" s="11" t="n">
        <v>0</v>
      </c>
      <c r="G25" s="12" t="n">
        <f aca="false">E25+F25</f>
        <v>45000</v>
      </c>
    </row>
    <row r="26" customFormat="false" ht="27.75" hidden="false" customHeight="true" outlineLevel="0" collapsed="false">
      <c r="A26" s="13" t="s">
        <v>48</v>
      </c>
      <c r="B26" s="14" t="s">
        <v>49</v>
      </c>
      <c r="C26" s="15" t="n">
        <v>1</v>
      </c>
      <c r="D26" s="16" t="s">
        <v>28</v>
      </c>
      <c r="E26" s="17" t="n">
        <v>0</v>
      </c>
      <c r="F26" s="17" t="n">
        <v>54000</v>
      </c>
      <c r="G26" s="18" t="n">
        <f aca="false">E26+F26</f>
        <v>54000</v>
      </c>
    </row>
    <row r="27" customFormat="false" ht="27.75" hidden="false" customHeight="true" outlineLevel="0" collapsed="false">
      <c r="A27" s="7" t="s">
        <v>50</v>
      </c>
      <c r="B27" s="8" t="s">
        <v>51</v>
      </c>
      <c r="C27" s="9" t="n">
        <v>1</v>
      </c>
      <c r="D27" s="10" t="s">
        <v>52</v>
      </c>
      <c r="E27" s="11" t="n">
        <v>12000</v>
      </c>
      <c r="F27" s="11" t="n">
        <v>0</v>
      </c>
      <c r="G27" s="12" t="n">
        <f aca="false">E27+F27</f>
        <v>12000</v>
      </c>
    </row>
    <row r="28" customFormat="false" ht="27.75" hidden="false" customHeight="true" outlineLevel="0" collapsed="false">
      <c r="A28" s="13" t="s">
        <v>53</v>
      </c>
      <c r="B28" s="14" t="s">
        <v>54</v>
      </c>
      <c r="C28" s="15" t="n">
        <v>1</v>
      </c>
      <c r="D28" s="16" t="s">
        <v>52</v>
      </c>
      <c r="E28" s="17" t="n">
        <v>0</v>
      </c>
      <c r="F28" s="17" t="n">
        <v>18000</v>
      </c>
      <c r="G28" s="18" t="n">
        <f aca="false">E28+F28</f>
        <v>18000</v>
      </c>
    </row>
    <row r="29" customFormat="false" ht="27.75" hidden="false" customHeight="true" outlineLevel="0" collapsed="false">
      <c r="A29" s="7" t="s">
        <v>55</v>
      </c>
      <c r="B29" s="8" t="s">
        <v>56</v>
      </c>
      <c r="C29" s="9" t="n">
        <v>1</v>
      </c>
      <c r="D29" s="10" t="s">
        <v>28</v>
      </c>
      <c r="E29" s="11" t="n">
        <v>8000</v>
      </c>
      <c r="F29" s="11" t="n">
        <v>0</v>
      </c>
      <c r="G29" s="12" t="n">
        <f aca="false">E29+F29</f>
        <v>8000</v>
      </c>
    </row>
    <row r="30" customFormat="false" ht="27.75" hidden="false" customHeight="true" outlineLevel="0" collapsed="false">
      <c r="A30" s="13" t="s">
        <v>57</v>
      </c>
      <c r="B30" s="14" t="s">
        <v>58</v>
      </c>
      <c r="C30" s="15" t="n">
        <v>1</v>
      </c>
      <c r="D30" s="16" t="s">
        <v>28</v>
      </c>
      <c r="E30" s="17" t="n">
        <v>0</v>
      </c>
      <c r="F30" s="17" t="n">
        <v>12000</v>
      </c>
      <c r="G30" s="18" t="n">
        <f aca="false">E30+F30</f>
        <v>12000</v>
      </c>
    </row>
    <row r="31" customFormat="false" ht="18" hidden="false" customHeight="true" outlineLevel="0" collapsed="false">
      <c r="A31" s="19" t="s">
        <v>59</v>
      </c>
      <c r="B31" s="19"/>
      <c r="C31" s="19"/>
      <c r="D31" s="20" t="n">
        <f aca="false">SUM(E25:E30)</f>
        <v>65000</v>
      </c>
      <c r="E31" s="20" t="n">
        <f aca="false">SUM(F25:F30)</f>
        <v>84000</v>
      </c>
      <c r="F31" s="20" t="n">
        <f aca="false">D31+E31</f>
        <v>149000</v>
      </c>
      <c r="G31" s="19"/>
    </row>
    <row r="32" customFormat="false" ht="15.75" hidden="false" customHeight="true" outlineLevel="0" collapsed="false">
      <c r="A32" s="5" t="s">
        <v>60</v>
      </c>
      <c r="B32" s="5"/>
      <c r="C32" s="5"/>
      <c r="D32" s="5"/>
      <c r="E32" s="5"/>
      <c r="F32" s="5"/>
      <c r="G32" s="5"/>
    </row>
    <row r="33" customFormat="false" ht="27.75" hidden="false" customHeight="true" outlineLevel="0" collapsed="false">
      <c r="A33" s="7" t="s">
        <v>61</v>
      </c>
      <c r="B33" s="8" t="s">
        <v>62</v>
      </c>
      <c r="C33" s="9" t="n">
        <v>1</v>
      </c>
      <c r="D33" s="10" t="s">
        <v>28</v>
      </c>
      <c r="E33" s="11" t="n">
        <v>8000</v>
      </c>
      <c r="F33" s="11" t="n">
        <v>0</v>
      </c>
      <c r="G33" s="12" t="n">
        <f aca="false">E33+F33</f>
        <v>8000</v>
      </c>
    </row>
    <row r="34" customFormat="false" ht="27.75" hidden="false" customHeight="true" outlineLevel="0" collapsed="false">
      <c r="A34" s="13" t="s">
        <v>63</v>
      </c>
      <c r="B34" s="14" t="s">
        <v>64</v>
      </c>
      <c r="C34" s="15" t="n">
        <v>20</v>
      </c>
      <c r="D34" s="16" t="s">
        <v>25</v>
      </c>
      <c r="E34" s="17" t="n">
        <v>2000</v>
      </c>
      <c r="F34" s="17" t="n">
        <v>2000</v>
      </c>
      <c r="G34" s="18" t="n">
        <f aca="false">E34+F34</f>
        <v>4000</v>
      </c>
    </row>
    <row r="35" customFormat="false" ht="27.75" hidden="false" customHeight="true" outlineLevel="0" collapsed="false">
      <c r="A35" s="7" t="s">
        <v>65</v>
      </c>
      <c r="B35" s="8" t="s">
        <v>66</v>
      </c>
      <c r="C35" s="9" t="n">
        <v>1</v>
      </c>
      <c r="D35" s="10" t="s">
        <v>67</v>
      </c>
      <c r="E35" s="11" t="n">
        <v>0</v>
      </c>
      <c r="F35" s="11" t="n">
        <v>15000</v>
      </c>
      <c r="G35" s="12" t="n">
        <f aca="false">E35+F35</f>
        <v>15000</v>
      </c>
    </row>
    <row r="36" customFormat="false" ht="27.75" hidden="false" customHeight="true" outlineLevel="0" collapsed="false">
      <c r="A36" s="13" t="s">
        <v>68</v>
      </c>
      <c r="B36" s="14" t="s">
        <v>69</v>
      </c>
      <c r="C36" s="15" t="n">
        <v>2</v>
      </c>
      <c r="D36" s="16" t="s">
        <v>70</v>
      </c>
      <c r="E36" s="17" t="n">
        <v>3000</v>
      </c>
      <c r="F36" s="17" t="n">
        <v>3000</v>
      </c>
      <c r="G36" s="18" t="n">
        <f aca="false">E36+F36</f>
        <v>6000</v>
      </c>
    </row>
    <row r="37" customFormat="false" ht="18" hidden="false" customHeight="true" outlineLevel="0" collapsed="false">
      <c r="A37" s="19" t="s">
        <v>71</v>
      </c>
      <c r="B37" s="19"/>
      <c r="C37" s="19"/>
      <c r="D37" s="20" t="n">
        <f aca="false">SUM(E33:E36)</f>
        <v>13000</v>
      </c>
      <c r="E37" s="20" t="n">
        <f aca="false">SUM(F33:F36)</f>
        <v>20000</v>
      </c>
      <c r="F37" s="20" t="n">
        <f aca="false">D37+E37</f>
        <v>33000</v>
      </c>
      <c r="G37" s="19"/>
    </row>
    <row r="38" customFormat="false" ht="15.75" hidden="false" customHeight="true" outlineLevel="0" collapsed="false">
      <c r="A38" s="5" t="s">
        <v>72</v>
      </c>
      <c r="B38" s="5"/>
      <c r="C38" s="5"/>
      <c r="D38" s="5"/>
      <c r="E38" s="5"/>
      <c r="F38" s="5"/>
      <c r="G38" s="5"/>
    </row>
    <row r="39" customFormat="false" ht="27.75" hidden="false" customHeight="true" outlineLevel="0" collapsed="false">
      <c r="A39" s="7" t="s">
        <v>73</v>
      </c>
      <c r="B39" s="8" t="s">
        <v>74</v>
      </c>
      <c r="C39" s="9" t="n">
        <v>1</v>
      </c>
      <c r="D39" s="10" t="s">
        <v>28</v>
      </c>
      <c r="E39" s="11" t="n">
        <v>35000</v>
      </c>
      <c r="F39" s="11" t="n">
        <v>0</v>
      </c>
      <c r="G39" s="12" t="n">
        <f aca="false">E39+F39</f>
        <v>35000</v>
      </c>
    </row>
    <row r="40" customFormat="false" ht="27.75" hidden="false" customHeight="true" outlineLevel="0" collapsed="false">
      <c r="A40" s="13" t="s">
        <v>75</v>
      </c>
      <c r="B40" s="14" t="s">
        <v>76</v>
      </c>
      <c r="C40" s="15" t="n">
        <v>1</v>
      </c>
      <c r="D40" s="16" t="s">
        <v>28</v>
      </c>
      <c r="E40" s="17" t="n">
        <v>0</v>
      </c>
      <c r="F40" s="17" t="n">
        <v>75000</v>
      </c>
      <c r="G40" s="18" t="n">
        <f aca="false">E40+F40</f>
        <v>75000</v>
      </c>
    </row>
    <row r="41" customFormat="false" ht="27.75" hidden="false" customHeight="true" outlineLevel="0" collapsed="false">
      <c r="A41" s="7" t="s">
        <v>77</v>
      </c>
      <c r="B41" s="8" t="s">
        <v>78</v>
      </c>
      <c r="C41" s="9" t="n">
        <v>1</v>
      </c>
      <c r="D41" s="10" t="s">
        <v>28</v>
      </c>
      <c r="E41" s="11" t="n">
        <v>5000</v>
      </c>
      <c r="F41" s="11" t="n">
        <v>5000</v>
      </c>
      <c r="G41" s="12" t="n">
        <f aca="false">E41+F41</f>
        <v>10000</v>
      </c>
    </row>
    <row r="42" customFormat="false" ht="27.75" hidden="false" customHeight="true" outlineLevel="0" collapsed="false">
      <c r="A42" s="13" t="s">
        <v>79</v>
      </c>
      <c r="B42" s="14" t="s">
        <v>80</v>
      </c>
      <c r="C42" s="15" t="n">
        <v>3</v>
      </c>
      <c r="D42" s="16" t="s">
        <v>81</v>
      </c>
      <c r="E42" s="17" t="n">
        <v>5000</v>
      </c>
      <c r="F42" s="17" t="n">
        <v>5000</v>
      </c>
      <c r="G42" s="18" t="n">
        <f aca="false">E42+F42</f>
        <v>10000</v>
      </c>
    </row>
    <row r="43" customFormat="false" ht="27.75" hidden="false" customHeight="true" outlineLevel="0" collapsed="false">
      <c r="A43" s="7" t="s">
        <v>82</v>
      </c>
      <c r="B43" s="8" t="s">
        <v>83</v>
      </c>
      <c r="C43" s="9" t="n">
        <v>1</v>
      </c>
      <c r="D43" s="10" t="s">
        <v>28</v>
      </c>
      <c r="E43" s="11" t="n">
        <v>10000</v>
      </c>
      <c r="F43" s="11" t="n">
        <v>0</v>
      </c>
      <c r="G43" s="12" t="n">
        <f aca="false">E43+F43</f>
        <v>10000</v>
      </c>
    </row>
    <row r="44" customFormat="false" ht="27.75" hidden="false" customHeight="true" outlineLevel="0" collapsed="false">
      <c r="A44" s="13" t="s">
        <v>84</v>
      </c>
      <c r="B44" s="14" t="s">
        <v>85</v>
      </c>
      <c r="C44" s="15" t="n">
        <v>1</v>
      </c>
      <c r="D44" s="16" t="s">
        <v>28</v>
      </c>
      <c r="E44" s="17" t="n">
        <v>0</v>
      </c>
      <c r="F44" s="17" t="n">
        <v>15000</v>
      </c>
      <c r="G44" s="18" t="n">
        <f aca="false">E44+F44</f>
        <v>15000</v>
      </c>
    </row>
    <row r="45" customFormat="false" ht="18" hidden="false" customHeight="true" outlineLevel="0" collapsed="false">
      <c r="A45" s="19" t="s">
        <v>86</v>
      </c>
      <c r="B45" s="19"/>
      <c r="C45" s="19"/>
      <c r="D45" s="20" t="n">
        <f aca="false">SUM(E39:E44)</f>
        <v>55000</v>
      </c>
      <c r="E45" s="20" t="n">
        <f aca="false">SUM(F39:F44)</f>
        <v>100000</v>
      </c>
      <c r="F45" s="20" t="n">
        <f aca="false">D45+E45</f>
        <v>155000</v>
      </c>
      <c r="G45" s="19"/>
    </row>
    <row r="46" customFormat="false" ht="15.75" hidden="false" customHeight="true" outlineLevel="0" collapsed="false">
      <c r="A46" s="5" t="s">
        <v>87</v>
      </c>
      <c r="B46" s="5"/>
      <c r="C46" s="5"/>
      <c r="D46" s="5"/>
      <c r="E46" s="5"/>
      <c r="F46" s="5"/>
      <c r="G46" s="5"/>
    </row>
    <row r="47" customFormat="false" ht="27.75" hidden="false" customHeight="true" outlineLevel="0" collapsed="false">
      <c r="A47" s="7" t="s">
        <v>88</v>
      </c>
      <c r="B47" s="8" t="s">
        <v>89</v>
      </c>
      <c r="C47" s="9" t="n">
        <v>2</v>
      </c>
      <c r="D47" s="10" t="s">
        <v>90</v>
      </c>
      <c r="E47" s="11" t="n">
        <v>8000</v>
      </c>
      <c r="F47" s="11" t="n">
        <v>8000</v>
      </c>
      <c r="G47" s="12" t="n">
        <f aca="false">E47+F47</f>
        <v>16000</v>
      </c>
    </row>
    <row r="48" customFormat="false" ht="27.75" hidden="false" customHeight="true" outlineLevel="0" collapsed="false">
      <c r="A48" s="13" t="s">
        <v>91</v>
      </c>
      <c r="B48" s="14" t="s">
        <v>92</v>
      </c>
      <c r="C48" s="15" t="n">
        <v>1</v>
      </c>
      <c r="D48" s="16" t="s">
        <v>33</v>
      </c>
      <c r="E48" s="17" t="n">
        <v>5000</v>
      </c>
      <c r="F48" s="17" t="n">
        <v>3000</v>
      </c>
      <c r="G48" s="18" t="n">
        <f aca="false">E48+F48</f>
        <v>8000</v>
      </c>
    </row>
    <row r="49" customFormat="false" ht="27.75" hidden="false" customHeight="true" outlineLevel="0" collapsed="false">
      <c r="A49" s="7" t="s">
        <v>93</v>
      </c>
      <c r="B49" s="8" t="s">
        <v>94</v>
      </c>
      <c r="C49" s="9" t="n">
        <v>1</v>
      </c>
      <c r="D49" s="10" t="s">
        <v>33</v>
      </c>
      <c r="E49" s="11" t="n">
        <v>6000</v>
      </c>
      <c r="F49" s="11" t="n">
        <v>6000</v>
      </c>
      <c r="G49" s="12" t="n">
        <f aca="false">E49+F49</f>
        <v>12000</v>
      </c>
    </row>
    <row r="50" customFormat="false" ht="27.75" hidden="false" customHeight="true" outlineLevel="0" collapsed="false">
      <c r="A50" s="13" t="s">
        <v>95</v>
      </c>
      <c r="B50" s="14" t="s">
        <v>96</v>
      </c>
      <c r="C50" s="15" t="n">
        <v>1</v>
      </c>
      <c r="D50" s="16" t="s">
        <v>28</v>
      </c>
      <c r="E50" s="17" t="n">
        <v>15000</v>
      </c>
      <c r="F50" s="17" t="n">
        <v>5000</v>
      </c>
      <c r="G50" s="18" t="n">
        <f aca="false">E50+F50</f>
        <v>20000</v>
      </c>
    </row>
    <row r="51" customFormat="false" ht="27.75" hidden="false" customHeight="true" outlineLevel="0" collapsed="false">
      <c r="A51" s="7" t="s">
        <v>97</v>
      </c>
      <c r="B51" s="8" t="s">
        <v>98</v>
      </c>
      <c r="C51" s="9" t="n">
        <v>1</v>
      </c>
      <c r="D51" s="10" t="s">
        <v>33</v>
      </c>
      <c r="E51" s="11" t="n">
        <v>0</v>
      </c>
      <c r="F51" s="11" t="n">
        <v>10000</v>
      </c>
      <c r="G51" s="12" t="n">
        <f aca="false">E51+F51</f>
        <v>10000</v>
      </c>
    </row>
    <row r="52" customFormat="false" ht="18" hidden="false" customHeight="true" outlineLevel="0" collapsed="false">
      <c r="A52" s="19" t="s">
        <v>99</v>
      </c>
      <c r="B52" s="19"/>
      <c r="C52" s="19"/>
      <c r="D52" s="20" t="n">
        <f aca="false">SUM(E47:E51)</f>
        <v>34000</v>
      </c>
      <c r="E52" s="20" t="n">
        <f aca="false">SUM(F47:F51)</f>
        <v>32000</v>
      </c>
      <c r="F52" s="20" t="n">
        <f aca="false">D52+E52</f>
        <v>66000</v>
      </c>
      <c r="G52" s="19"/>
    </row>
    <row r="53" customFormat="false" ht="15.75" hidden="false" customHeight="true" outlineLevel="0" collapsed="false">
      <c r="A53" s="5" t="s">
        <v>100</v>
      </c>
      <c r="B53" s="5"/>
      <c r="C53" s="5"/>
      <c r="D53" s="5"/>
      <c r="E53" s="5"/>
      <c r="F53" s="5"/>
      <c r="G53" s="5"/>
    </row>
    <row r="54" customFormat="false" ht="27.75" hidden="false" customHeight="true" outlineLevel="0" collapsed="false">
      <c r="A54" s="13" t="s">
        <v>101</v>
      </c>
      <c r="B54" s="14" t="s">
        <v>102</v>
      </c>
      <c r="C54" s="15" t="n">
        <v>0.05</v>
      </c>
      <c r="D54" s="16" t="s">
        <v>103</v>
      </c>
      <c r="E54" s="17" t="n">
        <v>50000</v>
      </c>
      <c r="F54" s="17" t="n">
        <v>50000</v>
      </c>
      <c r="G54" s="18" t="n">
        <f aca="false">E54+F54</f>
        <v>100000</v>
      </c>
    </row>
    <row r="55" customFormat="false" ht="18" hidden="false" customHeight="true" outlineLevel="0" collapsed="false">
      <c r="A55" s="19" t="s">
        <v>104</v>
      </c>
      <c r="B55" s="19"/>
      <c r="C55" s="19"/>
      <c r="D55" s="20" t="n">
        <f aca="false">SUM(E54:E54)</f>
        <v>50000</v>
      </c>
      <c r="E55" s="20" t="n">
        <f aca="false">SUM(F54:F54)</f>
        <v>50000</v>
      </c>
      <c r="F55" s="20" t="n">
        <f aca="false">D55+E55</f>
        <v>100000</v>
      </c>
      <c r="G55" s="19"/>
    </row>
    <row r="56" customFormat="false" ht="6" hidden="false" customHeight="true" outlineLevel="0" collapsed="false"/>
    <row r="57" customFormat="false" ht="21.75" hidden="false" customHeight="true" outlineLevel="0" collapsed="false">
      <c r="A57" s="21" t="s">
        <v>105</v>
      </c>
      <c r="B57" s="21"/>
      <c r="C57" s="21"/>
      <c r="D57" s="21"/>
      <c r="E57" s="22" t="n">
        <f aca="false">E15+E23+E31+E37+E45+E52+E55</f>
        <v>604300</v>
      </c>
      <c r="F57" s="22" t="n">
        <f aca="false">F15+F23+F31+F37+F45+F52+F55</f>
        <v>1101600</v>
      </c>
      <c r="G57" s="22" t="n">
        <f aca="false">E57+F57</f>
        <v>1705900</v>
      </c>
    </row>
  </sheetData>
  <mergeCells count="19">
    <mergeCell ref="A1:G1"/>
    <mergeCell ref="A2:G2"/>
    <mergeCell ref="A3:G3"/>
    <mergeCell ref="A6:G6"/>
    <mergeCell ref="A7:G7"/>
    <mergeCell ref="A15:C15"/>
    <mergeCell ref="A16:G16"/>
    <mergeCell ref="A23:C23"/>
    <mergeCell ref="A24:G24"/>
    <mergeCell ref="A31:C31"/>
    <mergeCell ref="A32:G32"/>
    <mergeCell ref="A37:C37"/>
    <mergeCell ref="A38:G38"/>
    <mergeCell ref="A45:C45"/>
    <mergeCell ref="A46:G46"/>
    <mergeCell ref="A52:C52"/>
    <mergeCell ref="A53:G53"/>
    <mergeCell ref="A55:C55"/>
    <mergeCell ref="A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19.5" hidden="false" customHeight="true" outlineLevel="0" collapsed="false">
      <c r="A1" s="23" t="s">
        <v>106</v>
      </c>
      <c r="B1" s="23"/>
      <c r="C1" s="23"/>
      <c r="D1" s="23"/>
    </row>
    <row r="2" customFormat="false" ht="15.75" hidden="false" customHeight="true" outlineLevel="0" collapsed="false">
      <c r="A2" s="24" t="s">
        <v>107</v>
      </c>
      <c r="B2" s="24"/>
      <c r="C2" s="24"/>
      <c r="D2" s="24"/>
    </row>
    <row r="3" customFormat="false" ht="18" hidden="false" customHeight="true" outlineLevel="0" collapsed="false">
      <c r="A3" s="4" t="s">
        <v>108</v>
      </c>
      <c r="B3" s="4" t="s">
        <v>109</v>
      </c>
      <c r="C3" s="4" t="s">
        <v>110</v>
      </c>
      <c r="D3" s="4" t="s">
        <v>111</v>
      </c>
    </row>
    <row r="4" customFormat="false" ht="15" hidden="false" customHeight="false" outlineLevel="0" collapsed="false">
      <c r="A4" s="5" t="s">
        <v>112</v>
      </c>
      <c r="B4" s="5"/>
      <c r="C4" s="5"/>
      <c r="D4" s="5"/>
    </row>
    <row r="5" customFormat="false" ht="18" hidden="false" customHeight="true" outlineLevel="0" collapsed="false">
      <c r="A5" s="25" t="s">
        <v>113</v>
      </c>
      <c r="B5" s="11" t="n">
        <v>1000000</v>
      </c>
      <c r="C5" s="11" t="n">
        <v>1000000</v>
      </c>
      <c r="D5" s="12" t="n">
        <f aca="false">B5+C5</f>
        <v>2000000</v>
      </c>
    </row>
    <row r="6" customFormat="false" ht="18" hidden="false" customHeight="true" outlineLevel="0" collapsed="false">
      <c r="A6" s="26" t="s">
        <v>114</v>
      </c>
      <c r="B6" s="17" t="n">
        <v>120000</v>
      </c>
      <c r="C6" s="17" t="n">
        <v>130000</v>
      </c>
      <c r="D6" s="18" t="n">
        <f aca="false">B6+C6</f>
        <v>250000</v>
      </c>
    </row>
    <row r="7" customFormat="false" ht="18" hidden="false" customHeight="true" outlineLevel="0" collapsed="false">
      <c r="A7" s="25" t="s">
        <v>115</v>
      </c>
      <c r="B7" s="11" t="n">
        <v>20000</v>
      </c>
      <c r="C7" s="11" t="n">
        <v>20000</v>
      </c>
      <c r="D7" s="12" t="n">
        <f aca="false">B7+C7</f>
        <v>40000</v>
      </c>
    </row>
    <row r="8" customFormat="false" ht="18" hidden="false" customHeight="true" outlineLevel="0" collapsed="false">
      <c r="A8" s="26" t="s">
        <v>116</v>
      </c>
      <c r="B8" s="17" t="n">
        <v>259000</v>
      </c>
      <c r="C8" s="17" t="n">
        <v>340000</v>
      </c>
      <c r="D8" s="18" t="n">
        <f aca="false">B8+C8</f>
        <v>599000</v>
      </c>
    </row>
    <row r="9" customFormat="false" ht="18" hidden="false" customHeight="true" outlineLevel="0" collapsed="false">
      <c r="A9" s="19" t="s">
        <v>117</v>
      </c>
      <c r="B9" s="20" t="n">
        <f aca="false">SUM(B5:B8)</f>
        <v>1399000</v>
      </c>
      <c r="C9" s="20" t="n">
        <f aca="false">SUM(C5:C8)</f>
        <v>1490000</v>
      </c>
      <c r="D9" s="20" t="n">
        <f aca="false">B9+C9</f>
        <v>2889000</v>
      </c>
    </row>
    <row r="10" customFormat="false" ht="7.5" hidden="false" customHeight="true" outlineLevel="0" collapsed="false"/>
    <row r="11" customFormat="false" ht="15" hidden="false" customHeight="false" outlineLevel="0" collapsed="false">
      <c r="A11" s="5" t="s">
        <v>118</v>
      </c>
      <c r="B11" s="5"/>
      <c r="C11" s="5"/>
      <c r="D11" s="5"/>
    </row>
    <row r="12" customFormat="false" ht="18" hidden="false" customHeight="true" outlineLevel="0" collapsed="false">
      <c r="A12" s="26" t="s">
        <v>119</v>
      </c>
      <c r="B12" s="18" t="n">
        <f aca="false">Budget!E15</f>
        <v>310000</v>
      </c>
      <c r="C12" s="18" t="n">
        <f aca="false">Budget!F15</f>
        <v>579000</v>
      </c>
      <c r="D12" s="18" t="n">
        <f aca="false">B12+C12</f>
        <v>889000</v>
      </c>
    </row>
    <row r="13" customFormat="false" ht="18" hidden="false" customHeight="true" outlineLevel="0" collapsed="false">
      <c r="A13" s="25" t="s">
        <v>120</v>
      </c>
      <c r="B13" s="12" t="n">
        <f aca="false">Budget!E23</f>
        <v>8300</v>
      </c>
      <c r="C13" s="12" t="n">
        <f aca="false">Budget!F23</f>
        <v>19600</v>
      </c>
      <c r="D13" s="12" t="n">
        <f aca="false">B13+C13</f>
        <v>27900</v>
      </c>
    </row>
    <row r="14" customFormat="false" ht="18" hidden="false" customHeight="true" outlineLevel="0" collapsed="false">
      <c r="A14" s="26" t="s">
        <v>121</v>
      </c>
      <c r="B14" s="18" t="n">
        <f aca="false">Budget!E31</f>
        <v>84000</v>
      </c>
      <c r="C14" s="18" t="n">
        <f aca="false">Budget!F31</f>
        <v>149000</v>
      </c>
      <c r="D14" s="18" t="n">
        <f aca="false">B14+C14</f>
        <v>233000</v>
      </c>
    </row>
    <row r="15" customFormat="false" ht="18" hidden="false" customHeight="true" outlineLevel="0" collapsed="false">
      <c r="A15" s="25" t="s">
        <v>122</v>
      </c>
      <c r="B15" s="12" t="n">
        <f aca="false">Budget!E37</f>
        <v>20000</v>
      </c>
      <c r="C15" s="12" t="n">
        <f aca="false">Budget!F37</f>
        <v>33000</v>
      </c>
      <c r="D15" s="12" t="n">
        <f aca="false">B15+C15</f>
        <v>53000</v>
      </c>
    </row>
    <row r="16" customFormat="false" ht="18" hidden="false" customHeight="true" outlineLevel="0" collapsed="false">
      <c r="A16" s="26" t="s">
        <v>123</v>
      </c>
      <c r="B16" s="18" t="n">
        <f aca="false">Budget!E45</f>
        <v>100000</v>
      </c>
      <c r="C16" s="18" t="n">
        <f aca="false">Budget!F45</f>
        <v>155000</v>
      </c>
      <c r="D16" s="18" t="n">
        <f aca="false">B16+C16</f>
        <v>255000</v>
      </c>
    </row>
    <row r="17" customFormat="false" ht="18" hidden="false" customHeight="true" outlineLevel="0" collapsed="false">
      <c r="A17" s="25" t="s">
        <v>124</v>
      </c>
      <c r="B17" s="12" t="n">
        <f aca="false">Budget!E52</f>
        <v>32000</v>
      </c>
      <c r="C17" s="12" t="n">
        <f aca="false">Budget!F52</f>
        <v>66000</v>
      </c>
      <c r="D17" s="12" t="n">
        <f aca="false">B17+C17</f>
        <v>98000</v>
      </c>
    </row>
    <row r="18" customFormat="false" ht="18" hidden="false" customHeight="true" outlineLevel="0" collapsed="false">
      <c r="A18" s="26" t="s">
        <v>125</v>
      </c>
      <c r="B18" s="18" t="n">
        <f aca="false">Budget!E55</f>
        <v>50000</v>
      </c>
      <c r="C18" s="18" t="n">
        <f aca="false">Budget!F55</f>
        <v>100000</v>
      </c>
      <c r="D18" s="18" t="n">
        <f aca="false">B18+C18</f>
        <v>150000</v>
      </c>
    </row>
    <row r="19" customFormat="false" ht="18" hidden="false" customHeight="true" outlineLevel="0" collapsed="false">
      <c r="A19" s="19" t="s">
        <v>126</v>
      </c>
      <c r="B19" s="20" t="n">
        <f aca="false">SUM(B12:B18)</f>
        <v>604300</v>
      </c>
      <c r="C19" s="20" t="n">
        <f aca="false">SUM(C12:C18)</f>
        <v>1101600</v>
      </c>
      <c r="D19" s="20" t="n">
        <f aca="false">B19+C19</f>
        <v>1705900</v>
      </c>
    </row>
    <row r="20" customFormat="false" ht="7.5" hidden="false" customHeight="true" outlineLevel="0" collapsed="false"/>
    <row r="21" customFormat="false" ht="18" hidden="false" customHeight="true" outlineLevel="0" collapsed="false">
      <c r="A21" s="27" t="s">
        <v>127</v>
      </c>
      <c r="B21" s="27"/>
      <c r="C21" s="27"/>
      <c r="D21" s="28" t="n">
        <f aca="false">D9-D19</f>
        <v>1183100</v>
      </c>
    </row>
  </sheetData>
  <mergeCells count="5">
    <mergeCell ref="A1:D1"/>
    <mergeCell ref="A2:D2"/>
    <mergeCell ref="A4:D4"/>
    <mergeCell ref="A11:D11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2026-05-05T23:44:09Z</dcterms:created>
  <dc:creator>openpyxl</dc:creator>
  <dc:description/>
  <dc:language>en-US</dc:language>
  <cp:lastModifiedBy/>
  <dcterms:modified xsi:type="dcterms:W3CDTF">2026-05-05T23:44:09Z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