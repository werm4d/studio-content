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_Local\werm4d\projects\merge4ward\"/>
    </mc:Choice>
  </mc:AlternateContent>
  <xr:revisionPtr revIDLastSave="0" documentId="13_ncr:1_{08885750-8E45-4EB8-B41E-B999741804B6}" xr6:coauthVersionLast="47" xr6:coauthVersionMax="47" xr10:uidLastSave="{00000000-0000-0000-0000-000000000000}"/>
  <bookViews>
    <workbookView xWindow="1875" yWindow="1785" windowWidth="26055" windowHeight="13440" tabRatio="500" xr2:uid="{00000000-000D-0000-FFFF-FFFF00000000}"/>
  </bookViews>
  <sheets>
    <sheet name="Total Budget" sheetId="1" r:id="rId1"/>
    <sheet name="Sources and Uses" sheetId="2" r:id="rId2"/>
    <sheet name="Sheet4" sheetId="3" state="hidden" r:id="rId3"/>
    <sheet name="Sheet2" sheetId="4" state="hidden" r:id="rId4"/>
    <sheet name="Sheet3" sheetId="5" state="hidden" r:id="rId5"/>
  </sheets>
  <definedNames>
    <definedName name="Building_and_Designing_Sustainable_Communities">#REF!</definedName>
    <definedName name="_xlnm.Print_Area" localSheetId="0">'Total Budget'!$A$1:$E$40</definedName>
    <definedName name="ProgramAreas" localSheetId="4">Sheet3!$A$3:$A$26</definedName>
    <definedName name="ProgramAreas">Sheet2!$A$3:$A$13</definedName>
    <definedName name="Programs" localSheetId="4">Sheet3!$A$3:$A$26</definedName>
    <definedName name="Programs">Sheet2!$A$3:$A$11</definedName>
    <definedName name="RFP">Sheet4!$A$4:$A$9</definedName>
    <definedName name="SupportTypes">Sheet2!$C$3:$C$7</definedName>
    <definedName name="ValidNum">Sheet3!$A$3:$A$13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4" i="2" l="1"/>
  <c r="C14" i="2"/>
  <c r="C37" i="1"/>
  <c r="C29" i="1"/>
  <c r="C21" i="1"/>
  <c r="C13" i="1"/>
  <c r="C17" i="1" l="1"/>
  <c r="C39" i="1" s="1"/>
</calcChain>
</file>

<file path=xl/sharedStrings.xml><?xml version="1.0" encoding="utf-8"?>
<sst xmlns="http://schemas.openxmlformats.org/spreadsheetml/2006/main" count="105" uniqueCount="98">
  <si>
    <t>Housing Affordability Breakthrough Challenge: Total Grant Budget
2027-2029</t>
  </si>
  <si>
    <t xml:space="preserve">Instructions: Please list all costs required to execute the innovation and provide a brief description of each item listed. The total budget must equal the total funding request of $2M. </t>
  </si>
  <si>
    <t>Organization Name: Central Baptist Community Development Corporation (Fiscal Sponsor for M4Di — Merge 4 Development Institute)</t>
  </si>
  <si>
    <t>Total Budget $2M</t>
  </si>
  <si>
    <t>**This draft budget provides us with some context on how you would use Breakthrough Challenge grant funds. This is a draft only.</t>
  </si>
  <si>
    <t>Salaries - Lead Organization &amp; Project Team Partner(s)
List organization name and position below</t>
  </si>
  <si>
    <t xml:space="preserve">Total Grant Budget </t>
  </si>
  <si>
    <t>Description 
Describe the planned activities for each position listed.</t>
  </si>
  <si>
    <t>CB CDC / M4Di — David C. Ainsworth AIA, Predevelopment Lead
0.15 FTE grant-funded / 0.25 FTE sweat equity (in-kind)</t>
  </si>
  <si>
    <t>OI Tool build direction, FeasOps client engagement methodology, grant reporting, CDFI partner development. 0.15 FTE funded by grant over 24 months at $162,500/yr. Additional 0.25 FTE contributed as in-kind sweat equity (valued at $81,250 — see Sources &amp; Uses). David's primary grant contribution is predevelopment methodology leadership; the majority of his technical time on the OI Tool is contributed.</t>
  </si>
  <si>
    <t>Merge 4 Design LLC / M4Di — Travis Davis, Platform Operator
0.15 FTE grant-funded / 0.15 FTE sweat equity (in-kind)</t>
  </si>
  <si>
    <t>Web application build coordination, AI Advisor development, M4Di Terminal operations, platform QA. 0.15 FTE funded by grant over 24 months at $155,000/yr. Additional 0.15 FTE contributed as in-kind sweat equity (valued at $46,500 — see Sources &amp; Uses). Travis's software development contribution is primarily sweat equity; grant funds cover platform operations and coordination.</t>
  </si>
  <si>
    <t>Merge 4 Design LLC / M4Di — Leo Lynch, Operations &amp; Compliance
0.20 FTE grant-funded / 0.10 FTE sweat equity (in-kind)</t>
  </si>
  <si>
    <t>Grant financial management, CDFI partner reporting, ALDDB data QA, Academy cohort logistics. 0.20 FTE funded by grant over 24 months at $150,000/yr. Additional 0.10 FTE contributed as in-kind sweat equity (valued at $30,000 — see Sources &amp; Uses).</t>
  </si>
  <si>
    <t>Merge 4 Design LLC / M4Di — Trevor Knight, Strategy &amp; Business Development
0.15 FTE grant-funded / 0.15 FTE sweat equity (in-kind)</t>
  </si>
  <si>
    <t>CDFI and housing finance agency relationship development, funder outreach, Academy partner network. 0.15 FTE funded by grant over 24 months at $160,000/yr. Additional 0.15 FTE contributed as in-kind sweat equity (valued at $48,000 — see Sources &amp; Uses). Trevor's relationship work is split equally between grant-funded and contributed time.</t>
  </si>
  <si>
    <t>M4Di — Program Associate (0.8 FTE, 24 months — new hire, fully grant-funded)</t>
  </si>
  <si>
    <t>Client engagement support, ALDDB data entry, Academy cohort coordination, reporting. New hire; no in-kind component. 0.8 FTE over 24 months at $60,000/yr annualized. This position is essential for delivery capacity and cannot be contributed — it must be grant-funded to enable the hire.</t>
  </si>
  <si>
    <t>Subtotal</t>
  </si>
  <si>
    <t>Fringe Benefits</t>
  </si>
  <si>
    <t>Percentage</t>
  </si>
  <si>
    <t>Description</t>
  </si>
  <si>
    <t>Fringe Benefits (18% of grant-funded salaries only)</t>
  </si>
  <si>
    <t>18% applied to grant-funded salary costs only ($299,250). Covers FICA 7.65%, health insurance equivalent, retirement, workers comp. In-kind/sweat equity salaries carry no fringe obligation to the grant.</t>
  </si>
  <si>
    <t>Overhead/Indirect Costs
Total cost of general and administrative (G&amp;A), facilities and adminsitrative (F&amp;A) expenses, etc.</t>
  </si>
  <si>
    <t>CB CDC Fiscal Sponsor Administrative Fee (8% of total grant)</t>
  </si>
  <si>
    <t>CB CDC's 8% administrative fee on the full $2,000,000 grant covers fiscal sponsor oversight, financial controls, grant receipt/disbursement, audit compliance, insurance, and 501(c)(3) sponsorship infrastructure. This rate is standard for comprehensive Model A fiscal sponsorship relationships.</t>
  </si>
  <si>
    <t>Programmatic Expenses
Organizations not included on the project team and/or any outside consultants can also be included.</t>
  </si>
  <si>
    <t>Description 
Describe the planned programmatic activities, tasks, and/or deliverables for the organization or consultant.</t>
  </si>
  <si>
    <t>Technology Contractor — Web App Development &amp; Year 2 Maintenance</t>
  </si>
  <si>
    <t>220 hours Year 1 @ $100/hr ($22K): auth, Supabase database, deployment, security audit. 220 hours Year 2 @ $100/hr ($22K): feature development, bug resolution, platform maintenance. External contractor required; M4Di principals contribute software direction as sweat equity but cannot build production infrastructure without specialized expertise.</t>
  </si>
  <si>
    <t>M4Di Academy — Curriculum, LMS Platform &amp; Cohort Delivery (24 months)</t>
  </si>
  <si>
    <t>Year 1: FeasOps P1–P3 curriculum development, instructional design, LMS platform setup, contractor cost literacy module ($80K). Year 2: Advanced CLT/SIP and CDFI funder format modules; 2 cohort deliveries (15 participants each) including materials, facilitation, participant support ($60K). Academy is M4Di's primary scale mechanism — trained practitioners multiply M4Di's reach without proportional principal labor.</t>
  </si>
  <si>
    <t>CDFI Partner Development, Outreach, Travel &amp; Evaluation</t>
  </si>
  <si>
    <t>CDFI conference attendance and partner cultivation — 4 events over 24 months ($32K). M4Di website OI Tool platform pages, Academy portal, ALDDB benchmark dashboard ($20K). Travel for client engagement, CDFI partner visits, Enterprise peer learning ($28K). Third-party program evaluation — Year 2 ($20K). Academy participant support and materials ($24K). Wilmington A&amp;E Feasibility match application and related outreach ($5K). Program contingency / reserve ($34,885).</t>
  </si>
  <si>
    <t>Legal — Entity Formation, Agreements &amp; IP Protection</t>
  </si>
  <si>
    <t>M4Di Inc. 501(c)(3) formation and IRS application ($15K). Fiscal sponsorship agreement execution and annual review ($5K). CDFI portfolio intelligence partnership agreements, 2–3 CDFIs ($10K). OI Tool and M4Di methodology trademark filings ($10K). Ongoing legal counsel for grant compliance and entity governance ($10K).</t>
  </si>
  <si>
    <t>CLT/SIP Manufacturing Market Study &amp; Advisory (seed phase)</t>
  </si>
  <si>
    <t>Phase 1 regional demand analysis: pipeline quantification, supply chain gap, I-95 corridor site identification ($35K). Phase 2 manufacturing pro forma and NMTC capital stack model ($75K). Industry advisory panel — 3 sessions ($18K). University of Delaware / Delaware State research partnership MOU ($5K). Manufacturing entity legal structure analysis ($15K). EDA Build to Scale grant application Year 2 ($20K). CLT/SIP unit price library expansion for OI Tool ($5K). Reserve for study scope expansion and follow-on research ($117K).</t>
  </si>
  <si>
    <t>Capital Expenses 
Please include construction costs, technology systems, land, equipment, etc.</t>
  </si>
  <si>
    <t>Description 
Describe the purpose/use for the capital expenses listed.</t>
  </si>
  <si>
    <t>Web Application Cloud Infrastructure (24 months)</t>
  </si>
  <si>
    <t>Vercel Pro (frontend) + Supabase Pro (database). $150/month × 24 months. Supports 10–20 users, ALDDB cloud hosting, multi-project storage.</t>
  </si>
  <si>
    <t>AI API, Regrid &amp; Data Subscriptions (24 months)</t>
  </si>
  <si>
    <t>Anthropic Claude API ($100/mo, $2,400). Regrid parcel data API ($150/mo, $3,600). BLS OEWS + ENR subscriptions ($2,000). All essential to OI Tool functionality and regional calibration.</t>
  </si>
  <si>
    <t>Security &amp; Code Audit (pre-launch, one-time)</t>
  </si>
  <si>
    <t>Third-party security review before client access. Required for a platform hosting proprietary ALDDB benchmark data. One-time at end of build phase.</t>
  </si>
  <si>
    <t>ALDDB Historical Cost Database — Cloud Architecture</t>
  </si>
  <si>
    <t>Supabase schema design, Excel data migration, API endpoint configuration. Converts M4Di's core proprietary benchmark asset from local Excel to cloud-hosted queryable database.</t>
  </si>
  <si>
    <t>Technology Reserve &amp; Program Capital Contingency</t>
  </si>
  <si>
    <t>Reserve for technology cost escalation, additional infrastructure, equipment for program associate, M4Di Inc. formation capital requirements, branded materials production, and unforeseen capital needs over the 24-month grant period. This reserve is intentionally substantial — it provides operational flexibility without requiring grant amendments and ensures the program can respond to technical and organizational needs as they arise. Any unspent reserve is returned to CB CDC per fiscal sponsorship agreement.</t>
  </si>
  <si>
    <t xml:space="preserve">TOTAL BUDGET </t>
  </si>
  <si>
    <t>Innovation Budget: Additional Funding Sources and Uses
2027-2029</t>
  </si>
  <si>
    <t>Instructions: Please list all additional funding sources and uses (outside of Breakthrough Challenge funds) that are being leveraged for your innovation. Only additional funding sources and uses that have already been secured may be listed.</t>
  </si>
  <si>
    <t xml:space="preserve"> Additional Funding Sources
Include all grants, donations, contributions, loans/PRIs, fees for service, membership dues, etc.</t>
  </si>
  <si>
    <t>Amount</t>
  </si>
  <si>
    <t>Uses
Include construction/renovation, design, financing fees &amp; interest, engineering, fees for services, etc.</t>
  </si>
  <si>
    <t>David Ainsworth — Sweat Equity / In-Kind (0.25 FTE, 24 months)</t>
  </si>
  <si>
    <t>OI Tool methodology development, FeasOps delivery beyond grant-funded FTE</t>
  </si>
  <si>
    <t>Travis Davis — Sweat Equity / In-Kind (0.15 FTE, 24 months)</t>
  </si>
  <si>
    <t>Software development direction, CBai platform architecture, M4Di Terminal</t>
  </si>
  <si>
    <t>Leo Lynch — Sweat Equity / In-Kind (0.10 FTE, 24 months)</t>
  </si>
  <si>
    <t>Operations support beyond grant-funded FTE; ALDDB maintenance</t>
  </si>
  <si>
    <t>Trevor Knight — Sweat Equity / In-Kind (0.15 FTE, 24 months)</t>
  </si>
  <si>
    <t>Relationship development and strategy beyond grant-funded FTE</t>
  </si>
  <si>
    <t>Merge 4 Design LLC — In-Kind (office, infrastructure, overhead)</t>
  </si>
  <si>
    <t>Shared office, technology infrastructure, M4D platform tools for M4Di use</t>
  </si>
  <si>
    <t>M4Di Earned Revenue — FeasOps &amp; ALDi Retainers (Year 1–2 projection)</t>
  </si>
  <si>
    <t>Ongoing client engagement revenue; funds operations not covered by grant</t>
  </si>
  <si>
    <t>Total Sources</t>
  </si>
  <si>
    <t>Total Uses</t>
  </si>
  <si>
    <t>1. Building and Designing Sustainable Communities</t>
  </si>
  <si>
    <t>2. Equitable Transit Oriented Development</t>
  </si>
  <si>
    <t>3. Health &amp; Housing</t>
  </si>
  <si>
    <t>4. Affordable Housing Production and Preservation</t>
  </si>
  <si>
    <t>5. Organizational Sustainability</t>
  </si>
  <si>
    <t>6. Rural &amp; Native American: Building and Designing Sustainable Communities</t>
  </si>
  <si>
    <t>7. Rural &amp; Native American: Health &amp; Housing</t>
  </si>
  <si>
    <t>8. Rural &amp; Native American: Affordable Housing Production &amp; Preservation</t>
  </si>
  <si>
    <t>9. Rural &amp; Native American - Promoting Housing &amp; Resiliency in Communities of Opportunities</t>
  </si>
  <si>
    <t>10. Rural &amp; Native American - Multi-year Capacity Building</t>
  </si>
  <si>
    <t>11.Rural &amp; Native American - Native Homeownership</t>
  </si>
  <si>
    <t>Capital</t>
  </si>
  <si>
    <t>Capacity Building</t>
  </si>
  <si>
    <t>Foreclosure</t>
  </si>
  <si>
    <t>Collaborative/Pass Through</t>
  </si>
  <si>
    <t xml:space="preserve">Green </t>
  </si>
  <si>
    <t>Operating Support</t>
  </si>
  <si>
    <t>Housing Production</t>
  </si>
  <si>
    <t>Predevelopment</t>
  </si>
  <si>
    <t>Policy</t>
  </si>
  <si>
    <t>Training</t>
  </si>
  <si>
    <t>Preservation</t>
  </si>
  <si>
    <t>Rose Fellowship</t>
  </si>
  <si>
    <t>Rural</t>
  </si>
  <si>
    <t>Seniors</t>
  </si>
  <si>
    <t>Solutions</t>
  </si>
  <si>
    <t>Supportive 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</si>
</sst>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_);_(* \(#,##0\);_(* \-_);_(@_)"/>
    <numFmt numFmtId="166" formatCode="_(\$* #,##0.00_);_(\$* \(#,##0.00\);_(\$* \-??_);_(@_)"/>
    <numFmt numFmtId="167" formatCode="_(\$* #,##0_);_(\$* \(#,##0\);_(\$* \-_);_(@_)"/>
    <numFmt numFmtId="168" formatCode="\$#,##0;&quot;($&quot;#,##0\);\-"/>
    <numFmt numFmtId="169" formatCode="0.0%"/>
    <numFmt numFmtId="170" formatCode="\$#,##0.00_);&quot;($&quot;#,##0.00\)"/>
    <numFmt numFmtId="171" formatCode="_([$$-409]* #,##0.00_);_([$$-409]* \(#,##0.00\);_([$$-409]* \-??_);_(@_)"/>
  </numFmts>
  <fonts count="23" x14ac:knownFonts="1">
    <font>
      <sz val="10"/>
      <name val="Arial"/>
      <charset val="1"/>
    </font>
    <font>
      <sz val="10"/>
      <name val="Arial"/>
      <family val="2"/>
      <charset val="1"/>
    </font>
    <font>
      <sz val="11"/>
      <color theme="1"/>
      <name val="Calibri"/>
      <family val="2"/>
      <charset val="1"/>
    </font>
    <font>
      <b/>
      <sz val="14"/>
      <color theme="1"/>
      <name val="Calibri"/>
      <family val="2"/>
      <charset val="1"/>
    </font>
    <font>
      <b/>
      <sz val="12"/>
      <color theme="1"/>
      <name val="Calibri"/>
      <family val="2"/>
      <charset val="1"/>
    </font>
    <font>
      <b/>
      <sz val="10"/>
      <name val="Arial"/>
      <charset val="1"/>
    </font>
    <font>
      <b/>
      <sz val="11"/>
      <color theme="1"/>
      <name val="Calibri"/>
      <family val="2"/>
      <charset val="1"/>
    </font>
    <font>
      <i/>
      <sz val="11"/>
      <color theme="1"/>
      <name val="Calibri"/>
      <family val="2"/>
      <charset val="1"/>
    </font>
    <font>
      <b/>
      <sz val="11"/>
      <color rgb="FF000000"/>
      <name val="Calibri"/>
      <family val="2"/>
      <charset val="1"/>
    </font>
    <font>
      <sz val="10"/>
      <color rgb="FF000000"/>
      <name val="Arial"/>
      <charset val="1"/>
    </font>
    <font>
      <i/>
      <sz val="10"/>
      <color rgb="FF000000"/>
      <name val="Arial"/>
      <charset val="1"/>
    </font>
    <font>
      <sz val="9"/>
      <color theme="1"/>
      <name val="Calibri"/>
      <family val="2"/>
      <charset val="1"/>
    </font>
    <font>
      <b/>
      <sz val="11"/>
      <name val="Calibri"/>
      <family val="2"/>
      <charset val="1"/>
    </font>
    <font>
      <sz val="11"/>
      <name val="Calibri"/>
      <family val="2"/>
      <charset val="1"/>
    </font>
    <font>
      <sz val="9"/>
      <color rgb="FFFF0000"/>
      <name val="Calibri"/>
      <family val="2"/>
      <charset val="1"/>
    </font>
    <font>
      <sz val="11"/>
      <color rgb="FFFF0000"/>
      <name val="Calibri"/>
      <family val="2"/>
      <charset val="1"/>
    </font>
    <font>
      <b/>
      <sz val="9"/>
      <color theme="1"/>
      <name val="Calibri"/>
      <family val="2"/>
      <charset val="1"/>
    </font>
    <font>
      <sz val="10"/>
      <name val="Calibri"/>
      <family val="2"/>
      <charset val="1"/>
    </font>
    <font>
      <b/>
      <sz val="14"/>
      <name val="Calibri"/>
      <family val="2"/>
      <charset val="1"/>
    </font>
    <font>
      <b/>
      <sz val="18"/>
      <name val="Calibri"/>
      <family val="2"/>
      <charset val="1"/>
    </font>
    <font>
      <b/>
      <sz val="18"/>
      <color theme="1"/>
      <name val="Calibri"/>
      <family val="2"/>
      <charset val="1"/>
    </font>
    <font>
      <sz val="14"/>
      <name val="Calibri"/>
      <family val="2"/>
      <charset val="1"/>
    </font>
    <font>
      <sz val="10"/>
      <color rgb="FF000000"/>
      <name val="Arial"/>
      <family val="2"/>
      <charset val="1"/>
    </font>
  </fonts>
  <fills count="4">
    <fill>
      <patternFill patternType="none"/>
    </fill>
    <fill>
      <patternFill patternType="gray125"/>
    </fill>
    <fill>
      <patternFill patternType="solid">
        <fgColor theme="3" tint="0.79989013336588644"/>
        <bgColor rgb="FFC0C0C0"/>
      </patternFill>
    </fill>
    <fill>
      <patternFill patternType="solid">
        <fgColor theme="2"/>
        <bgColor rgb="FFFFFFFF"/>
      </patternFill>
    </fill>
  </fills>
  <borders count="13">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s>
  <cellStyleXfs count="15">
    <xf numFmtId="0" fontId="0" fillId="0" borderId="0"/>
    <xf numFmtId="166" fontId="1" fillId="0" borderId="0"/>
    <xf numFmtId="164" fontId="1" fillId="0" borderId="0"/>
    <xf numFmtId="164" fontId="1" fillId="0" borderId="0"/>
    <xf numFmtId="164" fontId="2" fillId="0" borderId="0"/>
    <xf numFmtId="165" fontId="1" fillId="0" borderId="0"/>
    <xf numFmtId="166" fontId="1" fillId="0" borderId="0"/>
    <xf numFmtId="166" fontId="1" fillId="0" borderId="0"/>
    <xf numFmtId="166" fontId="2" fillId="0" borderId="0"/>
    <xf numFmtId="167" fontId="1" fillId="0" borderId="0"/>
    <xf numFmtId="0" fontId="1" fillId="0" borderId="0">
      <alignment vertical="center"/>
    </xf>
    <xf numFmtId="0" fontId="1" fillId="0" borderId="0"/>
    <xf numFmtId="0" fontId="2" fillId="0" borderId="0"/>
    <xf numFmtId="0" fontId="2" fillId="0" borderId="0"/>
    <xf numFmtId="9" fontId="1" fillId="0" borderId="0"/>
  </cellStyleXfs>
  <cellXfs count="83">
    <xf numFmtId="0" fontId="0" fillId="0" borderId="0" xfId="0"/>
    <xf numFmtId="0" fontId="4" fillId="0" borderId="0" xfId="0" applyFont="1" applyAlignment="1">
      <alignment horizontal="left" vertical="top" wrapText="1"/>
    </xf>
    <xf numFmtId="0" fontId="18" fillId="0" borderId="0" xfId="0" applyFont="1" applyAlignment="1">
      <alignment horizontal="center" vertical="center" wrapText="1"/>
    </xf>
    <xf numFmtId="0" fontId="7" fillId="0" borderId="1" xfId="13" applyFont="1" applyBorder="1" applyAlignment="1">
      <alignment horizontal="left" vertical="top"/>
    </xf>
    <xf numFmtId="0" fontId="6" fillId="0" borderId="0" xfId="13" applyFont="1" applyAlignment="1">
      <alignment horizontal="left" vertical="top"/>
    </xf>
    <xf numFmtId="0" fontId="5" fillId="0" borderId="0" xfId="13" applyFont="1" applyAlignment="1">
      <alignment horizontal="left" vertical="top"/>
    </xf>
    <xf numFmtId="0" fontId="4" fillId="0" borderId="0" xfId="13" applyFont="1" applyAlignment="1">
      <alignment horizontal="left" wrapText="1"/>
    </xf>
    <xf numFmtId="0" fontId="3" fillId="0" borderId="0" xfId="13" applyFont="1" applyAlignment="1">
      <alignment horizontal="center" wrapText="1"/>
    </xf>
    <xf numFmtId="0" fontId="2" fillId="0" borderId="0" xfId="13"/>
    <xf numFmtId="0" fontId="8" fillId="2" borderId="2" xfId="13" applyFont="1" applyFill="1" applyBorder="1" applyAlignment="1">
      <alignment vertical="center" wrapText="1"/>
    </xf>
    <xf numFmtId="0" fontId="6" fillId="2" borderId="3" xfId="13" applyFont="1" applyFill="1" applyBorder="1" applyAlignment="1">
      <alignment horizontal="center" vertical="center"/>
    </xf>
    <xf numFmtId="0" fontId="8" fillId="2" borderId="4" xfId="13" applyFont="1" applyFill="1" applyBorder="1" applyAlignment="1">
      <alignment horizontal="center" vertical="center" wrapText="1"/>
    </xf>
    <xf numFmtId="0" fontId="9" fillId="0" borderId="5" xfId="13" applyFont="1" applyBorder="1" applyAlignment="1">
      <alignment vertical="top" wrapText="1"/>
    </xf>
    <xf numFmtId="168" fontId="9" fillId="0" borderId="0" xfId="8" applyNumberFormat="1" applyFont="1"/>
    <xf numFmtId="0" fontId="10" fillId="0" borderId="6" xfId="13" applyFont="1" applyBorder="1" applyAlignment="1">
      <alignment vertical="top" wrapText="1"/>
    </xf>
    <xf numFmtId="168" fontId="9" fillId="0" borderId="0" xfId="13" applyNumberFormat="1" applyFont="1"/>
    <xf numFmtId="0" fontId="6" fillId="0" borderId="7" xfId="13" applyFont="1" applyBorder="1" applyAlignment="1">
      <alignment horizontal="right"/>
    </xf>
    <xf numFmtId="166" fontId="2" fillId="0" borderId="8" xfId="13" applyNumberFormat="1" applyBorder="1"/>
    <xf numFmtId="0" fontId="2" fillId="0" borderId="9" xfId="13" applyBorder="1"/>
    <xf numFmtId="0" fontId="2" fillId="3" borderId="5" xfId="13" applyFill="1" applyBorder="1"/>
    <xf numFmtId="0" fontId="2" fillId="3" borderId="0" xfId="13" applyFill="1"/>
    <xf numFmtId="0" fontId="2" fillId="3" borderId="6" xfId="13" applyFill="1" applyBorder="1"/>
    <xf numFmtId="0" fontId="6" fillId="2" borderId="2" xfId="13" applyFont="1" applyFill="1" applyBorder="1"/>
    <xf numFmtId="0" fontId="6" fillId="2" borderId="4" xfId="13" applyFont="1" applyFill="1" applyBorder="1" applyAlignment="1">
      <alignment horizontal="center" vertical="center"/>
    </xf>
    <xf numFmtId="0" fontId="9" fillId="0" borderId="5" xfId="13" applyFont="1" applyBorder="1"/>
    <xf numFmtId="169" fontId="9" fillId="0" borderId="0" xfId="13" applyNumberFormat="1" applyFont="1"/>
    <xf numFmtId="0" fontId="2" fillId="3" borderId="7" xfId="13" applyFill="1" applyBorder="1"/>
    <xf numFmtId="0" fontId="2" fillId="3" borderId="1" xfId="13" applyFill="1" applyBorder="1"/>
    <xf numFmtId="0" fontId="2" fillId="3" borderId="10" xfId="13" applyFill="1" applyBorder="1"/>
    <xf numFmtId="0" fontId="8" fillId="2" borderId="5" xfId="13" applyFont="1" applyFill="1" applyBorder="1" applyAlignment="1">
      <alignment vertical="center" wrapText="1"/>
    </xf>
    <xf numFmtId="0" fontId="2" fillId="2" borderId="0" xfId="13" applyFill="1"/>
    <xf numFmtId="0" fontId="11" fillId="2" borderId="6" xfId="13" applyFont="1" applyFill="1" applyBorder="1" applyAlignment="1">
      <alignment horizontal="center" vertical="center"/>
    </xf>
    <xf numFmtId="0" fontId="9" fillId="0" borderId="5" xfId="13" applyFont="1" applyBorder="1" applyAlignment="1">
      <alignment vertical="center" wrapText="1"/>
    </xf>
    <xf numFmtId="0" fontId="12" fillId="0" borderId="7" xfId="13" applyFont="1" applyBorder="1" applyAlignment="1">
      <alignment horizontal="right" vertical="center" wrapText="1"/>
    </xf>
    <xf numFmtId="166" fontId="13" fillId="0" borderId="8" xfId="13" applyNumberFormat="1" applyFont="1" applyBorder="1"/>
    <xf numFmtId="0" fontId="14" fillId="0" borderId="9" xfId="13" applyFont="1" applyBorder="1" applyAlignment="1">
      <alignment horizontal="center" vertical="center"/>
    </xf>
    <xf numFmtId="0" fontId="15" fillId="0" borderId="0" xfId="13" applyFont="1"/>
    <xf numFmtId="0" fontId="2" fillId="3" borderId="8" xfId="13" applyFill="1" applyBorder="1"/>
    <xf numFmtId="0" fontId="2" fillId="3" borderId="9" xfId="13" applyFill="1" applyBorder="1"/>
    <xf numFmtId="0" fontId="2" fillId="2" borderId="2" xfId="13" applyFill="1" applyBorder="1" applyAlignment="1">
      <alignment vertical="center" wrapText="1"/>
    </xf>
    <xf numFmtId="0" fontId="8" fillId="2" borderId="4" xfId="13" applyFont="1" applyFill="1" applyBorder="1" applyAlignment="1">
      <alignment horizontal="center" wrapText="1"/>
    </xf>
    <xf numFmtId="168" fontId="9" fillId="0" borderId="0" xfId="4" applyNumberFormat="1" applyFont="1"/>
    <xf numFmtId="166" fontId="9" fillId="0" borderId="5" xfId="13" applyNumberFormat="1" applyFont="1" applyBorder="1" applyAlignment="1">
      <alignment vertical="top" wrapText="1"/>
    </xf>
    <xf numFmtId="166" fontId="6" fillId="0" borderId="11" xfId="13" applyNumberFormat="1" applyFont="1" applyBorder="1" applyAlignment="1">
      <alignment horizontal="right"/>
    </xf>
    <xf numFmtId="166" fontId="2" fillId="0" borderId="1" xfId="13" applyNumberFormat="1" applyBorder="1"/>
    <xf numFmtId="0" fontId="2" fillId="0" borderId="10" xfId="13" applyBorder="1"/>
    <xf numFmtId="0" fontId="2" fillId="0" borderId="5" xfId="13" applyBorder="1"/>
    <xf numFmtId="0" fontId="6" fillId="2" borderId="3" xfId="13" applyFont="1" applyFill="1" applyBorder="1" applyAlignment="1">
      <alignment horizontal="center" vertical="center" wrapText="1"/>
    </xf>
    <xf numFmtId="168" fontId="9" fillId="0" borderId="0" xfId="4" applyNumberFormat="1" applyFont="1" applyAlignment="1">
      <alignment wrapText="1"/>
    </xf>
    <xf numFmtId="0" fontId="2" fillId="0" borderId="0" xfId="13" applyAlignment="1">
      <alignment wrapText="1"/>
    </xf>
    <xf numFmtId="168" fontId="9" fillId="0" borderId="0" xfId="13" applyNumberFormat="1" applyFont="1" applyAlignment="1">
      <alignment wrapText="1"/>
    </xf>
    <xf numFmtId="0" fontId="6" fillId="0" borderId="7" xfId="13" applyFont="1" applyBorder="1" applyAlignment="1">
      <alignment horizontal="right" wrapText="1"/>
    </xf>
    <xf numFmtId="166" fontId="2" fillId="0" borderId="8" xfId="13" applyNumberFormat="1" applyBorder="1" applyAlignment="1">
      <alignment wrapText="1"/>
    </xf>
    <xf numFmtId="0" fontId="2" fillId="0" borderId="9" xfId="13" applyBorder="1" applyAlignment="1">
      <alignment wrapText="1"/>
    </xf>
    <xf numFmtId="0" fontId="2" fillId="3" borderId="7" xfId="13" applyFill="1" applyBorder="1" applyAlignment="1">
      <alignment wrapText="1"/>
    </xf>
    <xf numFmtId="0" fontId="2" fillId="3" borderId="1" xfId="13" applyFill="1" applyBorder="1" applyAlignment="1">
      <alignment wrapText="1"/>
    </xf>
    <xf numFmtId="0" fontId="2" fillId="3" borderId="9" xfId="13" applyFill="1" applyBorder="1" applyAlignment="1">
      <alignment wrapText="1"/>
    </xf>
    <xf numFmtId="166" fontId="0" fillId="0" borderId="0" xfId="8" applyFont="1"/>
    <xf numFmtId="0" fontId="6" fillId="0" borderId="11" xfId="13" applyFont="1" applyBorder="1" applyAlignment="1">
      <alignment horizontal="right" vertical="center" wrapText="1"/>
    </xf>
    <xf numFmtId="166" fontId="13" fillId="0" borderId="1" xfId="4" applyNumberFormat="1" applyFont="1" applyBorder="1" applyAlignment="1">
      <alignment wrapText="1"/>
    </xf>
    <xf numFmtId="0" fontId="16" fillId="0" borderId="10" xfId="13" applyFont="1" applyBorder="1" applyAlignment="1">
      <alignment wrapText="1"/>
    </xf>
    <xf numFmtId="166" fontId="2" fillId="0" borderId="0" xfId="13" applyNumberFormat="1"/>
    <xf numFmtId="0" fontId="17" fillId="0" borderId="0" xfId="0" applyFont="1" applyAlignment="1">
      <alignment horizontal="left"/>
    </xf>
    <xf numFmtId="0" fontId="17" fillId="0" borderId="0" xfId="0" applyFont="1"/>
    <xf numFmtId="0" fontId="19" fillId="0" borderId="0" xfId="0" applyFont="1" applyAlignment="1">
      <alignment horizontal="left"/>
    </xf>
    <xf numFmtId="0" fontId="20" fillId="0" borderId="0" xfId="0" applyFont="1" applyAlignment="1">
      <alignment horizontal="left"/>
    </xf>
    <xf numFmtId="170" fontId="12" fillId="0" borderId="12" xfId="0" applyNumberFormat="1" applyFont="1" applyBorder="1" applyAlignment="1">
      <alignment horizontal="center" vertical="center" wrapText="1"/>
    </xf>
    <xf numFmtId="0" fontId="6" fillId="0" borderId="12" xfId="0" applyFont="1" applyBorder="1" applyAlignment="1">
      <alignment horizontal="center" vertical="center"/>
    </xf>
    <xf numFmtId="0" fontId="3" fillId="0" borderId="12" xfId="0" applyFont="1" applyBorder="1" applyAlignment="1">
      <alignment horizontal="center" vertical="center" wrapText="1"/>
    </xf>
    <xf numFmtId="0" fontId="9" fillId="0" borderId="12" xfId="0" applyFont="1" applyBorder="1" applyAlignment="1">
      <alignment vertical="top" wrapText="1"/>
    </xf>
    <xf numFmtId="168" fontId="9" fillId="0" borderId="12" xfId="0" applyNumberFormat="1" applyFont="1" applyBorder="1"/>
    <xf numFmtId="168" fontId="9" fillId="0" borderId="12" xfId="1" applyNumberFormat="1" applyFont="1" applyBorder="1"/>
    <xf numFmtId="0" fontId="9" fillId="2" borderId="12" xfId="0" applyFont="1" applyFill="1" applyBorder="1" applyAlignment="1">
      <alignment vertical="top" wrapText="1"/>
    </xf>
    <xf numFmtId="168" fontId="9" fillId="2" borderId="12" xfId="0" applyNumberFormat="1" applyFont="1" applyFill="1" applyBorder="1"/>
    <xf numFmtId="168" fontId="9" fillId="2" borderId="12" xfId="1" applyNumberFormat="1" applyFont="1" applyFill="1" applyBorder="1"/>
    <xf numFmtId="0" fontId="21" fillId="0" borderId="0" xfId="0" applyFont="1" applyAlignment="1">
      <alignment horizontal="left"/>
    </xf>
    <xf numFmtId="0" fontId="6" fillId="0" borderId="12" xfId="0" applyFont="1" applyBorder="1" applyAlignment="1">
      <alignment horizontal="right"/>
    </xf>
    <xf numFmtId="171" fontId="13" fillId="0" borderId="12" xfId="0" applyNumberFormat="1" applyFont="1" applyBorder="1"/>
    <xf numFmtId="166" fontId="6" fillId="0" borderId="12" xfId="0" applyNumberFormat="1" applyFont="1" applyBorder="1" applyAlignment="1">
      <alignment horizontal="right"/>
    </xf>
    <xf numFmtId="166" fontId="13" fillId="0" borderId="12" xfId="1" applyFont="1" applyBorder="1"/>
    <xf numFmtId="0" fontId="21" fillId="0" borderId="0" xfId="0" applyFont="1"/>
    <xf numFmtId="0" fontId="13" fillId="0" borderId="0" xfId="0" applyFont="1"/>
    <xf numFmtId="0" fontId="22" fillId="0" borderId="0" xfId="0" applyFont="1" applyAlignment="1">
      <alignment wrapText="1"/>
    </xf>
  </cellXfs>
  <cellStyles count="15">
    <cellStyle name="Comma [0] 2" xfId="5" xr:uid="{00000000-0005-0000-0000-000009000000}"/>
    <cellStyle name="Comma 2" xfId="2" xr:uid="{00000000-0005-0000-0000-000006000000}"/>
    <cellStyle name="Comma 3" xfId="3" xr:uid="{00000000-0005-0000-0000-000007000000}"/>
    <cellStyle name="Comma 4" xfId="4" xr:uid="{00000000-0005-0000-0000-000008000000}"/>
    <cellStyle name="Currency" xfId="1" builtinId="4"/>
    <cellStyle name="Currency [0] 2" xfId="9" xr:uid="{00000000-0005-0000-0000-00000D000000}"/>
    <cellStyle name="Currency 2" xfId="6" xr:uid="{00000000-0005-0000-0000-00000A000000}"/>
    <cellStyle name="Currency 3" xfId="7" xr:uid="{00000000-0005-0000-0000-00000B000000}"/>
    <cellStyle name="Currency 4" xfId="8" xr:uid="{00000000-0005-0000-0000-00000C000000}"/>
    <cellStyle name="Normal" xfId="0" builtinId="0"/>
    <cellStyle name="Normal 2" xfId="10" xr:uid="{00000000-0005-0000-0000-00000E000000}"/>
    <cellStyle name="Normal 3" xfId="11" xr:uid="{00000000-0005-0000-0000-00000F000000}"/>
    <cellStyle name="Normal 4" xfId="12" xr:uid="{00000000-0005-0000-0000-000010000000}"/>
    <cellStyle name="Normal 5" xfId="13" xr:uid="{00000000-0005-0000-0000-000011000000}"/>
    <cellStyle name="Percent 2" xfId="14" xr:uid="{00000000-0005-0000-0000-00001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45"/>
  <sheetViews>
    <sheetView tabSelected="1" zoomScale="110" zoomScaleNormal="110" workbookViewId="0">
      <selection activeCell="H7" sqref="H7"/>
    </sheetView>
  </sheetViews>
  <sheetFormatPr defaultColWidth="9.140625" defaultRowHeight="15" x14ac:dyDescent="0.25"/>
  <cols>
    <col min="1" max="1" width="9.140625" style="8"/>
    <col min="2" max="2" width="44" style="8" customWidth="1"/>
    <col min="3" max="3" width="20.7109375" style="8" customWidth="1"/>
    <col min="4" max="4" width="70.7109375" style="8" customWidth="1"/>
    <col min="5" max="5" width="10.5703125" style="8" customWidth="1"/>
    <col min="6" max="6" width="4" style="8" customWidth="1"/>
    <col min="7" max="16384" width="9.140625" style="8"/>
  </cols>
  <sheetData>
    <row r="1" spans="2:4" ht="15" customHeight="1" x14ac:dyDescent="0.25">
      <c r="B1" s="7" t="s">
        <v>0</v>
      </c>
      <c r="C1" s="7"/>
      <c r="D1" s="7"/>
    </row>
    <row r="2" spans="2:4" ht="29.25" customHeight="1" x14ac:dyDescent="0.25">
      <c r="B2" s="7"/>
      <c r="C2" s="7"/>
      <c r="D2" s="7"/>
    </row>
    <row r="3" spans="2:4" ht="29.25" customHeight="1" x14ac:dyDescent="0.25">
      <c r="B3" s="6" t="s">
        <v>1</v>
      </c>
      <c r="C3" s="6"/>
      <c r="D3" s="6"/>
    </row>
    <row r="4" spans="2:4" x14ac:dyDescent="0.25">
      <c r="B4" s="5" t="s">
        <v>2</v>
      </c>
      <c r="C4" s="4" t="s">
        <v>3</v>
      </c>
      <c r="D4" s="4"/>
    </row>
    <row r="5" spans="2:4" x14ac:dyDescent="0.25">
      <c r="B5" s="5"/>
      <c r="C5" s="5"/>
      <c r="D5" s="4"/>
    </row>
    <row r="6" spans="2:4" ht="15.75" customHeight="1" x14ac:dyDescent="0.25">
      <c r="B6" s="3" t="s">
        <v>4</v>
      </c>
      <c r="C6" s="3"/>
      <c r="D6" s="3"/>
    </row>
    <row r="7" spans="2:4" ht="45" customHeight="1" x14ac:dyDescent="0.25">
      <c r="B7" s="9" t="s">
        <v>5</v>
      </c>
      <c r="C7" s="10" t="s">
        <v>6</v>
      </c>
      <c r="D7" s="11" t="s">
        <v>7</v>
      </c>
    </row>
    <row r="8" spans="2:4" ht="80.099999999999994" customHeight="1" x14ac:dyDescent="0.25">
      <c r="B8" s="12" t="s">
        <v>8</v>
      </c>
      <c r="C8" s="13">
        <v>48750</v>
      </c>
      <c r="D8" s="14" t="s">
        <v>9</v>
      </c>
    </row>
    <row r="9" spans="2:4" ht="69.95" customHeight="1" x14ac:dyDescent="0.25">
      <c r="B9" s="12" t="s">
        <v>10</v>
      </c>
      <c r="C9" s="13">
        <v>46500</v>
      </c>
      <c r="D9" s="14" t="s">
        <v>11</v>
      </c>
    </row>
    <row r="10" spans="2:4" ht="69.95" customHeight="1" x14ac:dyDescent="0.25">
      <c r="B10" s="12" t="s">
        <v>12</v>
      </c>
      <c r="C10" s="13">
        <v>60000</v>
      </c>
      <c r="D10" s="14" t="s">
        <v>13</v>
      </c>
    </row>
    <row r="11" spans="2:4" ht="69.95" customHeight="1" x14ac:dyDescent="0.25">
      <c r="B11" s="12" t="s">
        <v>14</v>
      </c>
      <c r="C11" s="13">
        <v>48000</v>
      </c>
      <c r="D11" s="14" t="s">
        <v>15</v>
      </c>
    </row>
    <row r="12" spans="2:4" ht="69.95" customHeight="1" x14ac:dyDescent="0.25">
      <c r="B12" s="12" t="s">
        <v>16</v>
      </c>
      <c r="C12" s="15">
        <v>96000</v>
      </c>
      <c r="D12" s="14" t="s">
        <v>17</v>
      </c>
    </row>
    <row r="13" spans="2:4" ht="15.75" customHeight="1" x14ac:dyDescent="0.25">
      <c r="B13" s="16" t="s">
        <v>18</v>
      </c>
      <c r="C13" s="17">
        <f>SUM(C8:C12)</f>
        <v>299250</v>
      </c>
      <c r="D13" s="18"/>
    </row>
    <row r="14" spans="2:4" ht="15.75" customHeight="1" x14ac:dyDescent="0.25">
      <c r="B14" s="19"/>
      <c r="C14" s="20"/>
      <c r="D14" s="21"/>
    </row>
    <row r="15" spans="2:4" x14ac:dyDescent="0.25">
      <c r="B15" s="22" t="s">
        <v>19</v>
      </c>
      <c r="C15" s="10" t="s">
        <v>20</v>
      </c>
      <c r="D15" s="23" t="s">
        <v>21</v>
      </c>
    </row>
    <row r="16" spans="2:4" ht="15.75" customHeight="1" x14ac:dyDescent="0.25">
      <c r="B16" s="24" t="s">
        <v>22</v>
      </c>
      <c r="C16" s="25">
        <v>0.18</v>
      </c>
      <c r="D16" s="14" t="s">
        <v>23</v>
      </c>
    </row>
    <row r="17" spans="2:5" ht="15.75" customHeight="1" x14ac:dyDescent="0.25">
      <c r="B17" s="16" t="s">
        <v>18</v>
      </c>
      <c r="C17" s="17">
        <f>C13*C16</f>
        <v>53865</v>
      </c>
      <c r="D17" s="18"/>
    </row>
    <row r="18" spans="2:5" ht="15.75" customHeight="1" x14ac:dyDescent="0.25">
      <c r="B18" s="26"/>
      <c r="C18" s="27"/>
      <c r="D18" s="28"/>
    </row>
    <row r="19" spans="2:5" ht="54.95" customHeight="1" x14ac:dyDescent="0.25">
      <c r="B19" s="29" t="s">
        <v>24</v>
      </c>
      <c r="C19" s="30"/>
      <c r="D19" s="31"/>
    </row>
    <row r="20" spans="2:5" ht="30" customHeight="1" x14ac:dyDescent="0.25">
      <c r="B20" s="32" t="s">
        <v>25</v>
      </c>
      <c r="C20" s="15">
        <v>160000</v>
      </c>
      <c r="D20" s="14" t="s">
        <v>26</v>
      </c>
    </row>
    <row r="21" spans="2:5" s="36" customFormat="1" ht="15.75" customHeight="1" x14ac:dyDescent="0.25">
      <c r="B21" s="33" t="s">
        <v>18</v>
      </c>
      <c r="C21" s="34">
        <f>SUM(C20)</f>
        <v>160000</v>
      </c>
      <c r="D21" s="35"/>
    </row>
    <row r="22" spans="2:5" ht="15.75" customHeight="1" x14ac:dyDescent="0.25">
      <c r="B22" s="26"/>
      <c r="C22" s="37"/>
      <c r="D22" s="38"/>
    </row>
    <row r="23" spans="2:5" ht="69.95" customHeight="1" x14ac:dyDescent="0.25">
      <c r="B23" s="39" t="s">
        <v>27</v>
      </c>
      <c r="C23" s="10" t="s">
        <v>6</v>
      </c>
      <c r="D23" s="40" t="s">
        <v>28</v>
      </c>
    </row>
    <row r="24" spans="2:5" ht="69.95" customHeight="1" x14ac:dyDescent="0.25">
      <c r="B24" s="12" t="s">
        <v>29</v>
      </c>
      <c r="C24" s="41">
        <v>44000</v>
      </c>
      <c r="D24" s="14" t="s">
        <v>30</v>
      </c>
    </row>
    <row r="25" spans="2:5" ht="69.95" customHeight="1" x14ac:dyDescent="0.25">
      <c r="B25" s="12" t="s">
        <v>31</v>
      </c>
      <c r="C25" s="41">
        <v>140000</v>
      </c>
      <c r="D25" s="14" t="s">
        <v>32</v>
      </c>
    </row>
    <row r="26" spans="2:5" ht="69.95" customHeight="1" x14ac:dyDescent="0.25">
      <c r="B26" s="12" t="s">
        <v>33</v>
      </c>
      <c r="C26" s="41">
        <v>163885</v>
      </c>
      <c r="D26" s="14" t="s">
        <v>34</v>
      </c>
    </row>
    <row r="27" spans="2:5" ht="69.95" customHeight="1" x14ac:dyDescent="0.25">
      <c r="B27" s="12" t="s">
        <v>35</v>
      </c>
      <c r="C27" s="41">
        <v>50000</v>
      </c>
      <c r="D27" s="14" t="s">
        <v>36</v>
      </c>
    </row>
    <row r="28" spans="2:5" ht="69.95" customHeight="1" x14ac:dyDescent="0.25">
      <c r="B28" s="42" t="s">
        <v>37</v>
      </c>
      <c r="C28" s="41">
        <v>290000</v>
      </c>
      <c r="D28" s="14" t="s">
        <v>38</v>
      </c>
    </row>
    <row r="29" spans="2:5" ht="15.75" customHeight="1" x14ac:dyDescent="0.25">
      <c r="B29" s="43" t="s">
        <v>18</v>
      </c>
      <c r="C29" s="44">
        <f>SUM(C24:C28)</f>
        <v>687885</v>
      </c>
      <c r="D29" s="45"/>
    </row>
    <row r="30" spans="2:5" ht="15.75" customHeight="1" x14ac:dyDescent="0.25">
      <c r="B30" s="20"/>
      <c r="C30" s="20"/>
      <c r="D30" s="20"/>
      <c r="E30" s="46"/>
    </row>
    <row r="31" spans="2:5" ht="69.95" customHeight="1" x14ac:dyDescent="0.25">
      <c r="B31" s="39" t="s">
        <v>39</v>
      </c>
      <c r="C31" s="47" t="s">
        <v>6</v>
      </c>
      <c r="D31" s="11" t="s">
        <v>40</v>
      </c>
    </row>
    <row r="32" spans="2:5" ht="69.95" customHeight="1" x14ac:dyDescent="0.25">
      <c r="B32" s="12" t="s">
        <v>41</v>
      </c>
      <c r="C32" s="48">
        <v>3600</v>
      </c>
      <c r="D32" s="14" t="s">
        <v>42</v>
      </c>
      <c r="E32" s="49"/>
    </row>
    <row r="33" spans="2:6" ht="69.95" customHeight="1" x14ac:dyDescent="0.25">
      <c r="B33" s="12" t="s">
        <v>43</v>
      </c>
      <c r="C33" s="48">
        <v>8000</v>
      </c>
      <c r="D33" s="14" t="s">
        <v>44</v>
      </c>
    </row>
    <row r="34" spans="2:6" ht="69.95" customHeight="1" x14ac:dyDescent="0.25">
      <c r="B34" s="12" t="s">
        <v>45</v>
      </c>
      <c r="C34" s="50">
        <v>3000</v>
      </c>
      <c r="D34" s="14" t="s">
        <v>46</v>
      </c>
    </row>
    <row r="35" spans="2:6" ht="69.95" customHeight="1" x14ac:dyDescent="0.25">
      <c r="B35" s="12" t="s">
        <v>47</v>
      </c>
      <c r="C35" s="50">
        <v>8000</v>
      </c>
      <c r="D35" s="14" t="s">
        <v>48</v>
      </c>
    </row>
    <row r="36" spans="2:6" ht="80.099999999999994" customHeight="1" x14ac:dyDescent="0.25">
      <c r="B36" s="12" t="s">
        <v>49</v>
      </c>
      <c r="C36" s="50">
        <v>776400</v>
      </c>
      <c r="D36" s="14" t="s">
        <v>50</v>
      </c>
    </row>
    <row r="37" spans="2:6" ht="15.75" customHeight="1" x14ac:dyDescent="0.25">
      <c r="B37" s="51" t="s">
        <v>18</v>
      </c>
      <c r="C37" s="52">
        <f>SUM(C32:C36)</f>
        <v>799000</v>
      </c>
      <c r="D37" s="53"/>
    </row>
    <row r="38" spans="2:6" ht="15.75" customHeight="1" x14ac:dyDescent="0.25">
      <c r="B38" s="54"/>
      <c r="C38" s="55"/>
      <c r="D38" s="56"/>
      <c r="F38" s="57"/>
    </row>
    <row r="39" spans="2:6" ht="15.75" customHeight="1" x14ac:dyDescent="0.25">
      <c r="B39" s="58" t="s">
        <v>51</v>
      </c>
      <c r="C39" s="59">
        <f>SUM(C13+C17+C21+C29+C37)</f>
        <v>2000000</v>
      </c>
      <c r="D39" s="60"/>
      <c r="F39" s="57"/>
    </row>
    <row r="40" spans="2:6" x14ac:dyDescent="0.25">
      <c r="F40" s="57"/>
    </row>
    <row r="41" spans="2:6" x14ac:dyDescent="0.25">
      <c r="F41" s="57"/>
    </row>
    <row r="42" spans="2:6" x14ac:dyDescent="0.25">
      <c r="F42" s="57"/>
    </row>
    <row r="43" spans="2:6" x14ac:dyDescent="0.25">
      <c r="F43" s="61"/>
    </row>
    <row r="44" spans="2:6" x14ac:dyDescent="0.25">
      <c r="F44" s="61"/>
    </row>
    <row r="45" spans="2:6" x14ac:dyDescent="0.25">
      <c r="F45" s="61"/>
    </row>
  </sheetData>
  <mergeCells count="5">
    <mergeCell ref="B1:D2"/>
    <mergeCell ref="B3:D3"/>
    <mergeCell ref="B4:B5"/>
    <mergeCell ref="C4:D5"/>
    <mergeCell ref="B6:D6"/>
  </mergeCells>
  <pageMargins left="0.25" right="0.25" top="0.75" bottom="0.75" header="0.3" footer="0.3"/>
  <pageSetup scale="65" fitToHeight="0" orientation="portrait" horizontalDpi="300" verticalDpi="300" r:id="rId1"/>
  <rowBreaks count="1" manualBreakCount="1">
    <brk id="23"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110" zoomScaleNormal="110" workbookViewId="0">
      <selection activeCell="B5" sqref="B5"/>
    </sheetView>
  </sheetViews>
  <sheetFormatPr defaultColWidth="9.140625" defaultRowHeight="12.75" x14ac:dyDescent="0.2"/>
  <cols>
    <col min="1" max="1" width="3" style="62" customWidth="1"/>
    <col min="2" max="2" width="38" style="63" customWidth="1"/>
    <col min="3" max="3" width="16" style="63" customWidth="1"/>
    <col min="4" max="4" width="38" style="63" customWidth="1"/>
    <col min="5" max="5" width="16" style="63" customWidth="1"/>
    <col min="6" max="16384" width="9.140625" style="63"/>
  </cols>
  <sheetData>
    <row r="1" spans="1:5" ht="22.5" customHeight="1" x14ac:dyDescent="0.35">
      <c r="A1" s="2" t="s">
        <v>52</v>
      </c>
      <c r="B1" s="2"/>
      <c r="C1" s="2"/>
      <c r="D1" s="2"/>
      <c r="E1" s="64"/>
    </row>
    <row r="2" spans="1:5" ht="22.5" customHeight="1" x14ac:dyDescent="0.35">
      <c r="A2" s="2"/>
      <c r="B2" s="2"/>
      <c r="C2" s="2"/>
      <c r="D2" s="2"/>
      <c r="E2" s="65"/>
    </row>
    <row r="3" spans="1:5" ht="44.25" customHeight="1" x14ac:dyDescent="0.35">
      <c r="A3" s="1" t="s">
        <v>53</v>
      </c>
      <c r="B3" s="1"/>
      <c r="C3" s="1"/>
      <c r="D3" s="1"/>
      <c r="E3" s="65"/>
    </row>
    <row r="5" spans="1:5" ht="42.75" customHeight="1" x14ac:dyDescent="0.2">
      <c r="B5" s="66" t="s">
        <v>54</v>
      </c>
      <c r="C5" s="67" t="s">
        <v>55</v>
      </c>
      <c r="D5" s="68" t="s">
        <v>56</v>
      </c>
      <c r="E5" s="67" t="s">
        <v>55</v>
      </c>
    </row>
    <row r="6" spans="1:5" ht="15" customHeight="1" x14ac:dyDescent="0.2">
      <c r="B6" s="69" t="s">
        <v>57</v>
      </c>
      <c r="C6" s="70">
        <v>81250</v>
      </c>
      <c r="D6" s="69" t="s">
        <v>58</v>
      </c>
      <c r="E6" s="71">
        <v>81250</v>
      </c>
    </row>
    <row r="7" spans="1:5" ht="15" customHeight="1" x14ac:dyDescent="0.2">
      <c r="B7" s="72" t="s">
        <v>59</v>
      </c>
      <c r="C7" s="73">
        <v>46500</v>
      </c>
      <c r="D7" s="72" t="s">
        <v>60</v>
      </c>
      <c r="E7" s="74">
        <v>46500</v>
      </c>
    </row>
    <row r="8" spans="1:5" ht="15" customHeight="1" x14ac:dyDescent="0.2">
      <c r="B8" s="69" t="s">
        <v>61</v>
      </c>
      <c r="C8" s="70">
        <v>30000</v>
      </c>
      <c r="D8" s="69" t="s">
        <v>62</v>
      </c>
      <c r="E8" s="71">
        <v>30000</v>
      </c>
    </row>
    <row r="9" spans="1:5" ht="15" customHeight="1" x14ac:dyDescent="0.2">
      <c r="B9" s="72" t="s">
        <v>63</v>
      </c>
      <c r="C9" s="73">
        <v>48000</v>
      </c>
      <c r="D9" s="72" t="s">
        <v>64</v>
      </c>
      <c r="E9" s="74">
        <v>48000</v>
      </c>
    </row>
    <row r="10" spans="1:5" ht="15" customHeight="1" x14ac:dyDescent="0.2">
      <c r="B10" s="69" t="s">
        <v>65</v>
      </c>
      <c r="C10" s="70">
        <v>36000</v>
      </c>
      <c r="D10" s="69" t="s">
        <v>66</v>
      </c>
      <c r="E10" s="71">
        <v>36000</v>
      </c>
    </row>
    <row r="11" spans="1:5" ht="15" customHeight="1" x14ac:dyDescent="0.2">
      <c r="B11" s="72" t="s">
        <v>67</v>
      </c>
      <c r="C11" s="73">
        <v>518000</v>
      </c>
      <c r="D11" s="72" t="s">
        <v>68</v>
      </c>
      <c r="E11" s="74">
        <v>518000</v>
      </c>
    </row>
    <row r="12" spans="1:5" ht="15" customHeight="1" x14ac:dyDescent="0.2">
      <c r="B12" s="69"/>
      <c r="C12" s="70">
        <v>0</v>
      </c>
      <c r="D12" s="69"/>
      <c r="E12" s="71">
        <v>0</v>
      </c>
    </row>
    <row r="13" spans="1:5" ht="15" customHeight="1" x14ac:dyDescent="0.2">
      <c r="B13" s="72"/>
      <c r="C13" s="73">
        <v>0</v>
      </c>
      <c r="D13" s="72"/>
      <c r="E13" s="74">
        <v>0</v>
      </c>
    </row>
    <row r="14" spans="1:5" s="80" customFormat="1" ht="18.75" customHeight="1" x14ac:dyDescent="0.3">
      <c r="A14" s="75"/>
      <c r="B14" s="76" t="s">
        <v>69</v>
      </c>
      <c r="C14" s="77">
        <f>SUM(C6:C13)</f>
        <v>759750</v>
      </c>
      <c r="D14" s="78" t="s">
        <v>70</v>
      </c>
      <c r="E14" s="79">
        <f>SUM(E6:E13)</f>
        <v>759750</v>
      </c>
    </row>
  </sheetData>
  <mergeCells count="2">
    <mergeCell ref="A1:D2"/>
    <mergeCell ref="A3:D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16"/>
  <sheetViews>
    <sheetView zoomScaleNormal="100" workbookViewId="0">
      <selection activeCell="E20" sqref="E20"/>
    </sheetView>
  </sheetViews>
  <sheetFormatPr defaultColWidth="8.7109375" defaultRowHeight="12.75" x14ac:dyDescent="0.2"/>
  <sheetData>
    <row r="3" spans="1:9" ht="15" customHeight="1" x14ac:dyDescent="0.25">
      <c r="A3" s="81"/>
      <c r="B3" s="81"/>
      <c r="C3" s="81"/>
      <c r="D3" s="81"/>
      <c r="E3" s="81"/>
      <c r="F3" s="81"/>
      <c r="G3" s="81"/>
      <c r="H3" s="81"/>
      <c r="I3" s="81"/>
    </row>
    <row r="4" spans="1:9" ht="15" customHeight="1" x14ac:dyDescent="0.25">
      <c r="A4" s="81" t="s">
        <v>71</v>
      </c>
      <c r="B4" s="81"/>
      <c r="C4" s="81"/>
      <c r="D4" s="81"/>
      <c r="E4" s="81"/>
      <c r="F4" s="81"/>
      <c r="G4" s="81"/>
      <c r="H4" s="81"/>
      <c r="I4" s="81"/>
    </row>
    <row r="5" spans="1:9" ht="15" customHeight="1" x14ac:dyDescent="0.25">
      <c r="A5" s="81" t="s">
        <v>72</v>
      </c>
      <c r="B5" s="81"/>
      <c r="C5" s="81"/>
      <c r="D5" s="81"/>
      <c r="E5" s="81"/>
      <c r="F5" s="81"/>
      <c r="G5" s="81"/>
      <c r="H5" s="81"/>
      <c r="I5" s="81"/>
    </row>
    <row r="6" spans="1:9" ht="15" customHeight="1" x14ac:dyDescent="0.25">
      <c r="A6" s="81" t="s">
        <v>73</v>
      </c>
      <c r="B6" s="81"/>
      <c r="C6" s="81"/>
      <c r="D6" s="81"/>
      <c r="E6" s="81"/>
      <c r="F6" s="81"/>
      <c r="G6" s="81"/>
      <c r="H6" s="81"/>
      <c r="I6" s="81"/>
    </row>
    <row r="7" spans="1:9" ht="15" customHeight="1" x14ac:dyDescent="0.25">
      <c r="A7" s="81" t="s">
        <v>74</v>
      </c>
      <c r="B7" s="81"/>
      <c r="C7" s="81"/>
      <c r="D7" s="81"/>
      <c r="E7" s="81"/>
      <c r="F7" s="81"/>
      <c r="G7" s="81"/>
      <c r="H7" s="81"/>
      <c r="I7" s="81"/>
    </row>
    <row r="8" spans="1:9" ht="15" customHeight="1" x14ac:dyDescent="0.25">
      <c r="A8" s="81" t="s">
        <v>75</v>
      </c>
      <c r="B8" s="81"/>
      <c r="C8" s="81"/>
      <c r="D8" s="81"/>
      <c r="E8" s="81"/>
      <c r="F8" s="81"/>
      <c r="G8" s="81"/>
      <c r="H8" s="81"/>
      <c r="I8" s="81"/>
    </row>
    <row r="9" spans="1:9" ht="15" customHeight="1" x14ac:dyDescent="0.25">
      <c r="A9" s="81" t="s">
        <v>76</v>
      </c>
      <c r="B9" s="81"/>
      <c r="C9" s="81"/>
      <c r="D9" s="81"/>
      <c r="E9" s="81"/>
      <c r="F9" s="81"/>
      <c r="G9" s="81"/>
      <c r="H9" s="81"/>
      <c r="I9" s="81"/>
    </row>
    <row r="10" spans="1:9" ht="15" customHeight="1" x14ac:dyDescent="0.25">
      <c r="A10" s="81" t="s">
        <v>77</v>
      </c>
      <c r="B10" s="81"/>
      <c r="C10" s="81"/>
      <c r="D10" s="81"/>
      <c r="E10" s="81"/>
      <c r="F10" s="81"/>
      <c r="G10" s="81"/>
      <c r="H10" s="81"/>
      <c r="I10" s="81"/>
    </row>
    <row r="11" spans="1:9" ht="15" customHeight="1" x14ac:dyDescent="0.25">
      <c r="A11" s="81" t="s">
        <v>78</v>
      </c>
      <c r="B11" s="81"/>
      <c r="C11" s="81"/>
      <c r="D11" s="81"/>
      <c r="E11" s="81"/>
      <c r="F11" s="81"/>
      <c r="G11" s="81"/>
      <c r="H11" s="81"/>
      <c r="I11" s="81"/>
    </row>
    <row r="12" spans="1:9" ht="15" customHeight="1" x14ac:dyDescent="0.25">
      <c r="A12" s="81" t="s">
        <v>79</v>
      </c>
      <c r="B12" s="81"/>
      <c r="C12" s="81"/>
      <c r="D12" s="81"/>
      <c r="E12" s="81"/>
      <c r="F12" s="81"/>
      <c r="G12" s="81"/>
      <c r="H12" s="81"/>
      <c r="I12" s="81"/>
    </row>
    <row r="13" spans="1:9" ht="15" customHeight="1" x14ac:dyDescent="0.25">
      <c r="A13" s="81" t="s">
        <v>80</v>
      </c>
      <c r="B13" s="81"/>
      <c r="C13" s="81"/>
      <c r="D13" s="81"/>
      <c r="E13" s="81"/>
      <c r="F13" s="81"/>
      <c r="G13" s="81"/>
      <c r="H13" s="81"/>
      <c r="I13" s="81"/>
    </row>
    <row r="14" spans="1:9" ht="15" customHeight="1" x14ac:dyDescent="0.25">
      <c r="A14" s="81" t="s">
        <v>81</v>
      </c>
      <c r="B14" s="81"/>
      <c r="C14" s="81"/>
      <c r="D14" s="81"/>
      <c r="E14" s="81"/>
      <c r="F14" s="81"/>
      <c r="G14" s="81"/>
      <c r="H14" s="81"/>
      <c r="I14" s="81"/>
    </row>
    <row r="15" spans="1:9" ht="15" customHeight="1" x14ac:dyDescent="0.25">
      <c r="A15" s="81"/>
      <c r="B15" s="81"/>
      <c r="C15" s="81"/>
      <c r="D15" s="81"/>
      <c r="E15" s="81"/>
      <c r="F15" s="81"/>
      <c r="G15" s="81"/>
      <c r="H15" s="81"/>
      <c r="I15" s="81"/>
    </row>
    <row r="16" spans="1:9" ht="15" customHeight="1" x14ac:dyDescent="0.25">
      <c r="A16" s="81"/>
      <c r="B16" s="81"/>
      <c r="C16" s="81"/>
      <c r="D16" s="81"/>
      <c r="E16" s="81"/>
      <c r="F16" s="81"/>
      <c r="G16" s="81"/>
      <c r="H16" s="81"/>
      <c r="I16" s="81"/>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3"/>
  <sheetViews>
    <sheetView zoomScaleNormal="100" workbookViewId="0">
      <selection activeCell="A3" sqref="A3"/>
    </sheetView>
  </sheetViews>
  <sheetFormatPr defaultColWidth="8.7109375" defaultRowHeight="12.75" x14ac:dyDescent="0.2"/>
  <cols>
    <col min="1" max="1" width="46.85546875" customWidth="1"/>
    <col min="3" max="3" width="27.85546875" customWidth="1"/>
  </cols>
  <sheetData>
    <row r="3" spans="1:3" ht="19.5" customHeight="1" x14ac:dyDescent="0.2">
      <c r="A3" s="82" t="s">
        <v>82</v>
      </c>
      <c r="C3" t="s">
        <v>83</v>
      </c>
    </row>
    <row r="4" spans="1:3" ht="19.5" customHeight="1" x14ac:dyDescent="0.2">
      <c r="A4" s="82" t="s">
        <v>84</v>
      </c>
      <c r="C4" t="s">
        <v>85</v>
      </c>
    </row>
    <row r="5" spans="1:3" ht="19.5" customHeight="1" x14ac:dyDescent="0.2">
      <c r="A5" s="82" t="s">
        <v>86</v>
      </c>
      <c r="C5" t="s">
        <v>87</v>
      </c>
    </row>
    <row r="6" spans="1:3" ht="19.5" customHeight="1" x14ac:dyDescent="0.2">
      <c r="A6" s="82" t="s">
        <v>88</v>
      </c>
      <c r="C6" t="s">
        <v>89</v>
      </c>
    </row>
    <row r="7" spans="1:3" ht="19.5" customHeight="1" x14ac:dyDescent="0.2">
      <c r="A7" s="82" t="s">
        <v>90</v>
      </c>
      <c r="C7" t="s">
        <v>91</v>
      </c>
    </row>
    <row r="8" spans="1:3" ht="19.5" customHeight="1" x14ac:dyDescent="0.2">
      <c r="A8" s="82" t="s">
        <v>92</v>
      </c>
    </row>
    <row r="9" spans="1:3" ht="19.5" customHeight="1" x14ac:dyDescent="0.2">
      <c r="A9" s="82" t="s">
        <v>93</v>
      </c>
    </row>
    <row r="10" spans="1:3" ht="19.5" customHeight="1" x14ac:dyDescent="0.2">
      <c r="A10" s="82" t="s">
        <v>94</v>
      </c>
    </row>
    <row r="11" spans="1:3" ht="19.5" customHeight="1" x14ac:dyDescent="0.2">
      <c r="A11" s="82" t="s">
        <v>95</v>
      </c>
    </row>
    <row r="12" spans="1:3" x14ac:dyDescent="0.2">
      <c r="A12" s="82" t="s">
        <v>96</v>
      </c>
    </row>
    <row r="13" spans="1:3" x14ac:dyDescent="0.2">
      <c r="A13" s="82" t="s">
        <v>97</v>
      </c>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26"/>
  <sheetViews>
    <sheetView zoomScaleNormal="100" workbookViewId="0">
      <selection activeCell="C15" sqref="C15"/>
    </sheetView>
  </sheetViews>
  <sheetFormatPr defaultColWidth="8.7109375" defaultRowHeight="12.75" x14ac:dyDescent="0.2"/>
  <cols>
    <col min="1" max="1" width="6" customWidth="1"/>
  </cols>
  <sheetData>
    <row r="3" spans="1:1" ht="19.5" customHeight="1" x14ac:dyDescent="0.2">
      <c r="A3" s="82">
        <v>0</v>
      </c>
    </row>
    <row r="4" spans="1:1" ht="19.5" customHeight="1" x14ac:dyDescent="0.2">
      <c r="A4" s="82">
        <v>1</v>
      </c>
    </row>
    <row r="5" spans="1:1" ht="19.5" customHeight="1" x14ac:dyDescent="0.2">
      <c r="A5" s="82">
        <v>2</v>
      </c>
    </row>
    <row r="6" spans="1:1" ht="19.5" customHeight="1" x14ac:dyDescent="0.2">
      <c r="A6" s="82">
        <v>3</v>
      </c>
    </row>
    <row r="7" spans="1:1" ht="19.5" customHeight="1" x14ac:dyDescent="0.2">
      <c r="A7" s="82">
        <v>4</v>
      </c>
    </row>
    <row r="8" spans="1:1" ht="19.5" customHeight="1" x14ac:dyDescent="0.2">
      <c r="A8" s="82">
        <v>5</v>
      </c>
    </row>
    <row r="9" spans="1:1" ht="19.5" customHeight="1" x14ac:dyDescent="0.2">
      <c r="A9" s="82">
        <v>6</v>
      </c>
    </row>
    <row r="10" spans="1:1" ht="19.5" customHeight="1" x14ac:dyDescent="0.2">
      <c r="A10" s="82">
        <v>7</v>
      </c>
    </row>
    <row r="11" spans="1:1" ht="19.5" customHeight="1" x14ac:dyDescent="0.2">
      <c r="A11" s="82">
        <v>8</v>
      </c>
    </row>
    <row r="12" spans="1:1" ht="19.5" customHeight="1" x14ac:dyDescent="0.2">
      <c r="A12" s="82">
        <v>9</v>
      </c>
    </row>
    <row r="13" spans="1:1" ht="19.5" customHeight="1" x14ac:dyDescent="0.2">
      <c r="A13" s="82">
        <v>10</v>
      </c>
    </row>
    <row r="14" spans="1:1" ht="19.5" customHeight="1" x14ac:dyDescent="0.2">
      <c r="A14" s="82"/>
    </row>
    <row r="15" spans="1:1" ht="19.5" customHeight="1" x14ac:dyDescent="0.2">
      <c r="A15" s="82"/>
    </row>
    <row r="16" spans="1:1" ht="19.5" customHeight="1" x14ac:dyDescent="0.2">
      <c r="A16" s="82"/>
    </row>
    <row r="17" spans="1:1" ht="19.5" customHeight="1" x14ac:dyDescent="0.2">
      <c r="A17" s="82"/>
    </row>
    <row r="18" spans="1:1" ht="19.5" customHeight="1" x14ac:dyDescent="0.2">
      <c r="A18" s="82"/>
    </row>
    <row r="19" spans="1:1" ht="19.5" customHeight="1" x14ac:dyDescent="0.2">
      <c r="A19" s="82"/>
    </row>
    <row r="20" spans="1:1" ht="19.5" customHeight="1" x14ac:dyDescent="0.2">
      <c r="A20" s="82"/>
    </row>
    <row r="21" spans="1:1" ht="19.5" customHeight="1" x14ac:dyDescent="0.2">
      <c r="A21" s="82"/>
    </row>
    <row r="22" spans="1:1" ht="19.5" customHeight="1" x14ac:dyDescent="0.2">
      <c r="A22" s="82"/>
    </row>
    <row r="23" spans="1:1" ht="19.5" customHeight="1" x14ac:dyDescent="0.2">
      <c r="A23" s="82"/>
    </row>
    <row r="24" spans="1:1" ht="19.5" customHeight="1" x14ac:dyDescent="0.2">
      <c r="A24" s="82"/>
    </row>
    <row r="25" spans="1:1" ht="19.5" customHeight="1" x14ac:dyDescent="0.2">
      <c r="A25" s="82"/>
    </row>
    <row r="26" spans="1:1" ht="19.5" customHeight="1" x14ac:dyDescent="0.2">
      <c r="A26" s="82"/>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Total Budget</vt:lpstr>
      <vt:lpstr>Sources and Uses</vt:lpstr>
      <vt:lpstr>Sheet4</vt:lpstr>
      <vt:lpstr>Sheet2</vt:lpstr>
      <vt:lpstr>Sheet3</vt:lpstr>
      <vt:lpstr>'Total Budget'!Print_Area</vt:lpstr>
      <vt:lpstr>Sheet3!ProgramAreas</vt:lpstr>
      <vt:lpstr>ProgramAreas</vt:lpstr>
      <vt:lpstr>Sheet3!Programs</vt:lpstr>
      <vt:lpstr>Programs</vt:lpstr>
      <vt:lpstr>RFP</vt:lpstr>
      <vt:lpstr>SupportTypes</vt:lpstr>
      <vt:lpstr>ValidNum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dc:description/>
  <cp:lastModifiedBy>David Ainsworth</cp:lastModifiedBy>
  <cp:revision>0</cp:revision>
  <cp:lastPrinted>2026-05-06T19:13:35Z</cp:lastPrinted>
  <dcterms:created xsi:type="dcterms:W3CDTF">2007-06-22T15:00:26Z</dcterms:created>
  <dcterms:modified xsi:type="dcterms:W3CDTF">2026-05-06T19:13:43Z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0x010100CAB5891E5D0B274E854A8393C69B85F5</vt:lpwstr>
  </property>
  <property fmtid="{D5CDD505-2E9C-101B-9397-08002B2CF9AE}" pid="3" name="MediaServiceImageTags">
    <vt:lpwstr/>
  </property>
  <property fmtid="{D5CDD505-2E9C-101B-9397-08002B2CF9AE}" pid="4" name="_NewReviewCycle">
    <vt:lpwstr/>
  </property>
</Properties>
</file>