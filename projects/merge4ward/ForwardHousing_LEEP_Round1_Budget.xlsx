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Hub_Local\werm4d\projects\merge4ward\"/>
    </mc:Choice>
  </mc:AlternateContent>
  <xr:revisionPtr revIDLastSave="0" documentId="13_ncr:1_{8555F4E3-6EA4-4C5D-B5EF-493F30AAB49C}" xr6:coauthVersionLast="47" xr6:coauthVersionMax="47" xr10:uidLastSave="{00000000-0000-0000-0000-000000000000}"/>
  <bookViews>
    <workbookView xWindow="773" yWindow="287" windowWidth="22794" windowHeight="14506" tabRatio="500" xr2:uid="{00000000-000D-0000-FFFF-FFFF00000000}"/>
  </bookViews>
  <sheets>
    <sheet name="Total Budget" sheetId="1" r:id="rId1"/>
    <sheet name="Sources and Uses" sheetId="2" r:id="rId2"/>
    <sheet name="Sheet4" sheetId="3" state="hidden" r:id="rId3"/>
    <sheet name="Sheet2" sheetId="4" state="hidden" r:id="rId4"/>
    <sheet name="Sheet3" sheetId="5" state="hidden" r:id="rId5"/>
  </sheets>
  <definedNames>
    <definedName name="Building_and_Designing_Sustainable_Communities">#REF!</definedName>
    <definedName name="_xlnm.Print_Area" localSheetId="0">'Total Budget'!$A$1:$E$40</definedName>
    <definedName name="ProgramAreas" localSheetId="4">Sheet3!$A$3:$A$26</definedName>
    <definedName name="ProgramAreas">Sheet2!$A$3:$A$13</definedName>
    <definedName name="Programs" localSheetId="4">Sheet3!$A$3:$A$26</definedName>
    <definedName name="Programs">Sheet2!$A$3:$A$11</definedName>
    <definedName name="RFP">Sheet4!$A$4:$A$9</definedName>
    <definedName name="SupportTypes">Sheet2!$C$3:$C$7</definedName>
    <definedName name="ValidNum">Sheet3!$A$3:$A$13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4" i="2" l="1"/>
  <c r="C14" i="2"/>
  <c r="C37" i="1"/>
  <c r="C29" i="1"/>
  <c r="C21" i="1"/>
  <c r="C13" i="1"/>
  <c r="C17" i="1" s="1"/>
  <c r="C39" i="1" s="1"/>
</calcChain>
</file>

<file path=xl/sharedStrings.xml><?xml version="1.0" encoding="utf-8"?>
<sst xmlns="http://schemas.openxmlformats.org/spreadsheetml/2006/main" count="105" uniqueCount="98">
  <si>
    <t>Housing Affordability Breakthrough Challenge: Total Grant Budget
2027-2029</t>
  </si>
  <si>
    <t xml:space="preserve">Instructions: Please list all costs required to execute the innovation and provide a brief description of each item listed. The total budget must equal the total funding request of $2M. </t>
  </si>
  <si>
    <t>Organization Name: L.E.E.P., Inc. (Lead Applicant — Forward Housing by Merge4Ward)</t>
  </si>
  <si>
    <t>Total Budget $2M</t>
  </si>
  <si>
    <t>**This draft budget provides us with some context on how you would use Breakthrough Challenge grant funds. This is a draft only.</t>
  </si>
  <si>
    <t>Salaries - Lead Organization &amp; Project Team Partner(s)
List organization name and position below</t>
  </si>
  <si>
    <t xml:space="preserve">Total Grant Budget </t>
  </si>
  <si>
    <t>Description 
Describe the planned activities for each position listed.</t>
  </si>
  <si>
    <t>Merge 4 Design LLC / Merge4Ward — Trevor Knight, Program Director
0.20 FTE grant-funded / 0.20 FTE sweat equity (in-kind)</t>
  </si>
  <si>
    <t>Forward Housing client relationships, replication site partner development, CDFI outreach, state agency coordination, grant oversight. 0.20 FTE funded by grant over 24 months at $130,000/yr. Additional 0.20 FTE contributed as in-kind sweat equity (valued at $52,000 — see Sources &amp; Uses). Note: Trevor also contributes to M4Di program; FTE allocations across both applications are non-overlapping.</t>
  </si>
  <si>
    <t>Aubyn Architecture LLC / Merge4Ward — David C. Ainsworth AIA, Technical Lead
0.10 FTE grant-funded / 0.20 FTE sweat equity (in-kind)</t>
  </si>
  <si>
    <t>CLT/SIP system expansion, AHJ coordination for replication sites, IBC mass timber compliance, technical documentation library growth. 0.10 FTE funded by grant at $162,500/yr. Additional 0.20 FTE contributed as sweat equity (valued at $65,000 — see Sources &amp; Uses). David's technical CLT/SIP work is primarily a contributed investment in the Forward Housing system's IP development. Note: allocations are non-overlapping with M4Di application.</t>
  </si>
  <si>
    <t>Merge 4 Design LLC / Merge4Ward — Travis Davis, Visualization &amp; Documentation
0.15 FTE grant-funded / 0.15 FTE sweat equity (in-kind)</t>
  </si>
  <si>
    <t>Forward Housing construction drawings, CLT/SIP design guide publication, technical documentation for replication sites. 0.15 FTE funded by grant at $155,000/yr. Additional 0.15 FTE contributed as sweat equity (valued at $46,500 — see Sources &amp; Uses). Allocations non-overlapping with M4Di application.</t>
  </si>
  <si>
    <t>L.E.E.P., Inc. — Gwenevere Motley, Community Development Lead
0.20 FTE grant-funded / 0.10 FTE sweat equity (in-kind)</t>
  </si>
  <si>
    <t>Community relationships, homebuyer outreach, site control for replication sites, Governor's office and state-level coordination, L.E.E.P. workforce program administration. 0.20 FTE funded by grant at $130,000/yr. Additional 0.10 FTE contributed as in-kind sweat equity (valued at $26,000 — see Sources &amp; Uses).</t>
  </si>
  <si>
    <t>Merge4Ward / L.E.E.P. — Program Coordinator (0.60 FTE, 24 months — fully grant-funded)</t>
  </si>
  <si>
    <t>Replication site coordination, AHJ permit tracking, L.E.E.P. workforce training administration, homebuyer counseling coordination, grant reporting. New hire; no in-kind component. 0.60 FTE over 24 months at $60,000/yr. Grant-funded in full — essential delivery capacity for multi-site program.</t>
  </si>
  <si>
    <t>Subtotal</t>
  </si>
  <si>
    <t>Fringe Benefits</t>
  </si>
  <si>
    <t>Percentage</t>
  </si>
  <si>
    <t>Description</t>
  </si>
  <si>
    <t>Fringe Benefits (18% of grant-funded salaries only)</t>
  </si>
  <si>
    <t>18% on grant-funded salaries ($255,000) only. In-kind/sweat equity salaries carry no fringe obligation to the grant. Covers FICA, health insurance equivalent, retirement, workers comp.</t>
  </si>
  <si>
    <t>Overhead/Indirect Costs
Total cost of general and administrative (G&amp;A), facilities and adminsitrative (F&amp;A) expenses, etc.</t>
  </si>
  <si>
    <t>L.E.E.P., Inc. Administrative Overhead (4% of total grant)</t>
  </si>
  <si>
    <t>L.E.E.P.'s 4% administrative fee on the $2,000,000 grant. Covers grant administration, financial management, audit compliance, insurance, sub-award management to Merge4Ward, and lead applicant organizational overhead. Rate reflects L.E.E.P.'s lean administrative structure.</t>
  </si>
  <si>
    <t>Programmatic Expenses
Organizations not included on the project team and/or any outside consultants can also be included.</t>
  </si>
  <si>
    <t>Description 
Describe the planned programmatic activities, tasks, and/or deliverables for the organization or consultant.</t>
  </si>
  <si>
    <t>Multi-Site Replication — Predevelopment, Design, Permitting &amp; Homebuyer Prep (Sites 2–5)</t>
  </si>
  <si>
    <t>FeasOps P1–P3 predevelopment packages, 4 replication sites ($66K). Architectural design services Sites 2–3, SD through construction documents ($170K). AHJ permit applications, fees, CLT/SIP structural peer review Sites 2–3 ($30K). Homebuyer preparation and HUD-certified counseling, 24-month delivery ($24K). Legal — Merge4Ward LLC formation, collaboration agreement, IP protection, Forward Housing trademark ($60K). Wilmington A&amp;E Feasibility Assistance match application ($15K — City of Wilmington 50% match program for A&amp;E feasibility work; application in process). Reserve ($5K).</t>
  </si>
  <si>
    <t>L.E.E.P. Workforce Development — CLT/SIP Construction Training Program</t>
  </si>
  <si>
    <t>CLT/SIP assembly training integration into L.E.E.P.'s existing workforce development program: curriculum development and materials ($20K). Two training cohorts, 15 participants each over 24 months — materials, instructor costs, safety certification, tools ($60K). Trainee stipends to reduce participation barriers for underserved community workers ($30K). L.E.E.P. program coordinator workforce track administration ($12K). All training delivered through L.E.E.P.'s established program infrastructure — no new institution-building required.</t>
  </si>
  <si>
    <t>Mid-Atlantic CLT/SIP Manufacturing Market Study</t>
  </si>
  <si>
    <t>Phase 1 regional demand analysis: CLT/SIP project pipeline, supply chain gap, I-95 corridor site identification ($35K). Phase 2 manufacturing facility pro forma and NMTC capital stack model ($75K). Industry advisory panel — 3 sessions ($18K). University research partnership MOU ($5K). Manufacturing entity legal structure analysis ($15K). EDA Build to Scale grant application ($13K).</t>
  </si>
  <si>
    <t>Technical Documentation, Design Guide &amp; IP Library</t>
  </si>
  <si>
    <t>CLT/SIP technical detail library expansion: multi-story variants, wider lot widths, roof configurations ($20K). Structural engineer EOR review of expanded library ($15K). Forward Housing Design Guide — illustrated guide for CDFIs, AHJ reviewers, replication partners, print and digital ($18K). OI Tool CLT/SIP unit price library expansion ($5K). Forward Housing trademark filing ($8K). Employer partnership development for workforce graduate placement ($10K). Outreach, community engagement, CDFI partner development, national conference presentation ($20,100).</t>
  </si>
  <si>
    <t>Program Evaluation, Contingency &amp; Reserve</t>
  </si>
  <si>
    <t>Third-party program evaluation — Year 2 ($18K): resident impact (utility cost reduction), construction cost savings, replication outcomes, CDFI underwriting adoption. Travel for replication site visits, state agency meetings, Enterprise peer learning ($14K). Program contingency reserve for unforeseen programmatic costs, scope changes, or additional AHJ requirements ($88K). Any unspent reserve returned to L.E.E.P. per grant agreement.</t>
  </si>
  <si>
    <t>Capital Expenses 
Please include construction costs, technology systems, land, equipment, etc.</t>
  </si>
  <si>
    <t>Description 
Describe the purpose/use for the capital expenses listed.</t>
  </si>
  <si>
    <t>Construction Cost Contribution — Forward Housing Site 2 (Partial Hard Cost)</t>
  </si>
  <si>
    <t>Partial construction hard cost subsidy for the second Forward Housing replication project. The Claymont Hybrid (Site 1) absorbs the current CLT/SIP freight premium as the demonstration investment — funded separately. Site 2 subsidy bridges the gap between actual CLT/SIP build cost and the $220,000–$250,000 target homeownership price point at ≤120% AMI. Subsidy required until regional CLT supply chain (manufacturing facility) eliminates the freight premium.</t>
  </si>
  <si>
    <t>Construction Cost Contribution — Forward Housing Site 3 (Partial Hard Cost)</t>
  </si>
  <si>
    <t>Reduced subsidy for Site 3 vs. Site 2 — reflecting system efficiencies, reduced permitting timeline (technical library complete), and initial regional CLT supply chain improvement. Same $220,000–$250,000 homeownership price target. Demonstrates the declining subsidy trajectory as the Forward Housing system matures toward self-sustainability.</t>
  </si>
  <si>
    <t>CLT/SIP Connection Hardware &amp; Prefabrication Tooling (Shared Capital Asset)</t>
  </si>
  <si>
    <t>Specialized connection hardware procurement and prefabrication tooling shared across Forward Housing replication sites 2–5. Custom bracket fabrication, installation tooling, MEP manifold prefabrication equipment. Reusable capital asset that reduces per-project hardware costs as the system scales. Critical to maintaining cost competitiveness during the period before a regional CLT factory is operational.</t>
  </si>
  <si>
    <t>Forward Housing Technology &amp; Program Equipment</t>
  </si>
  <si>
    <t>BIM software licenses (Revit, Bonsai) for replication site documentation, field coordination tools, permit tracking system, ALDDB integration for Forward Housing project closeouts, hardware for program coordinator workstation.</t>
  </si>
  <si>
    <t>Capital Reserve</t>
  </si>
  <si>
    <t>Reserve for construction cost escalation, site conditions on replication projects, additional AHJ requirements, or capital needs arising from Merge4Ward LLC formation. Any unspent reserve returned to L.E.E.P. per grant agreement.</t>
  </si>
  <si>
    <t xml:space="preserve">TOTAL BUDGET </t>
  </si>
  <si>
    <t>Innovation Budget: Additional Funding Sources and Uses
2027-2029</t>
  </si>
  <si>
    <t>Instructions: Please list all additional funding sources and uses (outside of Breakthrough Challenge funds) that are being leveraged for your innovation. Only additional funding sources and uses that have already been secured may be listed.</t>
  </si>
  <si>
    <t xml:space="preserve"> Additional Funding Sources
Include all grants, donations, contributions, loans/PRIs, fees for service, membership dues, etc.</t>
  </si>
  <si>
    <t>Amount</t>
  </si>
  <si>
    <t>Uses
Include construction/renovation, design, financing fees &amp; interest, engineering, fees for services, etc.</t>
  </si>
  <si>
    <t>Trevor Knight — Sweat Equity / In-Kind (0.20 FTE, 24 months)</t>
  </si>
  <si>
    <t>Forward Housing program direction beyond grant-funded FTE</t>
  </si>
  <si>
    <t>David Ainsworth AIA — Sweat Equity / In-Kind (0.20 FTE, 24 months)</t>
  </si>
  <si>
    <t>CLT/SIP technical development, AHJ coordination, IP library contribution</t>
  </si>
  <si>
    <t>Travis Davis — Sweat Equity / In-Kind (0.15 FTE, 24 months)</t>
  </si>
  <si>
    <t>Construction drawings, design guide, technical documentation</t>
  </si>
  <si>
    <t>Gwenevere Motley — Sweat Equity / In-Kind (0.10 FTE, 24 months)</t>
  </si>
  <si>
    <t>Community relationships, site control management, homebuyer outreach</t>
  </si>
  <si>
    <t>Aubyn Architecture LLC — AOR Services In-Kind (permit coordination)</t>
  </si>
  <si>
    <t>Licensed AOR services on Forward Housing permitted projects</t>
  </si>
  <si>
    <t>L.E.E.P., Inc. — Site Control &amp; Community Infrastructure In-Kind</t>
  </si>
  <si>
    <t>Existing site control on Claymont assemblage; community relationships and homebuyer network</t>
  </si>
  <si>
    <t>Total Sources</t>
  </si>
  <si>
    <t>Total Uses</t>
  </si>
  <si>
    <t>1. Building and Designing Sustainable Communities</t>
  </si>
  <si>
    <t>2. Equitable Transit Oriented Development</t>
  </si>
  <si>
    <t>3. Health &amp; Housing</t>
  </si>
  <si>
    <t>4. Affordable Housing Production and Preservation</t>
  </si>
  <si>
    <t>5. Organizational Sustainability</t>
  </si>
  <si>
    <t>6. Rural &amp; Native American: Building and Designing Sustainable Communities</t>
  </si>
  <si>
    <t>7. Rural &amp; Native American: Health &amp; Housing</t>
  </si>
  <si>
    <t>8. Rural &amp; Native American: Affordable Housing Production &amp; Preservation</t>
  </si>
  <si>
    <t>9. Rural &amp; Native American - Promoting Housing &amp; Resiliency in Communities of Opportunities</t>
  </si>
  <si>
    <t>10. Rural &amp; Native American - Multi-year Capacity Building</t>
  </si>
  <si>
    <t>11.Rural &amp; Native American - Native Homeownership</t>
  </si>
  <si>
    <t>Capital</t>
  </si>
  <si>
    <t>Capacity Building</t>
  </si>
  <si>
    <t>Foreclosure</t>
  </si>
  <si>
    <t>Collaborative/Pass Through</t>
  </si>
  <si>
    <t xml:space="preserve">Green </t>
  </si>
  <si>
    <t>Operating Support</t>
  </si>
  <si>
    <t>Housing Production</t>
  </si>
  <si>
    <t>Predevelopment</t>
  </si>
  <si>
    <t>Policy</t>
  </si>
  <si>
    <t>Training</t>
  </si>
  <si>
    <t>Preservation</t>
  </si>
  <si>
    <t>Rose Fellowship</t>
  </si>
  <si>
    <t>Rural</t>
  </si>
  <si>
    <t>Seniors</t>
  </si>
  <si>
    <t>Solutions</t>
  </si>
  <si>
    <t>Supportive Housing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</si>
</sst>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_);_(@_)"/>
    <numFmt numFmtId="165" formatCode="_(* #,##0_);_(* \(#,##0\);_(* \-_);_(@_)"/>
    <numFmt numFmtId="166" formatCode="_(\$* #,##0.00_);_(\$* \(#,##0.00\);_(\$* \-??_);_(@_)"/>
    <numFmt numFmtId="167" formatCode="_(\$* #,##0_);_(\$* \(#,##0\);_(\$* \-_);_(@_)"/>
    <numFmt numFmtId="168" formatCode="\$#,##0;&quot;($&quot;#,##0\);\-"/>
    <numFmt numFmtId="169" formatCode="0.0%"/>
    <numFmt numFmtId="170" formatCode="\$#,##0.00_);&quot;($&quot;#,##0.00\)"/>
    <numFmt numFmtId="171" formatCode="_([$$-409]* #,##0.00_);_([$$-409]* \(#,##0.00\);_([$$-409]* \-??_);_(@_)"/>
  </numFmts>
  <fonts count="23" x14ac:knownFonts="1">
    <font>
      <sz val="10"/>
      <name val="Arial"/>
      <charset val="1"/>
    </font>
    <font>
      <sz val="10"/>
      <name val="Arial"/>
      <family val="2"/>
      <charset val="1"/>
    </font>
    <font>
      <sz val="11"/>
      <color theme="1"/>
      <name val="Calibri"/>
      <family val="2"/>
      <charset val="1"/>
    </font>
    <font>
      <b/>
      <sz val="14"/>
      <color theme="1"/>
      <name val="Calibri"/>
      <family val="2"/>
      <charset val="1"/>
    </font>
    <font>
      <b/>
      <sz val="12"/>
      <color theme="1"/>
      <name val="Calibri"/>
      <family val="2"/>
      <charset val="1"/>
    </font>
    <font>
      <b/>
      <sz val="10"/>
      <name val="Arial"/>
      <charset val="1"/>
    </font>
    <font>
      <b/>
      <sz val="11"/>
      <color theme="1"/>
      <name val="Calibri"/>
      <family val="2"/>
      <charset val="1"/>
    </font>
    <font>
      <i/>
      <sz val="11"/>
      <color theme="1"/>
      <name val="Calibri"/>
      <family val="2"/>
      <charset val="1"/>
    </font>
    <font>
      <b/>
      <sz val="11"/>
      <color rgb="FF000000"/>
      <name val="Calibri"/>
      <family val="2"/>
      <charset val="1"/>
    </font>
    <font>
      <sz val="10"/>
      <color rgb="FF000000"/>
      <name val="Arial"/>
      <charset val="1"/>
    </font>
    <font>
      <i/>
      <sz val="10"/>
      <color rgb="FF000000"/>
      <name val="Arial"/>
      <charset val="1"/>
    </font>
    <font>
      <sz val="9"/>
      <color theme="1"/>
      <name val="Calibri"/>
      <family val="2"/>
      <charset val="1"/>
    </font>
    <font>
      <b/>
      <sz val="11"/>
      <name val="Calibri"/>
      <family val="2"/>
      <charset val="1"/>
    </font>
    <font>
      <sz val="11"/>
      <name val="Calibri"/>
      <family val="2"/>
      <charset val="1"/>
    </font>
    <font>
      <sz val="9"/>
      <color rgb="FFFF0000"/>
      <name val="Calibri"/>
      <family val="2"/>
      <charset val="1"/>
    </font>
    <font>
      <sz val="11"/>
      <color rgb="FFFF0000"/>
      <name val="Calibri"/>
      <family val="2"/>
      <charset val="1"/>
    </font>
    <font>
      <b/>
      <sz val="9"/>
      <color theme="1"/>
      <name val="Calibri"/>
      <family val="2"/>
      <charset val="1"/>
    </font>
    <font>
      <sz val="10"/>
      <name val="Calibri"/>
      <family val="2"/>
      <charset val="1"/>
    </font>
    <font>
      <b/>
      <sz val="14"/>
      <name val="Calibri"/>
      <family val="2"/>
      <charset val="1"/>
    </font>
    <font>
      <b/>
      <sz val="18"/>
      <name val="Calibri"/>
      <family val="2"/>
      <charset val="1"/>
    </font>
    <font>
      <b/>
      <sz val="18"/>
      <color theme="1"/>
      <name val="Calibri"/>
      <family val="2"/>
      <charset val="1"/>
    </font>
    <font>
      <sz val="14"/>
      <name val="Calibri"/>
      <family val="2"/>
      <charset val="1"/>
    </font>
    <font>
      <sz val="10"/>
      <color rgb="FF000000"/>
      <name val="Arial"/>
      <family val="2"/>
      <charset val="1"/>
    </font>
  </fonts>
  <fills count="4">
    <fill>
      <patternFill patternType="none"/>
    </fill>
    <fill>
      <patternFill patternType="gray125"/>
    </fill>
    <fill>
      <patternFill patternType="solid">
        <fgColor theme="3" tint="0.79989013336588644"/>
        <bgColor rgb="FFC0C0C0"/>
      </patternFill>
    </fill>
    <fill>
      <patternFill patternType="solid">
        <fgColor theme="2"/>
        <bgColor rgb="FFFFFFFF"/>
      </patternFill>
    </fill>
  </fills>
  <borders count="13">
    <border>
      <left/>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auto="1"/>
      </left>
      <right style="thin">
        <color auto="1"/>
      </right>
      <top style="thin">
        <color auto="1"/>
      </top>
      <bottom style="thin">
        <color auto="1"/>
      </bottom>
      <diagonal/>
    </border>
  </borders>
  <cellStyleXfs count="15">
    <xf numFmtId="0" fontId="0" fillId="0" borderId="0"/>
    <xf numFmtId="166" fontId="1" fillId="0" borderId="0"/>
    <xf numFmtId="164" fontId="1" fillId="0" borderId="0"/>
    <xf numFmtId="164" fontId="1" fillId="0" borderId="0"/>
    <xf numFmtId="164" fontId="2" fillId="0" borderId="0"/>
    <xf numFmtId="165" fontId="1" fillId="0" borderId="0"/>
    <xf numFmtId="166" fontId="1" fillId="0" borderId="0"/>
    <xf numFmtId="166" fontId="1" fillId="0" borderId="0"/>
    <xf numFmtId="166" fontId="2" fillId="0" borderId="0"/>
    <xf numFmtId="167" fontId="1" fillId="0" borderId="0"/>
    <xf numFmtId="0" fontId="1" fillId="0" borderId="0">
      <alignment vertical="center"/>
    </xf>
    <xf numFmtId="0" fontId="1" fillId="0" borderId="0"/>
    <xf numFmtId="0" fontId="2" fillId="0" borderId="0"/>
    <xf numFmtId="0" fontId="2" fillId="0" borderId="0"/>
    <xf numFmtId="9" fontId="1" fillId="0" borderId="0"/>
  </cellStyleXfs>
  <cellXfs count="83">
    <xf numFmtId="0" fontId="0" fillId="0" borderId="0" xfId="0"/>
    <xf numFmtId="0" fontId="4" fillId="0" borderId="0" xfId="0" applyFont="1" applyAlignment="1">
      <alignment horizontal="left" vertical="top" wrapText="1"/>
    </xf>
    <xf numFmtId="0" fontId="18" fillId="0" borderId="0" xfId="0" applyFont="1" applyAlignment="1">
      <alignment horizontal="center" vertical="center" wrapText="1"/>
    </xf>
    <xf numFmtId="0" fontId="7" fillId="0" borderId="1" xfId="13" applyFont="1" applyBorder="1" applyAlignment="1">
      <alignment horizontal="left" vertical="top"/>
    </xf>
    <xf numFmtId="0" fontId="6" fillId="0" borderId="0" xfId="13" applyFont="1" applyAlignment="1">
      <alignment horizontal="left" vertical="top"/>
    </xf>
    <xf numFmtId="0" fontId="5" fillId="0" borderId="0" xfId="13" applyFont="1" applyAlignment="1">
      <alignment horizontal="left" vertical="top"/>
    </xf>
    <xf numFmtId="0" fontId="4" fillId="0" borderId="0" xfId="13" applyFont="1" applyAlignment="1">
      <alignment horizontal="left" wrapText="1"/>
    </xf>
    <xf numFmtId="0" fontId="3" fillId="0" borderId="0" xfId="13" applyFont="1" applyAlignment="1">
      <alignment horizontal="center" wrapText="1"/>
    </xf>
    <xf numFmtId="0" fontId="2" fillId="0" borderId="0" xfId="13"/>
    <xf numFmtId="0" fontId="8" fillId="2" borderId="2" xfId="13" applyFont="1" applyFill="1" applyBorder="1" applyAlignment="1">
      <alignment vertical="center" wrapText="1"/>
    </xf>
    <xf numFmtId="0" fontId="6" fillId="2" borderId="3" xfId="13" applyFont="1" applyFill="1" applyBorder="1" applyAlignment="1">
      <alignment horizontal="center" vertical="center"/>
    </xf>
    <xf numFmtId="0" fontId="8" fillId="2" borderId="4" xfId="13" applyFont="1" applyFill="1" applyBorder="1" applyAlignment="1">
      <alignment horizontal="center" vertical="center" wrapText="1"/>
    </xf>
    <xf numFmtId="0" fontId="9" fillId="0" borderId="5" xfId="13" applyFont="1" applyBorder="1" applyAlignment="1">
      <alignment vertical="top" wrapText="1"/>
    </xf>
    <xf numFmtId="168" fontId="9" fillId="0" borderId="0" xfId="8" applyNumberFormat="1" applyFont="1"/>
    <xf numFmtId="0" fontId="10" fillId="0" borderId="6" xfId="13" applyFont="1" applyBorder="1" applyAlignment="1">
      <alignment vertical="top" wrapText="1"/>
    </xf>
    <xf numFmtId="168" fontId="9" fillId="0" borderId="0" xfId="13" applyNumberFormat="1" applyFont="1"/>
    <xf numFmtId="0" fontId="6" fillId="0" borderId="7" xfId="13" applyFont="1" applyBorder="1" applyAlignment="1">
      <alignment horizontal="right"/>
    </xf>
    <xf numFmtId="166" fontId="2" fillId="0" borderId="8" xfId="13" applyNumberFormat="1" applyBorder="1"/>
    <xf numFmtId="0" fontId="2" fillId="0" borderId="9" xfId="13" applyBorder="1"/>
    <xf numFmtId="0" fontId="2" fillId="3" borderId="5" xfId="13" applyFill="1" applyBorder="1"/>
    <xf numFmtId="0" fontId="2" fillId="3" borderId="0" xfId="13" applyFill="1"/>
    <xf numFmtId="0" fontId="2" fillId="3" borderId="6" xfId="13" applyFill="1" applyBorder="1"/>
    <xf numFmtId="0" fontId="6" fillId="2" borderId="2" xfId="13" applyFont="1" applyFill="1" applyBorder="1"/>
    <xf numFmtId="0" fontId="6" fillId="2" borderId="4" xfId="13" applyFont="1" applyFill="1" applyBorder="1" applyAlignment="1">
      <alignment horizontal="center" vertical="center"/>
    </xf>
    <xf numFmtId="0" fontId="9" fillId="0" borderId="5" xfId="13" applyFont="1" applyBorder="1"/>
    <xf numFmtId="169" fontId="9" fillId="0" borderId="0" xfId="13" applyNumberFormat="1" applyFont="1"/>
    <xf numFmtId="0" fontId="2" fillId="3" borderId="7" xfId="13" applyFill="1" applyBorder="1"/>
    <xf numFmtId="0" fontId="2" fillId="3" borderId="1" xfId="13" applyFill="1" applyBorder="1"/>
    <xf numFmtId="0" fontId="2" fillId="3" borderId="10" xfId="13" applyFill="1" applyBorder="1"/>
    <xf numFmtId="0" fontId="8" fillId="2" borderId="5" xfId="13" applyFont="1" applyFill="1" applyBorder="1" applyAlignment="1">
      <alignment vertical="center" wrapText="1"/>
    </xf>
    <xf numFmtId="0" fontId="2" fillId="2" borderId="0" xfId="13" applyFill="1"/>
    <xf numFmtId="0" fontId="11" fillId="2" borderId="6" xfId="13" applyFont="1" applyFill="1" applyBorder="1" applyAlignment="1">
      <alignment horizontal="center" vertical="center"/>
    </xf>
    <xf numFmtId="0" fontId="9" fillId="0" borderId="5" xfId="13" applyFont="1" applyBorder="1" applyAlignment="1">
      <alignment vertical="center" wrapText="1"/>
    </xf>
    <xf numFmtId="0" fontId="12" fillId="0" borderId="7" xfId="13" applyFont="1" applyBorder="1" applyAlignment="1">
      <alignment horizontal="right" vertical="center" wrapText="1"/>
    </xf>
    <xf numFmtId="166" fontId="13" fillId="0" borderId="8" xfId="13" applyNumberFormat="1" applyFont="1" applyBorder="1"/>
    <xf numFmtId="0" fontId="14" fillId="0" borderId="9" xfId="13" applyFont="1" applyBorder="1" applyAlignment="1">
      <alignment horizontal="center" vertical="center"/>
    </xf>
    <xf numFmtId="0" fontId="15" fillId="0" borderId="0" xfId="13" applyFont="1"/>
    <xf numFmtId="0" fontId="2" fillId="3" borderId="8" xfId="13" applyFill="1" applyBorder="1"/>
    <xf numFmtId="0" fontId="2" fillId="3" borderId="9" xfId="13" applyFill="1" applyBorder="1"/>
    <xf numFmtId="0" fontId="2" fillId="2" borderId="2" xfId="13" applyFill="1" applyBorder="1" applyAlignment="1">
      <alignment vertical="center" wrapText="1"/>
    </xf>
    <xf numFmtId="0" fontId="8" fillId="2" borderId="4" xfId="13" applyFont="1" applyFill="1" applyBorder="1" applyAlignment="1">
      <alignment horizontal="center" wrapText="1"/>
    </xf>
    <xf numFmtId="168" fontId="9" fillId="0" borderId="0" xfId="4" applyNumberFormat="1" applyFont="1"/>
    <xf numFmtId="166" fontId="9" fillId="0" borderId="5" xfId="13" applyNumberFormat="1" applyFont="1" applyBorder="1" applyAlignment="1">
      <alignment vertical="top" wrapText="1"/>
    </xf>
    <xf numFmtId="166" fontId="6" fillId="0" borderId="11" xfId="13" applyNumberFormat="1" applyFont="1" applyBorder="1" applyAlignment="1">
      <alignment horizontal="right"/>
    </xf>
    <xf numFmtId="166" fontId="2" fillId="0" borderId="1" xfId="13" applyNumberFormat="1" applyBorder="1"/>
    <xf numFmtId="0" fontId="2" fillId="0" borderId="10" xfId="13" applyBorder="1"/>
    <xf numFmtId="0" fontId="2" fillId="0" borderId="5" xfId="13" applyBorder="1"/>
    <xf numFmtId="0" fontId="6" fillId="2" borderId="3" xfId="13" applyFont="1" applyFill="1" applyBorder="1" applyAlignment="1">
      <alignment horizontal="center" vertical="center" wrapText="1"/>
    </xf>
    <xf numFmtId="168" fontId="9" fillId="0" borderId="0" xfId="4" applyNumberFormat="1" applyFont="1" applyAlignment="1">
      <alignment wrapText="1"/>
    </xf>
    <xf numFmtId="0" fontId="2" fillId="0" borderId="0" xfId="13" applyAlignment="1">
      <alignment wrapText="1"/>
    </xf>
    <xf numFmtId="168" fontId="9" fillId="0" borderId="0" xfId="13" applyNumberFormat="1" applyFont="1" applyAlignment="1">
      <alignment wrapText="1"/>
    </xf>
    <xf numFmtId="0" fontId="6" fillId="0" borderId="7" xfId="13" applyFont="1" applyBorder="1" applyAlignment="1">
      <alignment horizontal="right" wrapText="1"/>
    </xf>
    <xf numFmtId="166" fontId="2" fillId="0" borderId="8" xfId="13" applyNumberFormat="1" applyBorder="1" applyAlignment="1">
      <alignment wrapText="1"/>
    </xf>
    <xf numFmtId="0" fontId="2" fillId="0" borderId="9" xfId="13" applyBorder="1" applyAlignment="1">
      <alignment wrapText="1"/>
    </xf>
    <xf numFmtId="0" fontId="2" fillId="3" borderId="7" xfId="13" applyFill="1" applyBorder="1" applyAlignment="1">
      <alignment wrapText="1"/>
    </xf>
    <xf numFmtId="0" fontId="2" fillId="3" borderId="1" xfId="13" applyFill="1" applyBorder="1" applyAlignment="1">
      <alignment wrapText="1"/>
    </xf>
    <xf numFmtId="0" fontId="2" fillId="3" borderId="9" xfId="13" applyFill="1" applyBorder="1" applyAlignment="1">
      <alignment wrapText="1"/>
    </xf>
    <xf numFmtId="166" fontId="0" fillId="0" borderId="0" xfId="8" applyFont="1"/>
    <xf numFmtId="0" fontId="6" fillId="0" borderId="11" xfId="13" applyFont="1" applyBorder="1" applyAlignment="1">
      <alignment horizontal="right" vertical="center" wrapText="1"/>
    </xf>
    <xf numFmtId="166" fontId="13" fillId="0" borderId="1" xfId="4" applyNumberFormat="1" applyFont="1" applyBorder="1" applyAlignment="1">
      <alignment wrapText="1"/>
    </xf>
    <xf numFmtId="0" fontId="16" fillId="0" borderId="10" xfId="13" applyFont="1" applyBorder="1" applyAlignment="1">
      <alignment wrapText="1"/>
    </xf>
    <xf numFmtId="166" fontId="2" fillId="0" borderId="0" xfId="13" applyNumberFormat="1"/>
    <xf numFmtId="0" fontId="17" fillId="0" borderId="0" xfId="0" applyFont="1" applyAlignment="1">
      <alignment horizontal="left"/>
    </xf>
    <xf numFmtId="0" fontId="17" fillId="0" borderId="0" xfId="0" applyFont="1"/>
    <xf numFmtId="0" fontId="19" fillId="0" borderId="0" xfId="0" applyFont="1" applyAlignment="1">
      <alignment horizontal="left"/>
    </xf>
    <xf numFmtId="0" fontId="20" fillId="0" borderId="0" xfId="0" applyFont="1" applyAlignment="1">
      <alignment horizontal="left"/>
    </xf>
    <xf numFmtId="170" fontId="12" fillId="0" borderId="12" xfId="0" applyNumberFormat="1" applyFont="1" applyBorder="1" applyAlignment="1">
      <alignment horizontal="center" vertical="center" wrapText="1"/>
    </xf>
    <xf numFmtId="0" fontId="6" fillId="0" borderId="12" xfId="0" applyFont="1" applyBorder="1" applyAlignment="1">
      <alignment horizontal="center" vertical="center"/>
    </xf>
    <xf numFmtId="0" fontId="3" fillId="0" borderId="12" xfId="0" applyFont="1" applyBorder="1" applyAlignment="1">
      <alignment horizontal="center" vertical="center" wrapText="1"/>
    </xf>
    <xf numFmtId="0" fontId="9" fillId="0" borderId="12" xfId="0" applyFont="1" applyBorder="1" applyAlignment="1">
      <alignment vertical="top" wrapText="1"/>
    </xf>
    <xf numFmtId="168" fontId="9" fillId="0" borderId="12" xfId="0" applyNumberFormat="1" applyFont="1" applyBorder="1"/>
    <xf numFmtId="168" fontId="9" fillId="0" borderId="12" xfId="1" applyNumberFormat="1" applyFont="1" applyBorder="1"/>
    <xf numFmtId="0" fontId="9" fillId="2" borderId="12" xfId="0" applyFont="1" applyFill="1" applyBorder="1" applyAlignment="1">
      <alignment vertical="top" wrapText="1"/>
    </xf>
    <xf numFmtId="168" fontId="9" fillId="2" borderId="12" xfId="0" applyNumberFormat="1" applyFont="1" applyFill="1" applyBorder="1"/>
    <xf numFmtId="168" fontId="9" fillId="2" borderId="12" xfId="1" applyNumberFormat="1" applyFont="1" applyFill="1" applyBorder="1"/>
    <xf numFmtId="0" fontId="21" fillId="0" borderId="0" xfId="0" applyFont="1" applyAlignment="1">
      <alignment horizontal="left"/>
    </xf>
    <xf numFmtId="0" fontId="6" fillId="0" borderId="12" xfId="0" applyFont="1" applyBorder="1" applyAlignment="1">
      <alignment horizontal="right"/>
    </xf>
    <xf numFmtId="171" fontId="13" fillId="0" borderId="12" xfId="0" applyNumberFormat="1" applyFont="1" applyBorder="1"/>
    <xf numFmtId="166" fontId="6" fillId="0" borderId="12" xfId="0" applyNumberFormat="1" applyFont="1" applyBorder="1" applyAlignment="1">
      <alignment horizontal="right"/>
    </xf>
    <xf numFmtId="166" fontId="13" fillId="0" borderId="12" xfId="1" applyFont="1" applyBorder="1"/>
    <xf numFmtId="0" fontId="21" fillId="0" borderId="0" xfId="0" applyFont="1"/>
    <xf numFmtId="0" fontId="13" fillId="0" borderId="0" xfId="0" applyFont="1"/>
    <xf numFmtId="0" fontId="22" fillId="0" borderId="0" xfId="0" applyFont="1" applyAlignment="1">
      <alignment wrapText="1"/>
    </xf>
  </cellXfs>
  <cellStyles count="15">
    <cellStyle name="Comma [0] 2" xfId="5" xr:uid="{00000000-0005-0000-0000-000009000000}"/>
    <cellStyle name="Comma 2" xfId="2" xr:uid="{00000000-0005-0000-0000-000006000000}"/>
    <cellStyle name="Comma 3" xfId="3" xr:uid="{00000000-0005-0000-0000-000007000000}"/>
    <cellStyle name="Comma 4" xfId="4" xr:uid="{00000000-0005-0000-0000-000008000000}"/>
    <cellStyle name="Currency" xfId="1" builtinId="4"/>
    <cellStyle name="Currency [0] 2" xfId="9" xr:uid="{00000000-0005-0000-0000-00000D000000}"/>
    <cellStyle name="Currency 2" xfId="6" xr:uid="{00000000-0005-0000-0000-00000A000000}"/>
    <cellStyle name="Currency 3" xfId="7" xr:uid="{00000000-0005-0000-0000-00000B000000}"/>
    <cellStyle name="Currency 4" xfId="8" xr:uid="{00000000-0005-0000-0000-00000C000000}"/>
    <cellStyle name="Normal" xfId="0" builtinId="0"/>
    <cellStyle name="Normal 2" xfId="10" xr:uid="{00000000-0005-0000-0000-00000E000000}"/>
    <cellStyle name="Normal 3" xfId="11" xr:uid="{00000000-0005-0000-0000-00000F000000}"/>
    <cellStyle name="Normal 4" xfId="12" xr:uid="{00000000-0005-0000-0000-000010000000}"/>
    <cellStyle name="Normal 5" xfId="13" xr:uid="{00000000-0005-0000-0000-000011000000}"/>
    <cellStyle name="Percent 2" xfId="14" xr:uid="{00000000-0005-0000-0000-00001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45"/>
  <sheetViews>
    <sheetView tabSelected="1" zoomScale="110" zoomScaleNormal="110" workbookViewId="0">
      <selection activeCell="G7" sqref="G7"/>
    </sheetView>
  </sheetViews>
  <sheetFormatPr defaultColWidth="9.140625" defaultRowHeight="15" x14ac:dyDescent="0.25"/>
  <cols>
    <col min="1" max="1" width="10.7109375" style="8" customWidth="1"/>
    <col min="2" max="2" width="44" style="8" customWidth="1"/>
    <col min="3" max="3" width="17.7109375" style="8" customWidth="1"/>
    <col min="4" max="4" width="67.7109375" style="8" customWidth="1"/>
    <col min="5" max="5" width="10.7109375" style="8" customWidth="1"/>
    <col min="6" max="6" width="4" style="8" customWidth="1"/>
    <col min="7" max="16384" width="9.140625" style="8"/>
  </cols>
  <sheetData>
    <row r="1" spans="2:4" ht="15" customHeight="1" x14ac:dyDescent="0.25">
      <c r="B1" s="7" t="s">
        <v>0</v>
      </c>
      <c r="C1" s="7"/>
      <c r="D1" s="7"/>
    </row>
    <row r="2" spans="2:4" ht="29.25" customHeight="1" x14ac:dyDescent="0.25">
      <c r="B2" s="7"/>
      <c r="C2" s="7"/>
      <c r="D2" s="7"/>
    </row>
    <row r="3" spans="2:4" ht="29.25" customHeight="1" x14ac:dyDescent="0.25">
      <c r="B3" s="6" t="s">
        <v>1</v>
      </c>
      <c r="C3" s="6"/>
      <c r="D3" s="6"/>
    </row>
    <row r="4" spans="2:4" x14ac:dyDescent="0.25">
      <c r="B4" s="5" t="s">
        <v>2</v>
      </c>
      <c r="C4" s="4" t="s">
        <v>3</v>
      </c>
      <c r="D4" s="4"/>
    </row>
    <row r="5" spans="2:4" x14ac:dyDescent="0.25">
      <c r="B5" s="5"/>
      <c r="C5" s="5"/>
      <c r="D5" s="4"/>
    </row>
    <row r="6" spans="2:4" ht="15.75" customHeight="1" x14ac:dyDescent="0.25">
      <c r="B6" s="3" t="s">
        <v>4</v>
      </c>
      <c r="C6" s="3"/>
      <c r="D6" s="3"/>
    </row>
    <row r="7" spans="2:4" ht="45" customHeight="1" x14ac:dyDescent="0.25">
      <c r="B7" s="9" t="s">
        <v>5</v>
      </c>
      <c r="C7" s="10" t="s">
        <v>6</v>
      </c>
      <c r="D7" s="11" t="s">
        <v>7</v>
      </c>
    </row>
    <row r="8" spans="2:4" ht="75" customHeight="1" x14ac:dyDescent="0.25">
      <c r="B8" s="12" t="s">
        <v>8</v>
      </c>
      <c r="C8" s="13">
        <v>52000</v>
      </c>
      <c r="D8" s="14" t="s">
        <v>9</v>
      </c>
    </row>
    <row r="9" spans="2:4" ht="75" customHeight="1" x14ac:dyDescent="0.25">
      <c r="B9" s="12" t="s">
        <v>10</v>
      </c>
      <c r="C9" s="13">
        <v>32500</v>
      </c>
      <c r="D9" s="14" t="s">
        <v>11</v>
      </c>
    </row>
    <row r="10" spans="2:4" ht="54.95" customHeight="1" x14ac:dyDescent="0.25">
      <c r="B10" s="12" t="s">
        <v>12</v>
      </c>
      <c r="C10" s="13">
        <v>46500</v>
      </c>
      <c r="D10" s="14" t="s">
        <v>13</v>
      </c>
    </row>
    <row r="11" spans="2:4" ht="54.95" customHeight="1" x14ac:dyDescent="0.25">
      <c r="B11" s="12" t="s">
        <v>14</v>
      </c>
      <c r="C11" s="13">
        <v>52000</v>
      </c>
      <c r="D11" s="14" t="s">
        <v>15</v>
      </c>
    </row>
    <row r="12" spans="2:4" ht="54.95" customHeight="1" x14ac:dyDescent="0.25">
      <c r="B12" s="12" t="s">
        <v>16</v>
      </c>
      <c r="C12" s="15">
        <v>72000</v>
      </c>
      <c r="D12" s="14" t="s">
        <v>17</v>
      </c>
    </row>
    <row r="13" spans="2:4" ht="15.75" customHeight="1" x14ac:dyDescent="0.25">
      <c r="B13" s="16" t="s">
        <v>18</v>
      </c>
      <c r="C13" s="17">
        <f>SUM(C8:C12)</f>
        <v>255000</v>
      </c>
      <c r="D13" s="18"/>
    </row>
    <row r="14" spans="2:4" ht="15.75" customHeight="1" x14ac:dyDescent="0.25">
      <c r="B14" s="19"/>
      <c r="C14" s="20"/>
      <c r="D14" s="21"/>
    </row>
    <row r="15" spans="2:4" x14ac:dyDescent="0.25">
      <c r="B15" s="22" t="s">
        <v>19</v>
      </c>
      <c r="C15" s="10" t="s">
        <v>20</v>
      </c>
      <c r="D15" s="23" t="s">
        <v>21</v>
      </c>
    </row>
    <row r="16" spans="2:4" ht="15.75" customHeight="1" x14ac:dyDescent="0.25">
      <c r="B16" s="24" t="s">
        <v>22</v>
      </c>
      <c r="C16" s="25">
        <v>0.18</v>
      </c>
      <c r="D16" s="14" t="s">
        <v>23</v>
      </c>
    </row>
    <row r="17" spans="2:5" ht="15.75" customHeight="1" x14ac:dyDescent="0.25">
      <c r="B17" s="16" t="s">
        <v>18</v>
      </c>
      <c r="C17" s="17">
        <f>C13*C16</f>
        <v>45900</v>
      </c>
      <c r="D17" s="18"/>
    </row>
    <row r="18" spans="2:5" ht="15.75" customHeight="1" x14ac:dyDescent="0.25">
      <c r="B18" s="26"/>
      <c r="C18" s="27"/>
      <c r="D18" s="28"/>
    </row>
    <row r="19" spans="2:5" ht="45" customHeight="1" x14ac:dyDescent="0.25">
      <c r="B19" s="29" t="s">
        <v>24</v>
      </c>
      <c r="C19" s="30"/>
      <c r="D19" s="31"/>
    </row>
    <row r="20" spans="2:5" ht="54.95" customHeight="1" x14ac:dyDescent="0.25">
      <c r="B20" s="32" t="s">
        <v>25</v>
      </c>
      <c r="C20" s="15">
        <v>80000</v>
      </c>
      <c r="D20" s="14" t="s">
        <v>26</v>
      </c>
    </row>
    <row r="21" spans="2:5" s="36" customFormat="1" ht="15.75" customHeight="1" x14ac:dyDescent="0.25">
      <c r="B21" s="33" t="s">
        <v>18</v>
      </c>
      <c r="C21" s="34">
        <f>SUM(C20)</f>
        <v>80000</v>
      </c>
      <c r="D21" s="35"/>
    </row>
    <row r="22" spans="2:5" ht="15.75" customHeight="1" x14ac:dyDescent="0.25">
      <c r="B22" s="26"/>
      <c r="C22" s="37"/>
      <c r="D22" s="38"/>
    </row>
    <row r="23" spans="2:5" ht="60" customHeight="1" x14ac:dyDescent="0.25">
      <c r="B23" s="39" t="s">
        <v>27</v>
      </c>
      <c r="C23" s="10" t="s">
        <v>6</v>
      </c>
      <c r="D23" s="40" t="s">
        <v>28</v>
      </c>
    </row>
    <row r="24" spans="2:5" ht="90" customHeight="1" x14ac:dyDescent="0.25">
      <c r="B24" s="12" t="s">
        <v>29</v>
      </c>
      <c r="C24" s="41">
        <v>370000</v>
      </c>
      <c r="D24" s="14" t="s">
        <v>30</v>
      </c>
    </row>
    <row r="25" spans="2:5" ht="90" customHeight="1" x14ac:dyDescent="0.25">
      <c r="B25" s="12" t="s">
        <v>31</v>
      </c>
      <c r="C25" s="41">
        <v>122000</v>
      </c>
      <c r="D25" s="14" t="s">
        <v>32</v>
      </c>
    </row>
    <row r="26" spans="2:5" ht="69.95" customHeight="1" x14ac:dyDescent="0.25">
      <c r="B26" s="12" t="s">
        <v>33</v>
      </c>
      <c r="C26" s="41">
        <v>161000</v>
      </c>
      <c r="D26" s="14" t="s">
        <v>34</v>
      </c>
    </row>
    <row r="27" spans="2:5" ht="90" customHeight="1" x14ac:dyDescent="0.25">
      <c r="B27" s="12" t="s">
        <v>35</v>
      </c>
      <c r="C27" s="41">
        <v>96100</v>
      </c>
      <c r="D27" s="14" t="s">
        <v>36</v>
      </c>
    </row>
    <row r="28" spans="2:5" ht="80.099999999999994" customHeight="1" x14ac:dyDescent="0.25">
      <c r="B28" s="42" t="s">
        <v>37</v>
      </c>
      <c r="C28" s="41">
        <v>120000</v>
      </c>
      <c r="D28" s="14" t="s">
        <v>38</v>
      </c>
    </row>
    <row r="29" spans="2:5" ht="15.75" customHeight="1" x14ac:dyDescent="0.25">
      <c r="B29" s="43" t="s">
        <v>18</v>
      </c>
      <c r="C29" s="44">
        <f>SUM(C24:C28)</f>
        <v>869100</v>
      </c>
      <c r="D29" s="45"/>
    </row>
    <row r="30" spans="2:5" ht="15.75" customHeight="1" x14ac:dyDescent="0.25">
      <c r="B30" s="20"/>
      <c r="C30" s="20"/>
      <c r="D30" s="20"/>
      <c r="E30" s="46"/>
    </row>
    <row r="31" spans="2:5" ht="45" customHeight="1" x14ac:dyDescent="0.25">
      <c r="B31" s="39" t="s">
        <v>39</v>
      </c>
      <c r="C31" s="47" t="s">
        <v>6</v>
      </c>
      <c r="D31" s="11" t="s">
        <v>40</v>
      </c>
    </row>
    <row r="32" spans="2:5" ht="90" customHeight="1" x14ac:dyDescent="0.25">
      <c r="B32" s="12" t="s">
        <v>41</v>
      </c>
      <c r="C32" s="48">
        <v>300000</v>
      </c>
      <c r="D32" s="14" t="s">
        <v>42</v>
      </c>
      <c r="E32" s="49"/>
    </row>
    <row r="33" spans="2:6" ht="69.95" customHeight="1" x14ac:dyDescent="0.25">
      <c r="B33" s="12" t="s">
        <v>43</v>
      </c>
      <c r="C33" s="48">
        <v>225000</v>
      </c>
      <c r="D33" s="14" t="s">
        <v>44</v>
      </c>
    </row>
    <row r="34" spans="2:6" ht="80.099999999999994" customHeight="1" x14ac:dyDescent="0.25">
      <c r="B34" s="12" t="s">
        <v>45</v>
      </c>
      <c r="C34" s="50">
        <v>75000</v>
      </c>
      <c r="D34" s="14" t="s">
        <v>46</v>
      </c>
    </row>
    <row r="35" spans="2:6" ht="50.1" customHeight="1" x14ac:dyDescent="0.25">
      <c r="B35" s="12" t="s">
        <v>47</v>
      </c>
      <c r="C35" s="50">
        <v>25000</v>
      </c>
      <c r="D35" s="14" t="s">
        <v>48</v>
      </c>
    </row>
    <row r="36" spans="2:6" ht="50.1" customHeight="1" x14ac:dyDescent="0.25">
      <c r="B36" s="12" t="s">
        <v>49</v>
      </c>
      <c r="C36" s="50">
        <v>125000</v>
      </c>
      <c r="D36" s="14" t="s">
        <v>50</v>
      </c>
    </row>
    <row r="37" spans="2:6" ht="15.75" customHeight="1" x14ac:dyDescent="0.25">
      <c r="B37" s="51" t="s">
        <v>18</v>
      </c>
      <c r="C37" s="52">
        <f>SUM(C32:C36)</f>
        <v>750000</v>
      </c>
      <c r="D37" s="53"/>
    </row>
    <row r="38" spans="2:6" ht="15.75" customHeight="1" x14ac:dyDescent="0.25">
      <c r="B38" s="54"/>
      <c r="C38" s="55"/>
      <c r="D38" s="56"/>
      <c r="F38" s="57"/>
    </row>
    <row r="39" spans="2:6" ht="15.75" customHeight="1" x14ac:dyDescent="0.25">
      <c r="B39" s="58" t="s">
        <v>51</v>
      </c>
      <c r="C39" s="59">
        <f>SUM(C13+C17+C21+C29+C37)</f>
        <v>2000000</v>
      </c>
      <c r="D39" s="60"/>
      <c r="F39" s="57"/>
    </row>
    <row r="40" spans="2:6" x14ac:dyDescent="0.25">
      <c r="F40" s="57"/>
    </row>
    <row r="41" spans="2:6" x14ac:dyDescent="0.25">
      <c r="F41" s="57"/>
    </row>
    <row r="42" spans="2:6" x14ac:dyDescent="0.25">
      <c r="F42" s="57"/>
    </row>
    <row r="43" spans="2:6" x14ac:dyDescent="0.25">
      <c r="F43" s="61"/>
    </row>
    <row r="44" spans="2:6" x14ac:dyDescent="0.25">
      <c r="F44" s="61"/>
    </row>
    <row r="45" spans="2:6" x14ac:dyDescent="0.25">
      <c r="F45" s="61"/>
    </row>
  </sheetData>
  <mergeCells count="5">
    <mergeCell ref="B1:D2"/>
    <mergeCell ref="B3:D3"/>
    <mergeCell ref="B4:B5"/>
    <mergeCell ref="C4:D5"/>
    <mergeCell ref="B6:D6"/>
  </mergeCells>
  <pageMargins left="0.7" right="0.7" top="0.75" bottom="0.75" header="0.511811023622047" footer="0.511811023622047"/>
  <pageSetup scale="61"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zoomScale="110" zoomScaleNormal="110" workbookViewId="0">
      <selection activeCell="B5" sqref="B5"/>
    </sheetView>
  </sheetViews>
  <sheetFormatPr defaultColWidth="9.140625" defaultRowHeight="12.75" x14ac:dyDescent="0.2"/>
  <cols>
    <col min="1" max="1" width="3" style="62" customWidth="1"/>
    <col min="2" max="2" width="38" style="63" customWidth="1"/>
    <col min="3" max="3" width="16" style="63" customWidth="1"/>
    <col min="4" max="4" width="38" style="63" customWidth="1"/>
    <col min="5" max="5" width="16" style="63" customWidth="1"/>
    <col min="6" max="16384" width="9.140625" style="63"/>
  </cols>
  <sheetData>
    <row r="1" spans="1:5" ht="22.5" customHeight="1" x14ac:dyDescent="0.35">
      <c r="A1" s="2" t="s">
        <v>52</v>
      </c>
      <c r="B1" s="2"/>
      <c r="C1" s="2"/>
      <c r="D1" s="2"/>
      <c r="E1" s="64"/>
    </row>
    <row r="2" spans="1:5" ht="22.5" customHeight="1" x14ac:dyDescent="0.35">
      <c r="A2" s="2"/>
      <c r="B2" s="2"/>
      <c r="C2" s="2"/>
      <c r="D2" s="2"/>
      <c r="E2" s="65"/>
    </row>
    <row r="3" spans="1:5" ht="44.25" customHeight="1" x14ac:dyDescent="0.35">
      <c r="A3" s="1" t="s">
        <v>53</v>
      </c>
      <c r="B3" s="1"/>
      <c r="C3" s="1"/>
      <c r="D3" s="1"/>
      <c r="E3" s="65"/>
    </row>
    <row r="5" spans="1:5" ht="42.75" customHeight="1" x14ac:dyDescent="0.2">
      <c r="B5" s="66" t="s">
        <v>54</v>
      </c>
      <c r="C5" s="67" t="s">
        <v>55</v>
      </c>
      <c r="D5" s="68" t="s">
        <v>56</v>
      </c>
      <c r="E5" s="67" t="s">
        <v>55</v>
      </c>
    </row>
    <row r="6" spans="1:5" ht="15" customHeight="1" x14ac:dyDescent="0.2">
      <c r="B6" s="69" t="s">
        <v>57</v>
      </c>
      <c r="C6" s="70">
        <v>52000</v>
      </c>
      <c r="D6" s="69" t="s">
        <v>58</v>
      </c>
      <c r="E6" s="71">
        <v>52000</v>
      </c>
    </row>
    <row r="7" spans="1:5" ht="15" customHeight="1" x14ac:dyDescent="0.2">
      <c r="B7" s="72" t="s">
        <v>59</v>
      </c>
      <c r="C7" s="73">
        <v>65000</v>
      </c>
      <c r="D7" s="72" t="s">
        <v>60</v>
      </c>
      <c r="E7" s="74">
        <v>65000</v>
      </c>
    </row>
    <row r="8" spans="1:5" ht="15" customHeight="1" x14ac:dyDescent="0.2">
      <c r="B8" s="69" t="s">
        <v>61</v>
      </c>
      <c r="C8" s="70">
        <v>46500</v>
      </c>
      <c r="D8" s="69" t="s">
        <v>62</v>
      </c>
      <c r="E8" s="71">
        <v>46500</v>
      </c>
    </row>
    <row r="9" spans="1:5" ht="15" customHeight="1" x14ac:dyDescent="0.2">
      <c r="B9" s="72" t="s">
        <v>63</v>
      </c>
      <c r="C9" s="73">
        <v>26000</v>
      </c>
      <c r="D9" s="72" t="s">
        <v>64</v>
      </c>
      <c r="E9" s="74">
        <v>26000</v>
      </c>
    </row>
    <row r="10" spans="1:5" ht="15" customHeight="1" x14ac:dyDescent="0.2">
      <c r="B10" s="69" t="s">
        <v>65</v>
      </c>
      <c r="C10" s="70">
        <v>48000</v>
      </c>
      <c r="D10" s="69" t="s">
        <v>66</v>
      </c>
      <c r="E10" s="71">
        <v>48000</v>
      </c>
    </row>
    <row r="11" spans="1:5" ht="15" customHeight="1" x14ac:dyDescent="0.2">
      <c r="B11" s="72" t="s">
        <v>67</v>
      </c>
      <c r="C11" s="73">
        <v>60000</v>
      </c>
      <c r="D11" s="72" t="s">
        <v>68</v>
      </c>
      <c r="E11" s="74">
        <v>60000</v>
      </c>
    </row>
    <row r="12" spans="1:5" ht="15" customHeight="1" x14ac:dyDescent="0.2">
      <c r="B12" s="69"/>
      <c r="C12" s="70">
        <v>0</v>
      </c>
      <c r="D12" s="69"/>
      <c r="E12" s="71">
        <v>0</v>
      </c>
    </row>
    <row r="13" spans="1:5" ht="15" customHeight="1" x14ac:dyDescent="0.2">
      <c r="B13" s="72"/>
      <c r="C13" s="73">
        <v>0</v>
      </c>
      <c r="D13" s="72"/>
      <c r="E13" s="74">
        <v>0</v>
      </c>
    </row>
    <row r="14" spans="1:5" s="80" customFormat="1" ht="18.75" customHeight="1" x14ac:dyDescent="0.3">
      <c r="A14" s="75"/>
      <c r="B14" s="76" t="s">
        <v>69</v>
      </c>
      <c r="C14" s="77">
        <f>SUM(C6:C13)</f>
        <v>297500</v>
      </c>
      <c r="D14" s="78" t="s">
        <v>70</v>
      </c>
      <c r="E14" s="79">
        <f>SUM(E6:E13)</f>
        <v>297500</v>
      </c>
    </row>
  </sheetData>
  <mergeCells count="2">
    <mergeCell ref="A1:D2"/>
    <mergeCell ref="A3:D3"/>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I16"/>
  <sheetViews>
    <sheetView zoomScaleNormal="100" workbookViewId="0">
      <selection activeCell="E20" sqref="E20"/>
    </sheetView>
  </sheetViews>
  <sheetFormatPr defaultColWidth="8.7109375" defaultRowHeight="12.75" x14ac:dyDescent="0.2"/>
  <sheetData>
    <row r="3" spans="1:9" ht="15" customHeight="1" x14ac:dyDescent="0.25">
      <c r="A3" s="81"/>
      <c r="B3" s="81"/>
      <c r="C3" s="81"/>
      <c r="D3" s="81"/>
      <c r="E3" s="81"/>
      <c r="F3" s="81"/>
      <c r="G3" s="81"/>
      <c r="H3" s="81"/>
      <c r="I3" s="81"/>
    </row>
    <row r="4" spans="1:9" ht="15" customHeight="1" x14ac:dyDescent="0.25">
      <c r="A4" s="81" t="s">
        <v>71</v>
      </c>
      <c r="B4" s="81"/>
      <c r="C4" s="81"/>
      <c r="D4" s="81"/>
      <c r="E4" s="81"/>
      <c r="F4" s="81"/>
      <c r="G4" s="81"/>
      <c r="H4" s="81"/>
      <c r="I4" s="81"/>
    </row>
    <row r="5" spans="1:9" ht="15" customHeight="1" x14ac:dyDescent="0.25">
      <c r="A5" s="81" t="s">
        <v>72</v>
      </c>
      <c r="B5" s="81"/>
      <c r="C5" s="81"/>
      <c r="D5" s="81"/>
      <c r="E5" s="81"/>
      <c r="F5" s="81"/>
      <c r="G5" s="81"/>
      <c r="H5" s="81"/>
      <c r="I5" s="81"/>
    </row>
    <row r="6" spans="1:9" ht="15" customHeight="1" x14ac:dyDescent="0.25">
      <c r="A6" s="81" t="s">
        <v>73</v>
      </c>
      <c r="B6" s="81"/>
      <c r="C6" s="81"/>
      <c r="D6" s="81"/>
      <c r="E6" s="81"/>
      <c r="F6" s="81"/>
      <c r="G6" s="81"/>
      <c r="H6" s="81"/>
      <c r="I6" s="81"/>
    </row>
    <row r="7" spans="1:9" ht="15" customHeight="1" x14ac:dyDescent="0.25">
      <c r="A7" s="81" t="s">
        <v>74</v>
      </c>
      <c r="B7" s="81"/>
      <c r="C7" s="81"/>
      <c r="D7" s="81"/>
      <c r="E7" s="81"/>
      <c r="F7" s="81"/>
      <c r="G7" s="81"/>
      <c r="H7" s="81"/>
      <c r="I7" s="81"/>
    </row>
    <row r="8" spans="1:9" ht="15" customHeight="1" x14ac:dyDescent="0.25">
      <c r="A8" s="81" t="s">
        <v>75</v>
      </c>
      <c r="B8" s="81"/>
      <c r="C8" s="81"/>
      <c r="D8" s="81"/>
      <c r="E8" s="81"/>
      <c r="F8" s="81"/>
      <c r="G8" s="81"/>
      <c r="H8" s="81"/>
      <c r="I8" s="81"/>
    </row>
    <row r="9" spans="1:9" ht="15" customHeight="1" x14ac:dyDescent="0.25">
      <c r="A9" s="81" t="s">
        <v>76</v>
      </c>
      <c r="B9" s="81"/>
      <c r="C9" s="81"/>
      <c r="D9" s="81"/>
      <c r="E9" s="81"/>
      <c r="F9" s="81"/>
      <c r="G9" s="81"/>
      <c r="H9" s="81"/>
      <c r="I9" s="81"/>
    </row>
    <row r="10" spans="1:9" ht="15" customHeight="1" x14ac:dyDescent="0.25">
      <c r="A10" s="81" t="s">
        <v>77</v>
      </c>
      <c r="B10" s="81"/>
      <c r="C10" s="81"/>
      <c r="D10" s="81"/>
      <c r="E10" s="81"/>
      <c r="F10" s="81"/>
      <c r="G10" s="81"/>
      <c r="H10" s="81"/>
      <c r="I10" s="81"/>
    </row>
    <row r="11" spans="1:9" ht="15" customHeight="1" x14ac:dyDescent="0.25">
      <c r="A11" s="81" t="s">
        <v>78</v>
      </c>
      <c r="B11" s="81"/>
      <c r="C11" s="81"/>
      <c r="D11" s="81"/>
      <c r="E11" s="81"/>
      <c r="F11" s="81"/>
      <c r="G11" s="81"/>
      <c r="H11" s="81"/>
      <c r="I11" s="81"/>
    </row>
    <row r="12" spans="1:9" ht="15" customHeight="1" x14ac:dyDescent="0.25">
      <c r="A12" s="81" t="s">
        <v>79</v>
      </c>
      <c r="B12" s="81"/>
      <c r="C12" s="81"/>
      <c r="D12" s="81"/>
      <c r="E12" s="81"/>
      <c r="F12" s="81"/>
      <c r="G12" s="81"/>
      <c r="H12" s="81"/>
      <c r="I12" s="81"/>
    </row>
    <row r="13" spans="1:9" ht="15" customHeight="1" x14ac:dyDescent="0.25">
      <c r="A13" s="81" t="s">
        <v>80</v>
      </c>
      <c r="B13" s="81"/>
      <c r="C13" s="81"/>
      <c r="D13" s="81"/>
      <c r="E13" s="81"/>
      <c r="F13" s="81"/>
      <c r="G13" s="81"/>
      <c r="H13" s="81"/>
      <c r="I13" s="81"/>
    </row>
    <row r="14" spans="1:9" ht="15" customHeight="1" x14ac:dyDescent="0.25">
      <c r="A14" s="81" t="s">
        <v>81</v>
      </c>
      <c r="B14" s="81"/>
      <c r="C14" s="81"/>
      <c r="D14" s="81"/>
      <c r="E14" s="81"/>
      <c r="F14" s="81"/>
      <c r="G14" s="81"/>
      <c r="H14" s="81"/>
      <c r="I14" s="81"/>
    </row>
    <row r="15" spans="1:9" ht="15" customHeight="1" x14ac:dyDescent="0.25">
      <c r="A15" s="81"/>
      <c r="B15" s="81"/>
      <c r="C15" s="81"/>
      <c r="D15" s="81"/>
      <c r="E15" s="81"/>
      <c r="F15" s="81"/>
      <c r="G15" s="81"/>
      <c r="H15" s="81"/>
      <c r="I15" s="81"/>
    </row>
    <row r="16" spans="1:9" ht="15" customHeight="1" x14ac:dyDescent="0.25">
      <c r="A16" s="81"/>
      <c r="B16" s="81"/>
      <c r="C16" s="81"/>
      <c r="D16" s="81"/>
      <c r="E16" s="81"/>
      <c r="F16" s="81"/>
      <c r="G16" s="81"/>
      <c r="H16" s="81"/>
      <c r="I16" s="81"/>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13"/>
  <sheetViews>
    <sheetView zoomScaleNormal="100" workbookViewId="0">
      <selection activeCell="A3" sqref="A3"/>
    </sheetView>
  </sheetViews>
  <sheetFormatPr defaultColWidth="8.7109375" defaultRowHeight="12.75" x14ac:dyDescent="0.2"/>
  <cols>
    <col min="1" max="1" width="46.85546875" customWidth="1"/>
    <col min="3" max="3" width="27.85546875" customWidth="1"/>
  </cols>
  <sheetData>
    <row r="3" spans="1:3" ht="19.5" customHeight="1" x14ac:dyDescent="0.2">
      <c r="A3" s="82" t="s">
        <v>82</v>
      </c>
      <c r="C3" t="s">
        <v>83</v>
      </c>
    </row>
    <row r="4" spans="1:3" ht="19.5" customHeight="1" x14ac:dyDescent="0.2">
      <c r="A4" s="82" t="s">
        <v>84</v>
      </c>
      <c r="C4" t="s">
        <v>85</v>
      </c>
    </row>
    <row r="5" spans="1:3" ht="19.5" customHeight="1" x14ac:dyDescent="0.2">
      <c r="A5" s="82" t="s">
        <v>86</v>
      </c>
      <c r="C5" t="s">
        <v>87</v>
      </c>
    </row>
    <row r="6" spans="1:3" ht="19.5" customHeight="1" x14ac:dyDescent="0.2">
      <c r="A6" s="82" t="s">
        <v>88</v>
      </c>
      <c r="C6" t="s">
        <v>89</v>
      </c>
    </row>
    <row r="7" spans="1:3" ht="19.5" customHeight="1" x14ac:dyDescent="0.2">
      <c r="A7" s="82" t="s">
        <v>90</v>
      </c>
      <c r="C7" t="s">
        <v>91</v>
      </c>
    </row>
    <row r="8" spans="1:3" ht="19.5" customHeight="1" x14ac:dyDescent="0.2">
      <c r="A8" s="82" t="s">
        <v>92</v>
      </c>
    </row>
    <row r="9" spans="1:3" ht="19.5" customHeight="1" x14ac:dyDescent="0.2">
      <c r="A9" s="82" t="s">
        <v>93</v>
      </c>
    </row>
    <row r="10" spans="1:3" ht="19.5" customHeight="1" x14ac:dyDescent="0.2">
      <c r="A10" s="82" t="s">
        <v>94</v>
      </c>
    </row>
    <row r="11" spans="1:3" ht="19.5" customHeight="1" x14ac:dyDescent="0.2">
      <c r="A11" s="82" t="s">
        <v>95</v>
      </c>
    </row>
    <row r="12" spans="1:3" x14ac:dyDescent="0.2">
      <c r="A12" s="82" t="s">
        <v>96</v>
      </c>
    </row>
    <row r="13" spans="1:3" x14ac:dyDescent="0.2">
      <c r="A13" s="82" t="s">
        <v>97</v>
      </c>
    </row>
  </sheetData>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A26"/>
  <sheetViews>
    <sheetView zoomScaleNormal="100" workbookViewId="0">
      <selection activeCell="C15" sqref="C15"/>
    </sheetView>
  </sheetViews>
  <sheetFormatPr defaultColWidth="8.7109375" defaultRowHeight="12.75" x14ac:dyDescent="0.2"/>
  <cols>
    <col min="1" max="1" width="6" customWidth="1"/>
  </cols>
  <sheetData>
    <row r="3" spans="1:1" ht="19.5" customHeight="1" x14ac:dyDescent="0.2">
      <c r="A3" s="82">
        <v>0</v>
      </c>
    </row>
    <row r="4" spans="1:1" ht="19.5" customHeight="1" x14ac:dyDescent="0.2">
      <c r="A4" s="82">
        <v>1</v>
      </c>
    </row>
    <row r="5" spans="1:1" ht="19.5" customHeight="1" x14ac:dyDescent="0.2">
      <c r="A5" s="82">
        <v>2</v>
      </c>
    </row>
    <row r="6" spans="1:1" ht="19.5" customHeight="1" x14ac:dyDescent="0.2">
      <c r="A6" s="82">
        <v>3</v>
      </c>
    </row>
    <row r="7" spans="1:1" ht="19.5" customHeight="1" x14ac:dyDescent="0.2">
      <c r="A7" s="82">
        <v>4</v>
      </c>
    </row>
    <row r="8" spans="1:1" ht="19.5" customHeight="1" x14ac:dyDescent="0.2">
      <c r="A8" s="82">
        <v>5</v>
      </c>
    </row>
    <row r="9" spans="1:1" ht="19.5" customHeight="1" x14ac:dyDescent="0.2">
      <c r="A9" s="82">
        <v>6</v>
      </c>
    </row>
    <row r="10" spans="1:1" ht="19.5" customHeight="1" x14ac:dyDescent="0.2">
      <c r="A10" s="82">
        <v>7</v>
      </c>
    </row>
    <row r="11" spans="1:1" ht="19.5" customHeight="1" x14ac:dyDescent="0.2">
      <c r="A11" s="82">
        <v>8</v>
      </c>
    </row>
    <row r="12" spans="1:1" ht="19.5" customHeight="1" x14ac:dyDescent="0.2">
      <c r="A12" s="82">
        <v>9</v>
      </c>
    </row>
    <row r="13" spans="1:1" ht="19.5" customHeight="1" x14ac:dyDescent="0.2">
      <c r="A13" s="82">
        <v>10</v>
      </c>
    </row>
    <row r="14" spans="1:1" ht="19.5" customHeight="1" x14ac:dyDescent="0.2">
      <c r="A14" s="82"/>
    </row>
    <row r="15" spans="1:1" ht="19.5" customHeight="1" x14ac:dyDescent="0.2">
      <c r="A15" s="82"/>
    </row>
    <row r="16" spans="1:1" ht="19.5" customHeight="1" x14ac:dyDescent="0.2">
      <c r="A16" s="82"/>
    </row>
    <row r="17" spans="1:1" ht="19.5" customHeight="1" x14ac:dyDescent="0.2">
      <c r="A17" s="82"/>
    </row>
    <row r="18" spans="1:1" ht="19.5" customHeight="1" x14ac:dyDescent="0.2">
      <c r="A18" s="82"/>
    </row>
    <row r="19" spans="1:1" ht="19.5" customHeight="1" x14ac:dyDescent="0.2">
      <c r="A19" s="82"/>
    </row>
    <row r="20" spans="1:1" ht="19.5" customHeight="1" x14ac:dyDescent="0.2">
      <c r="A20" s="82"/>
    </row>
    <row r="21" spans="1:1" ht="19.5" customHeight="1" x14ac:dyDescent="0.2">
      <c r="A21" s="82"/>
    </row>
    <row r="22" spans="1:1" ht="19.5" customHeight="1" x14ac:dyDescent="0.2">
      <c r="A22" s="82"/>
    </row>
    <row r="23" spans="1:1" ht="19.5" customHeight="1" x14ac:dyDescent="0.2">
      <c r="A23" s="82"/>
    </row>
    <row r="24" spans="1:1" ht="19.5" customHeight="1" x14ac:dyDescent="0.2">
      <c r="A24" s="82"/>
    </row>
    <row r="25" spans="1:1" ht="19.5" customHeight="1" x14ac:dyDescent="0.2">
      <c r="A25" s="82"/>
    </row>
    <row r="26" spans="1:1" ht="19.5" customHeight="1" x14ac:dyDescent="0.2">
      <c r="A26" s="82"/>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Total Budget</vt:lpstr>
      <vt:lpstr>Sources and Uses</vt:lpstr>
      <vt:lpstr>Sheet4</vt:lpstr>
      <vt:lpstr>Sheet2</vt:lpstr>
      <vt:lpstr>Sheet3</vt:lpstr>
      <vt:lpstr>'Total Budget'!Print_Area</vt:lpstr>
      <vt:lpstr>Sheet3!ProgramAreas</vt:lpstr>
      <vt:lpstr>ProgramAreas</vt:lpstr>
      <vt:lpstr>Sheet3!Programs</vt:lpstr>
      <vt:lpstr>Programs</vt:lpstr>
      <vt:lpstr>RFP</vt:lpstr>
      <vt:lpstr>SupportTypes</vt:lpstr>
      <vt:lpstr>ValidNum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default</dc:creator>
  <dc:description/>
  <cp:lastModifiedBy>David Ainsworth</cp:lastModifiedBy>
  <cp:revision>0</cp:revision>
  <cp:lastPrinted>2026-05-06T23:46:36Z</cp:lastPrinted>
  <dcterms:created xsi:type="dcterms:W3CDTF">2007-06-22T15:00:26Z</dcterms:created>
  <dcterms:modified xsi:type="dcterms:W3CDTF">2026-05-06T23:58:01Z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0x010100CAB5891E5D0B274E854A8393C69B85F5</vt:lpwstr>
  </property>
  <property fmtid="{D5CDD505-2E9C-101B-9397-08002B2CF9AE}" pid="3" name="MediaServiceImageTags">
    <vt:lpwstr/>
  </property>
  <property fmtid="{D5CDD505-2E9C-101B-9397-08002B2CF9AE}" pid="4" name="_NewReviewCycle">
    <vt:lpwstr/>
  </property>
</Properties>
</file>