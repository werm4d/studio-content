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DDB_SCHEMA" sheetId="2" state="visible" r:id="rId2"/>
    <sheet xmlns:r="http://schemas.openxmlformats.org/officeDocument/2006/relationships" name="WALL_ASSEMBLY" sheetId="3" state="visible" r:id="rId3"/>
    <sheet xmlns:r="http://schemas.openxmlformats.org/officeDocument/2006/relationships" name="SUPPLIER_DIR" sheetId="4" state="visible" r:id="rId4"/>
    <sheet xmlns:r="http://schemas.openxmlformats.org/officeDocument/2006/relationships" name="VOLUME_PRICING" sheetId="5" state="visible" r:id="rId5"/>
    <sheet xmlns:r="http://schemas.openxmlformats.org/officeDocument/2006/relationships" name="CONNECTORS" sheetId="6" state="visible" r:id="rId6"/>
    <sheet xmlns:r="http://schemas.openxmlformats.org/officeDocument/2006/relationships" name="FENESTRATION" sheetId="7" state="visible" r:id="rId7"/>
    <sheet xmlns:r="http://schemas.openxmlformats.org/officeDocument/2006/relationships" name="CLADDING" sheetId="8" state="visible" r:id="rId8"/>
    <sheet xmlns:r="http://schemas.openxmlformats.org/officeDocument/2006/relationships" name="HVAC_ENERGY" sheetId="9" state="visible" r:id="rId9"/>
    <sheet xmlns:r="http://schemas.openxmlformats.org/officeDocument/2006/relationships" name="FIXTURES_FIN" sheetId="10" state="visible" r:id="rId10"/>
  </sheets>
  <definedNames>
    <definedName name="_xlnm._FilterDatabase" localSheetId="1" hidden="1">'ALDDB_SCHEMA'!$B$6:$P$85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−$&quot;#,##0.00"/>
  </numFmts>
  <fonts count="36">
    <font>
      <name val="Calibri"/>
      <family val="2"/>
      <color theme="1"/>
      <sz val="11"/>
      <scheme val="minor"/>
    </font>
    <font>
      <name val="Arial"/>
      <b val="1"/>
      <color rgb="000F4B18"/>
      <sz val="28"/>
    </font>
    <font>
      <name val="Arial"/>
      <color rgb="00555552"/>
      <sz val="12"/>
    </font>
    <font>
      <name val="Arial"/>
      <i val="1"/>
      <color rgb="00555552"/>
      <sz val="9"/>
    </font>
    <font>
      <name val="Arial"/>
      <b val="1"/>
      <color rgb="00FFFFFF"/>
      <sz val="10"/>
    </font>
    <font>
      <name val="Arial"/>
      <b val="1"/>
      <color rgb="000F4B18"/>
      <sz val="9"/>
    </font>
    <font>
      <name val="Arial"/>
      <color rgb="002C2C30"/>
      <sz val="9"/>
    </font>
    <font>
      <name val="Arial"/>
      <b val="1"/>
      <color rgb="000000FF"/>
      <sz val="9"/>
    </font>
    <font>
      <name val="Arial"/>
      <b val="1"/>
      <color rgb="000F0F10"/>
      <sz val="9"/>
    </font>
    <font>
      <name val="Arial"/>
      <b val="1"/>
      <color rgb="00196B23"/>
      <sz val="9"/>
    </font>
    <font>
      <name val="Arial"/>
      <b val="1"/>
      <color rgb="00C0392B"/>
      <sz val="9"/>
    </font>
    <font>
      <name val="Arial"/>
      <b val="1"/>
      <color rgb="002C2C30"/>
      <sz val="9"/>
    </font>
    <font>
      <name val="Arial"/>
      <b val="1"/>
      <color rgb="000A2342"/>
      <sz val="9"/>
    </font>
    <font>
      <name val="Arial"/>
      <b val="1"/>
      <color rgb="000F4B18"/>
      <sz val="18"/>
    </font>
    <font>
      <name val="Arial"/>
      <b val="1"/>
      <color rgb="00FFFFFF"/>
      <sz val="8"/>
    </font>
    <font>
      <name val="Arial"/>
      <color rgb="002C2C30"/>
      <sz val="8"/>
    </font>
    <font>
      <name val="Arial"/>
      <b val="1"/>
      <color rgb="000A2342"/>
      <sz val="8"/>
    </font>
    <font>
      <name val="Arial"/>
      <color rgb="000000FF"/>
      <sz val="8"/>
    </font>
    <font>
      <name val="Arial"/>
      <b val="1"/>
      <color rgb="00C0392B"/>
      <sz val="8"/>
    </font>
    <font>
      <name val="Arial"/>
      <b val="1"/>
      <color rgb="00C89C2A"/>
      <sz val="8"/>
    </font>
    <font>
      <name val="Arial"/>
      <b val="1"/>
      <color rgb="000F4B18"/>
      <sz val="16"/>
    </font>
    <font>
      <name val="Arial"/>
      <b val="1"/>
      <color rgb="00FFFFFF"/>
      <sz val="9"/>
    </font>
    <font>
      <name val="Arial"/>
      <b val="1"/>
      <color rgb="00C89C2A"/>
      <sz val="9"/>
    </font>
    <font>
      <name val="Arial"/>
      <color rgb="00DDDDDD"/>
      <sz val="8"/>
    </font>
    <font>
      <name val="Arial"/>
      <i val="1"/>
      <color rgb="00555552"/>
      <sz val="8"/>
    </font>
    <font>
      <name val="Arial"/>
      <b val="1"/>
      <color rgb="000F6E56"/>
      <sz val="8"/>
    </font>
    <font>
      <name val="Arial"/>
      <b val="1"/>
      <color rgb="000F4B18"/>
      <sz val="14"/>
    </font>
    <font>
      <name val="Arial"/>
      <b val="1"/>
      <color rgb="002C2C30"/>
      <sz val="8"/>
    </font>
    <font>
      <name val="Arial"/>
      <color rgb="00C0392B"/>
      <sz val="8"/>
    </font>
    <font>
      <name val="Arial"/>
      <b val="1"/>
      <color rgb="000A2342"/>
      <sz val="10"/>
    </font>
    <font>
      <name val="Arial"/>
      <b val="1"/>
      <color rgb="000000FF"/>
      <sz val="12"/>
    </font>
    <font>
      <name val="Arial"/>
      <color rgb="00555552"/>
      <sz val="8"/>
    </font>
    <font>
      <name val="Arial"/>
      <b val="1"/>
      <color rgb="000F0F10"/>
      <sz val="8"/>
    </font>
    <font>
      <name val="Arial"/>
      <i val="1"/>
      <color rgb="00555552"/>
      <sz val="10"/>
    </font>
    <font>
      <name val="Arial"/>
      <i val="1"/>
      <color rgb="00C0392B"/>
      <sz val="8"/>
    </font>
    <font>
      <name val="Arial"/>
      <b val="1"/>
      <color rgb="00196B23"/>
      <sz val="8"/>
    </font>
  </fonts>
  <fills count="1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89C2A"/>
      </patternFill>
    </fill>
    <fill>
      <patternFill patternType="solid">
        <fgColor rgb="000A2342"/>
      </patternFill>
    </fill>
    <fill>
      <patternFill patternType="solid">
        <fgColor rgb="00F7F6F2"/>
      </patternFill>
    </fill>
    <fill>
      <patternFill patternType="solid">
        <fgColor rgb="00D6E8F6"/>
      </patternFill>
    </fill>
    <fill>
      <patternFill patternType="solid">
        <fgColor rgb="00D8EDD0"/>
      </patternFill>
    </fill>
    <fill>
      <patternFill patternType="solid">
        <fgColor rgb="00FFF9C4"/>
      </patternFill>
    </fill>
    <fill>
      <patternFill patternType="solid">
        <fgColor rgb="00FDF3D4"/>
      </patternFill>
    </fill>
    <fill>
      <patternFill patternType="solid">
        <fgColor rgb="00EDF4E1"/>
      </patternFill>
    </fill>
    <fill>
      <patternFill patternType="solid">
        <fgColor rgb="00E8EEF6"/>
      </patternFill>
    </fill>
    <fill>
      <patternFill patternType="solid">
        <fgColor rgb="000F4B18"/>
      </patternFill>
    </fill>
    <fill>
      <patternFill patternType="solid">
        <fgColor rgb="00196B23"/>
      </patternFill>
    </fill>
    <fill>
      <patternFill patternType="solid">
        <fgColor rgb="000F6E56"/>
      </patternFill>
    </fill>
    <fill>
      <patternFill patternType="solid">
        <fgColor rgb="004A235A"/>
      </patternFill>
    </fill>
    <fill>
      <patternFill patternType="solid">
        <fgColor rgb="00555552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164" fontId="17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164" fontId="17" fillId="6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165" fontId="25" fillId="7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29" fillId="11" borderId="1" pivotButton="0" quotePrefix="0" xfId="0"/>
    <xf numFmtId="0" fontId="30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7" fillId="5" borderId="1" applyAlignment="1" pivotButton="0" quotePrefix="0" xfId="0">
      <alignment horizontal="left" vertical="center"/>
    </xf>
    <xf numFmtId="9" fontId="31" fillId="5" borderId="1" applyAlignment="1" pivotButton="0" quotePrefix="0" xfId="0">
      <alignment horizontal="center" vertical="center"/>
    </xf>
    <xf numFmtId="164" fontId="32" fillId="7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center"/>
    </xf>
    <xf numFmtId="9" fontId="31" fillId="2" borderId="1" applyAlignment="1" pivotButton="0" quotePrefix="0" xfId="0">
      <alignment horizontal="center" vertical="center"/>
    </xf>
    <xf numFmtId="0" fontId="33" fillId="5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4" fillId="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left" vertical="center"/>
    </xf>
    <xf numFmtId="0" fontId="23" fillId="2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left" vertical="center"/>
    </xf>
    <xf numFmtId="0" fontId="35" fillId="7" borderId="1" applyAlignment="1" pivotButton="0" quotePrefix="0" xfId="0">
      <alignment horizontal="center" vertical="center"/>
    </xf>
    <xf numFmtId="9" fontId="31" fillId="5" borderId="1" applyAlignment="1" pivotButton="0" quotePrefix="0" xfId="0">
      <alignment horizontal="center" vertical="center"/>
    </xf>
    <xf numFmtId="164" fontId="32" fillId="7" borderId="1" applyAlignment="1" pivotButton="0" quotePrefix="0" xfId="0">
      <alignment horizontal="center" vertical="center"/>
    </xf>
    <xf numFmtId="9" fontId="3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8" customHeight="1"/>
    <row r="2" ht="48" customHeight="1">
      <c r="B2" s="1" t="inlineStr">
        <is>
          <t>FORWARD HOME BUILDING SYSTEM</t>
        </is>
      </c>
    </row>
    <row r="3" ht="28" customHeight="1">
      <c r="B3" s="2" t="inlineStr">
        <is>
          <t>Supplier Cost Tracking File  ·  ALDDB Component Schema  ·  Merge 4 Design LLC × L.E.E.P., Inc.</t>
        </is>
      </c>
    </row>
    <row r="4" ht="18" customHeight="1">
      <c r="B4" s="3" t="inlineStr">
        <is>
          <t>Opened: June 2026  ·  Version: 0.1 pre-G4  ·  Status: WORKING — update at Claymont G4 closeout</t>
        </is>
      </c>
    </row>
    <row r="5" ht="36" customHeight="1"/>
    <row r="6" ht="18" customHeight="1"/>
    <row r="7" ht="6" customHeight="1">
      <c r="B7" s="4" t="n"/>
    </row>
    <row r="9" ht="6" customHeight="1"/>
    <row r="10">
      <c r="B10" s="5" t="inlineStr">
        <is>
          <t>WORKBOOK GUIDE</t>
        </is>
      </c>
      <c r="C10" s="69" t="n"/>
      <c r="D10" s="69" t="n"/>
      <c r="E10" s="69" t="n"/>
      <c r="F10" s="69" t="n"/>
      <c r="G10" s="69" t="n"/>
      <c r="H10" s="70" t="n"/>
    </row>
    <row r="11" ht="18" customHeight="1">
      <c r="B11" s="6" t="inlineStr">
        <is>
          <t>COVER</t>
        </is>
      </c>
      <c r="C11" s="7" t="inlineStr">
        <is>
          <t>This sheet — workbook guide and color key</t>
        </is>
      </c>
      <c r="D11" s="69" t="n"/>
      <c r="E11" s="69" t="n"/>
      <c r="F11" s="69" t="n"/>
      <c r="G11" s="69" t="n"/>
      <c r="H11" s="70" t="n"/>
    </row>
    <row r="12" ht="18" customHeight="1">
      <c r="B12" s="8" t="inlineStr">
        <is>
          <t>ALDDB_SCHEMA</t>
        </is>
      </c>
      <c r="C12" s="9" t="inlineStr">
        <is>
          <t>Master schema — every component row, ALDDB column definitions</t>
        </is>
      </c>
      <c r="D12" s="69" t="n"/>
      <c r="E12" s="69" t="n"/>
      <c r="F12" s="69" t="n"/>
      <c r="G12" s="69" t="n"/>
      <c r="H12" s="70" t="n"/>
    </row>
    <row r="13" ht="18" customHeight="1">
      <c r="B13" s="6" t="inlineStr">
        <is>
          <t>WALL_ASSEMBLY</t>
        </is>
      </c>
      <c r="C13" s="7" t="inlineStr">
        <is>
          <t>Wall assembly cost tracker — by tier, interior → exterior</t>
        </is>
      </c>
      <c r="D13" s="69" t="n"/>
      <c r="E13" s="69" t="n"/>
      <c r="F13" s="69" t="n"/>
      <c r="G13" s="69" t="n"/>
      <c r="H13" s="70" t="n"/>
    </row>
    <row r="14" ht="18" customHeight="1">
      <c r="B14" s="8" t="inlineStr">
        <is>
          <t>CONNECTORS</t>
        </is>
      </c>
      <c r="C14" s="9" t="inlineStr">
        <is>
          <t>SAPK connector kit — Simpson + Rothoblaas by tier</t>
        </is>
      </c>
      <c r="D14" s="69" t="n"/>
      <c r="E14" s="69" t="n"/>
      <c r="F14" s="69" t="n"/>
      <c r="G14" s="69" t="n"/>
      <c r="H14" s="70" t="n"/>
    </row>
    <row r="15" ht="18" customHeight="1">
      <c r="B15" s="6" t="inlineStr">
        <is>
          <t>FENESTRATION</t>
        </is>
      </c>
      <c r="C15" s="7" t="inlineStr">
        <is>
          <t>Windows + doors — Crystal Magnus by tier + supplier quotes</t>
        </is>
      </c>
      <c r="D15" s="69" t="n"/>
      <c r="E15" s="69" t="n"/>
      <c r="F15" s="69" t="n"/>
      <c r="G15" s="69" t="n"/>
      <c r="H15" s="70" t="n"/>
    </row>
    <row r="16" ht="18" customHeight="1">
      <c r="B16" s="8" t="inlineStr">
        <is>
          <t>CLADDING</t>
        </is>
      </c>
      <c r="C16" s="9" t="inlineStr">
        <is>
          <t>Allura fiber cement — product matrix + volume pricing</t>
        </is>
      </c>
      <c r="D16" s="69" t="n"/>
      <c r="E16" s="69" t="n"/>
      <c r="F16" s="69" t="n"/>
      <c r="G16" s="69" t="n"/>
      <c r="H16" s="70" t="n"/>
    </row>
    <row r="17" ht="18" customHeight="1">
      <c r="B17" s="6" t="inlineStr">
        <is>
          <t>HVAC_ENERGY</t>
        </is>
      </c>
      <c r="C17" s="7" t="inlineStr">
        <is>
          <t>HVAC, ERV, smart panel, PV, battery — by tier</t>
        </is>
      </c>
      <c r="D17" s="69" t="n"/>
      <c r="E17" s="69" t="n"/>
      <c r="F17" s="69" t="n"/>
      <c r="G17" s="69" t="n"/>
      <c r="H17" s="70" t="n"/>
    </row>
    <row r="18" ht="18" customHeight="1">
      <c r="B18" s="8" t="inlineStr">
        <is>
          <t>FIXTURES_FIN</t>
        </is>
      </c>
      <c r="C18" s="9" t="inlineStr">
        <is>
          <t>Plumbing, electrical, fixtures, finishes, appliances</t>
        </is>
      </c>
      <c r="D18" s="69" t="n"/>
      <c r="E18" s="69" t="n"/>
      <c r="F18" s="69" t="n"/>
      <c r="G18" s="69" t="n"/>
      <c r="H18" s="70" t="n"/>
    </row>
    <row r="19" ht="18" customHeight="1">
      <c r="B19" s="6" t="inlineStr">
        <is>
          <t>VOLUME_PRICING</t>
        </is>
      </c>
      <c r="C19" s="7" t="inlineStr">
        <is>
          <t>Volume purchasing analysis — unit count → discount by category</t>
        </is>
      </c>
      <c r="D19" s="69" t="n"/>
      <c r="E19" s="69" t="n"/>
      <c r="F19" s="69" t="n"/>
      <c r="G19" s="69" t="n"/>
      <c r="H19" s="70" t="n"/>
    </row>
    <row r="20" ht="18" customHeight="1">
      <c r="B20" s="8" t="inlineStr">
        <is>
          <t>SUPPLIER_DIR</t>
        </is>
      </c>
      <c r="C20" s="9" t="inlineStr">
        <is>
          <t>Supplier contact directory — all named vendors</t>
        </is>
      </c>
      <c r="D20" s="69" t="n"/>
      <c r="E20" s="69" t="n"/>
      <c r="F20" s="69" t="n"/>
      <c r="G20" s="69" t="n"/>
      <c r="H20" s="70" t="n"/>
    </row>
    <row r="22">
      <c r="B22" s="5" t="inlineStr">
        <is>
          <t>COLOR KEY — Financial model standard</t>
        </is>
      </c>
      <c r="C22" s="69" t="n"/>
      <c r="D22" s="69" t="n"/>
      <c r="E22" s="69" t="n"/>
      <c r="F22" s="69" t="n"/>
      <c r="G22" s="69" t="n"/>
      <c r="H22" s="70" t="n"/>
    </row>
    <row r="23" ht="16" customHeight="1">
      <c r="B23" s="10" t="inlineStr">
        <is>
          <t xml:space="preserve">  SAMPLE</t>
        </is>
      </c>
      <c r="C23" s="7" t="inlineStr">
        <is>
          <t>BLUE TEXT on blue fill — hardcoded input / number you enter</t>
        </is>
      </c>
      <c r="D23" s="69" t="n"/>
      <c r="E23" s="69" t="n"/>
      <c r="F23" s="69" t="n"/>
      <c r="G23" s="69" t="n"/>
      <c r="H23" s="70" t="n"/>
    </row>
    <row r="24" ht="16" customHeight="1">
      <c r="B24" s="11" t="inlineStr">
        <is>
          <t xml:space="preserve">  SAMPLE</t>
        </is>
      </c>
      <c r="C24" s="7" t="inlineStr">
        <is>
          <t>BLACK TEXT — formula / calculated value (do not overtype)</t>
        </is>
      </c>
      <c r="D24" s="69" t="n"/>
      <c r="E24" s="69" t="n"/>
      <c r="F24" s="69" t="n"/>
      <c r="G24" s="69" t="n"/>
      <c r="H24" s="70" t="n"/>
    </row>
    <row r="25" ht="16" customHeight="1">
      <c r="B25" s="12" t="inlineStr">
        <is>
          <t xml:space="preserve">  SAMPLE</t>
        </is>
      </c>
      <c r="C25" s="7" t="inlineStr">
        <is>
          <t>GREEN TEXT — cross-sheet link pulling from another tab</t>
        </is>
      </c>
      <c r="D25" s="69" t="n"/>
      <c r="E25" s="69" t="n"/>
      <c r="F25" s="69" t="n"/>
      <c r="G25" s="69" t="n"/>
      <c r="H25" s="70" t="n"/>
    </row>
    <row r="26" ht="16" customHeight="1">
      <c r="B26" s="13" t="inlineStr">
        <is>
          <t xml:space="preserve">  SAMPLE</t>
        </is>
      </c>
      <c r="C26" s="7" t="inlineStr">
        <is>
          <t>RED TEXT on yellow — quote needed / data missing</t>
        </is>
      </c>
      <c r="D26" s="69" t="n"/>
      <c r="E26" s="69" t="n"/>
      <c r="F26" s="69" t="n"/>
      <c r="G26" s="69" t="n"/>
      <c r="H26" s="70" t="n"/>
    </row>
    <row r="27" ht="16" customHeight="1">
      <c r="B27" s="14" t="inlineStr">
        <is>
          <t xml:space="preserve">  SAMPLE</t>
        </is>
      </c>
      <c r="C27" s="7" t="inlineStr">
        <is>
          <t>GOLD fill — ROM figure, pre-G4, update at closeout</t>
        </is>
      </c>
      <c r="D27" s="69" t="n"/>
      <c r="E27" s="69" t="n"/>
      <c r="F27" s="69" t="n"/>
      <c r="G27" s="69" t="n"/>
      <c r="H27" s="70" t="n"/>
    </row>
    <row r="28" ht="16" customHeight="1">
      <c r="B28" s="15" t="inlineStr">
        <is>
          <t xml:space="preserve">  SAMPLE</t>
        </is>
      </c>
      <c r="C28" s="7" t="inlineStr">
        <is>
          <t>GREEN fill — verified / confirmed figure</t>
        </is>
      </c>
      <c r="D28" s="69" t="n"/>
      <c r="E28" s="69" t="n"/>
      <c r="F28" s="69" t="n"/>
      <c r="G28" s="69" t="n"/>
      <c r="H28" s="70" t="n"/>
    </row>
    <row r="29" ht="16" customHeight="1">
      <c r="B29" s="16" t="inlineStr">
        <is>
          <t xml:space="preserve">  SAMPLE</t>
        </is>
      </c>
      <c r="C29" s="7" t="inlineStr">
        <is>
          <t>NAVY fill — section header / zone label</t>
        </is>
      </c>
      <c r="D29" s="69" t="n"/>
      <c r="E29" s="69" t="n"/>
      <c r="F29" s="69" t="n"/>
      <c r="G29" s="69" t="n"/>
      <c r="H29" s="70" t="n"/>
    </row>
  </sheetData>
  <mergeCells count="23">
    <mergeCell ref="C25:H25"/>
    <mergeCell ref="C16:H16"/>
    <mergeCell ref="C12:H12"/>
    <mergeCell ref="C11:H11"/>
    <mergeCell ref="C27:H27"/>
    <mergeCell ref="B4:H4"/>
    <mergeCell ref="C23:H23"/>
    <mergeCell ref="B7:H7"/>
    <mergeCell ref="C17:H17"/>
    <mergeCell ref="B3:H3"/>
    <mergeCell ref="B22:H22"/>
    <mergeCell ref="C19:H19"/>
    <mergeCell ref="C28:H28"/>
    <mergeCell ref="C13:H13"/>
    <mergeCell ref="B2:H2"/>
    <mergeCell ref="C18:H18"/>
    <mergeCell ref="C15:H15"/>
    <mergeCell ref="C24:H24"/>
    <mergeCell ref="C14:H14"/>
    <mergeCell ref="B10:H10"/>
    <mergeCell ref="C26:H26"/>
    <mergeCell ref="C29:H29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0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20" customWidth="1" min="13" max="13"/>
    <col width="16" customWidth="1" min="14" max="14"/>
    <col width="16" customWidth="1" min="15" max="15"/>
    <col width="18" customWidth="1" min="16" max="16"/>
  </cols>
  <sheetData>
    <row r="1" ht="8" customHeight="1"/>
    <row r="2" ht="36" customHeight="1">
      <c r="B2" s="17" t="inlineStr">
        <is>
          <t>ALDDB — Forward Home Component Schema</t>
        </is>
      </c>
    </row>
    <row r="3" ht="20" customHeight="1">
      <c r="B3" s="3" t="inlineStr">
        <is>
          <t>Master row definition for every Forward Home wall assembly component. One row per component per tier. G0 ROM → G4 Actual columns track cost evolution through ALDi gates.</t>
        </is>
      </c>
    </row>
    <row r="4" ht="8" customHeight="1"/>
    <row r="5" ht="54" customHeight="1">
      <c r="B5" s="18" t="inlineStr">
        <is>
          <t>Unique ID
e.g. WA-T1-001</t>
        </is>
      </c>
      <c r="C5" s="18" t="inlineStr">
        <is>
          <t>System
e.g. Wall Assembly</t>
        </is>
      </c>
      <c r="D5" s="18" t="inlineStr">
        <is>
          <t>Zone
1-Foundation
2-Panel
3-Cladding
4-SAPK
5-MEP</t>
        </is>
      </c>
      <c r="E5" s="18" t="inlineStr">
        <is>
          <t>Component name
e.g. ACME SIP 6.5"</t>
        </is>
      </c>
      <c r="F5" s="18" t="inlineStr">
        <is>
          <t>T1 / T2 / T3 / T4
/ EXP</t>
        </is>
      </c>
      <c r="G5" s="18" t="inlineStr">
        <is>
          <t>Supplier name</t>
        </is>
      </c>
      <c r="H5" s="18" t="inlineStr">
        <is>
          <t>Supplier SKU
or product code</t>
        </is>
      </c>
      <c r="I5" s="18" t="inlineStr">
        <is>
          <t>ESR / TER / listing
number</t>
        </is>
      </c>
      <c r="J5" s="18" t="inlineStr">
        <is>
          <t>Unit of measure
SF / EA / LF / LS</t>
        </is>
      </c>
      <c r="K5" s="18" t="inlineStr">
        <is>
          <t>G0 ROM
cost per unit ($)</t>
        </is>
      </c>
      <c r="L5" s="18" t="inlineStr">
        <is>
          <t>ROM source
&amp; date</t>
        </is>
      </c>
      <c r="M5" s="18" t="inlineStr">
        <is>
          <t>Retail quote
($/unit) + date</t>
        </is>
      </c>
      <c r="N5" s="18" t="inlineStr">
        <is>
          <t>Volume quote
($/unit) + date
+ unit threshold</t>
        </is>
      </c>
      <c r="O5" s="18" t="inlineStr">
        <is>
          <t>Volume discount
% achieved</t>
        </is>
      </c>
      <c r="P5" s="18" t="inlineStr">
        <is>
          <t>G4 actual cost
($/unit) — Claymont</t>
        </is>
      </c>
      <c r="Q5" s="18" t="inlineStr">
        <is>
          <t>Notes / flags</t>
        </is>
      </c>
    </row>
    <row r="6" ht="16" customHeight="1">
      <c r="B6" s="19" t="inlineStr">
        <is>
          <t>WA-T1-001</t>
        </is>
      </c>
      <c r="C6" s="20" t="inlineStr">
        <is>
          <t>Wall Assembly</t>
        </is>
      </c>
      <c r="D6" s="20" t="inlineStr">
        <is>
          <t>1-Foundation</t>
        </is>
      </c>
      <c r="E6" s="20" t="inlineStr">
        <is>
          <t>CMU / poured foundation wall</t>
        </is>
      </c>
      <c r="F6" s="20" t="inlineStr">
        <is>
          <t>T1</t>
        </is>
      </c>
      <c r="G6" s="20" t="inlineStr">
        <is>
          <t>Various</t>
        </is>
      </c>
      <c r="H6" s="20" t="inlineStr">
        <is>
          <t>—</t>
        </is>
      </c>
      <c r="I6" s="20" t="inlineStr">
        <is>
          <t>IBC Ch.19</t>
        </is>
      </c>
      <c r="J6" s="21" t="inlineStr">
        <is>
          <t>SF</t>
        </is>
      </c>
      <c r="K6" s="20" t="inlineStr">
        <is>
          <t>14.20</t>
        </is>
      </c>
      <c r="L6" s="22" t="inlineStr">
        <is>
          <t>RSMeans 2025</t>
        </is>
      </c>
      <c r="M6" s="22" t="inlineStr"/>
      <c r="N6" s="22" t="inlineStr"/>
      <c r="O6" s="23" t="inlineStr"/>
      <c r="P6" s="20" t="inlineStr"/>
      <c r="Q6" s="20" t="inlineStr">
        <is>
          <t>T1 base; Claymont actual to update</t>
        </is>
      </c>
    </row>
    <row r="7" ht="16" customHeight="1">
      <c r="B7" s="19" t="inlineStr">
        <is>
          <t>WA-T2-001</t>
        </is>
      </c>
      <c r="C7" s="20" t="inlineStr">
        <is>
          <t>Wall Assembly</t>
        </is>
      </c>
      <c r="D7" s="20" t="inlineStr">
        <is>
          <t>1-Foundation</t>
        </is>
      </c>
      <c r="E7" s="20" t="inlineStr">
        <is>
          <t>Superior Walls Xi Plus — suburban/rural only (staging req.)</t>
        </is>
      </c>
      <c r="F7" s="20" t="inlineStr">
        <is>
          <t>T2</t>
        </is>
      </c>
      <c r="G7" s="20" t="inlineStr">
        <is>
          <t>Superior Walls of America</t>
        </is>
      </c>
      <c r="H7" s="20" t="inlineStr">
        <is>
          <t>Xi Plus</t>
        </is>
      </c>
      <c r="I7" s="20" t="inlineStr">
        <is>
          <t>TER 2211-02</t>
        </is>
      </c>
      <c r="J7" s="21" t="inlineStr">
        <is>
          <t>SF</t>
        </is>
      </c>
      <c r="K7" s="20" t="inlineStr">
        <is>
          <t>28.40</t>
        </is>
      </c>
      <c r="L7" s="22" t="inlineStr">
        <is>
          <t>ROM Jun 2026</t>
        </is>
      </c>
      <c r="M7" s="22" t="inlineStr"/>
      <c r="N7" s="22" t="inlineStr"/>
      <c r="O7" s="23" t="inlineStr"/>
      <c r="P7" s="20" t="inlineStr"/>
      <c r="Q7" s="71" t="inlineStr">
        <is>
          <t>SUBURBAN/RURAL SITES ONLY — requires crane + large staging area. Not for urban infill. Replaced by ICF stem wall for urban sites.</t>
        </is>
      </c>
    </row>
    <row r="8" ht="16" customHeight="1">
      <c r="B8" s="19" t="inlineStr">
        <is>
          <t>WA-T3-001</t>
        </is>
      </c>
      <c r="C8" s="20" t="inlineStr">
        <is>
          <t>Wall Assembly</t>
        </is>
      </c>
      <c r="D8" s="20" t="inlineStr">
        <is>
          <t>1-Foundation</t>
        </is>
      </c>
      <c r="E8" s="20" t="inlineStr">
        <is>
          <t>Superior Walls Xi Plus — suburban/rural only (staging req.)</t>
        </is>
      </c>
      <c r="F8" s="20" t="inlineStr">
        <is>
          <t>T3</t>
        </is>
      </c>
      <c r="G8" s="20" t="inlineStr">
        <is>
          <t>Superior Walls of America</t>
        </is>
      </c>
      <c r="H8" s="20" t="inlineStr">
        <is>
          <t>Xi Plus</t>
        </is>
      </c>
      <c r="I8" s="20" t="inlineStr">
        <is>
          <t>TER 2211-02</t>
        </is>
      </c>
      <c r="J8" s="21" t="inlineStr">
        <is>
          <t>SF</t>
        </is>
      </c>
      <c r="K8" s="20" t="inlineStr">
        <is>
          <t>28.40</t>
        </is>
      </c>
      <c r="L8" s="22" t="inlineStr">
        <is>
          <t>ROM Jun 2026</t>
        </is>
      </c>
      <c r="M8" s="22" t="inlineStr"/>
      <c r="N8" s="22" t="inlineStr"/>
      <c r="O8" s="23" t="inlineStr"/>
      <c r="P8" s="20" t="inlineStr"/>
      <c r="Q8" s="71" t="inlineStr">
        <is>
          <t>SUBURBAN/RURAL SITES ONLY — requires crane + large staging area. Not for urban infill. Replaced by ICF stem wall for urban sites.</t>
        </is>
      </c>
    </row>
    <row r="9" ht="16" customHeight="1">
      <c r="B9" s="19" t="inlineStr">
        <is>
          <t>WA-T4-001</t>
        </is>
      </c>
      <c r="C9" s="20" t="inlineStr">
        <is>
          <t>Wall Assembly</t>
        </is>
      </c>
      <c r="D9" s="20" t="inlineStr">
        <is>
          <t>1-Foundation</t>
        </is>
      </c>
      <c r="E9" s="20" t="inlineStr">
        <is>
          <t>Superior Walls Xi Plus + cistern footing — suburban/rural only (staging req.)</t>
        </is>
      </c>
      <c r="F9" s="20" t="inlineStr">
        <is>
          <t>T4</t>
        </is>
      </c>
      <c r="G9" s="20" t="inlineStr">
        <is>
          <t>Superior Walls of America</t>
        </is>
      </c>
      <c r="H9" s="20" t="inlineStr">
        <is>
          <t>Xi Plus</t>
        </is>
      </c>
      <c r="I9" s="20" t="inlineStr">
        <is>
          <t>TER 2211-02</t>
        </is>
      </c>
      <c r="J9" s="21" t="inlineStr">
        <is>
          <t>SF</t>
        </is>
      </c>
      <c r="K9" s="20" t="inlineStr">
        <is>
          <t>28.40</t>
        </is>
      </c>
      <c r="L9" s="22" t="inlineStr">
        <is>
          <t>ROM Jun 2026</t>
        </is>
      </c>
      <c r="M9" s="22" t="inlineStr"/>
      <c r="N9" s="22" t="inlineStr"/>
      <c r="O9" s="23" t="inlineStr"/>
      <c r="P9" s="20" t="inlineStr"/>
      <c r="Q9" s="71" t="inlineStr">
        <is>
          <t>SUBURBAN/RURAL SITES ONLY — requires crane + large staging area. Not for urban infill. Replaced by ICF stem wall for urban sites.</t>
        </is>
      </c>
    </row>
    <row r="10" ht="16" customHeight="1">
      <c r="B10" s="19" t="inlineStr">
        <is>
          <t>WA-EX-001</t>
        </is>
      </c>
      <c r="C10" s="20" t="inlineStr">
        <is>
          <t>Wall Assembly</t>
        </is>
      </c>
      <c r="D10" s="20" t="inlineStr">
        <is>
          <t>1-Foundation</t>
        </is>
      </c>
      <c r="E10" s="20" t="inlineStr">
        <is>
          <t>Concrete slab + moisture barrier</t>
        </is>
      </c>
      <c r="F10" s="20" t="inlineStr">
        <is>
          <t>EXP</t>
        </is>
      </c>
      <c r="G10" s="20" t="inlineStr">
        <is>
          <t>Local/Jamaica</t>
        </is>
      </c>
      <c r="H10" s="20" t="inlineStr">
        <is>
          <t>—</t>
        </is>
      </c>
      <c r="I10" s="20" t="inlineStr">
        <is>
          <t>ASTM C150</t>
        </is>
      </c>
      <c r="J10" s="21" t="inlineStr">
        <is>
          <t>SF</t>
        </is>
      </c>
      <c r="K10" s="20" t="inlineStr">
        <is>
          <t>6.40</t>
        </is>
      </c>
      <c r="L10" s="22" t="inlineStr">
        <is>
          <t>ROM Jun 2026</t>
        </is>
      </c>
      <c r="M10" s="22" t="inlineStr"/>
      <c r="N10" s="22" t="inlineStr"/>
      <c r="O10" s="23" t="inlineStr"/>
      <c r="P10" s="20" t="inlineStr"/>
      <c r="Q10" s="20" t="inlineStr">
        <is>
          <t>Caribbean export baseline</t>
        </is>
      </c>
    </row>
    <row r="11" ht="16" customHeight="1">
      <c r="B11" s="19" t="inlineStr">
        <is>
          <t>SA-ALL-001</t>
        </is>
      </c>
      <c r="C11" s="20" t="inlineStr">
        <is>
          <t>Wall Assembly</t>
        </is>
      </c>
      <c r="D11" s="20" t="inlineStr">
        <is>
          <t>1-Foundation</t>
        </is>
      </c>
      <c r="E11" s="20" t="inlineStr">
        <is>
          <t>Simpson MASOZ mudsill anchor</t>
        </is>
      </c>
      <c r="F11" s="20" t="inlineStr">
        <is>
          <t>ALL</t>
        </is>
      </c>
      <c r="G11" s="20" t="inlineStr">
        <is>
          <t>Simpson Strong-Tie</t>
        </is>
      </c>
      <c r="H11" s="20" t="inlineStr">
        <is>
          <t>MASOZ</t>
        </is>
      </c>
      <c r="I11" s="20" t="inlineStr">
        <is>
          <t>ESR-2555</t>
        </is>
      </c>
      <c r="J11" s="21" t="inlineStr">
        <is>
          <t>EA</t>
        </is>
      </c>
      <c r="K11" s="20" t="inlineStr">
        <is>
          <t>4.80</t>
        </is>
      </c>
      <c r="L11" s="22" t="inlineStr">
        <is>
          <t>ROM Jun 2026</t>
        </is>
      </c>
      <c r="M11" s="22" t="inlineStr"/>
      <c r="N11" s="22" t="inlineStr"/>
      <c r="O11" s="23" t="inlineStr"/>
      <c r="P11" s="20" t="inlineStr"/>
      <c r="Q11" s="20" t="inlineStr">
        <is>
          <t>Pre-install at hub on panel</t>
        </is>
      </c>
    </row>
    <row r="12" ht="16" customHeight="1">
      <c r="B12" s="19" t="inlineStr">
        <is>
          <t>SA-ALL-002</t>
        </is>
      </c>
      <c r="C12" s="20" t="inlineStr">
        <is>
          <t>Wall Assembly</t>
        </is>
      </c>
      <c r="D12" s="20" t="inlineStr">
        <is>
          <t>1-Foundation</t>
        </is>
      </c>
      <c r="E12" s="20" t="inlineStr">
        <is>
          <t>Simpson MASOZ G185 — export</t>
        </is>
      </c>
      <c r="F12" s="20" t="inlineStr">
        <is>
          <t>EXP</t>
        </is>
      </c>
      <c r="G12" s="20" t="inlineStr">
        <is>
          <t>Simpson Strong-Tie</t>
        </is>
      </c>
      <c r="H12" s="20" t="inlineStr">
        <is>
          <t>MASOZ-G185</t>
        </is>
      </c>
      <c r="I12" s="20" t="inlineStr">
        <is>
          <t>ESR-2555</t>
        </is>
      </c>
      <c r="J12" s="21" t="inlineStr">
        <is>
          <t>EA</t>
        </is>
      </c>
      <c r="K12" s="20" t="inlineStr">
        <is>
          <t>5.60</t>
        </is>
      </c>
      <c r="L12" s="22" t="inlineStr">
        <is>
          <t>ROM Jun 2026</t>
        </is>
      </c>
      <c r="M12" s="22" t="inlineStr"/>
      <c r="N12" s="22" t="inlineStr"/>
      <c r="O12" s="23" t="inlineStr"/>
      <c r="P12" s="20" t="inlineStr"/>
      <c r="Q12" s="20" t="inlineStr">
        <is>
          <t>G185 tropical coating</t>
        </is>
      </c>
    </row>
    <row r="13" ht="16" customHeight="1">
      <c r="B13" s="19" t="inlineStr">
        <is>
          <t>SA-ALL-003</t>
        </is>
      </c>
      <c r="C13" s="20" t="inlineStr">
        <is>
          <t>Wall Assembly</t>
        </is>
      </c>
      <c r="D13" s="20" t="inlineStr">
        <is>
          <t>1-Foundation</t>
        </is>
      </c>
      <c r="E13" s="20" t="inlineStr">
        <is>
          <t>SIGA TEAKstrip sill capillary break</t>
        </is>
      </c>
      <c r="F13" s="20" t="inlineStr">
        <is>
          <t>T2</t>
        </is>
      </c>
      <c r="G13" s="20" t="inlineStr">
        <is>
          <t>Rothoblaas / SIGA</t>
        </is>
      </c>
      <c r="H13" s="20" t="inlineStr">
        <is>
          <t>TEAKstrip</t>
        </is>
      </c>
      <c r="I13" s="20" t="inlineStr">
        <is>
          <t>Per mfr</t>
        </is>
      </c>
      <c r="J13" s="21" t="inlineStr">
        <is>
          <t>LF</t>
        </is>
      </c>
      <c r="K13" s="20" t="inlineStr">
        <is>
          <t>3.20</t>
        </is>
      </c>
      <c r="L13" s="22" t="inlineStr">
        <is>
          <t>ROM Jun 2026</t>
        </is>
      </c>
      <c r="M13" s="22" t="inlineStr"/>
      <c r="N13" s="22" t="inlineStr"/>
      <c r="O13" s="23" t="inlineStr"/>
      <c r="P13" s="20" t="inlineStr"/>
      <c r="Q13" s="20" t="inlineStr">
        <is>
          <t>T2+ only</t>
        </is>
      </c>
    </row>
    <row r="14" ht="16" customHeight="1">
      <c r="B14" s="19" t="inlineStr">
        <is>
          <t>WA-ALL-010</t>
        </is>
      </c>
      <c r="C14" s="20" t="inlineStr">
        <is>
          <t>Wall Assembly</t>
        </is>
      </c>
      <c r="D14" s="20" t="inlineStr">
        <is>
          <t>2-Panel</t>
        </is>
      </c>
      <c r="E14" s="20" t="inlineStr">
        <is>
          <t>½" Type X GWB — factory hung</t>
        </is>
      </c>
      <c r="F14" s="20" t="inlineStr">
        <is>
          <t>ALL</t>
        </is>
      </c>
      <c r="G14" s="20" t="inlineStr">
        <is>
          <t>National Gypsum / USG</t>
        </is>
      </c>
      <c r="H14" s="20" t="inlineStr">
        <is>
          <t>—</t>
        </is>
      </c>
      <c r="I14" s="20" t="inlineStr">
        <is>
          <t>UL listed</t>
        </is>
      </c>
      <c r="J14" s="21" t="inlineStr">
        <is>
          <t>SF</t>
        </is>
      </c>
      <c r="K14" s="20" t="inlineStr">
        <is>
          <t>2.60</t>
        </is>
      </c>
      <c r="L14" s="22" t="inlineStr">
        <is>
          <t>ROM Jun 2026</t>
        </is>
      </c>
      <c r="M14" s="22" t="inlineStr"/>
      <c r="N14" s="22" t="inlineStr"/>
      <c r="O14" s="23" t="inlineStr"/>
      <c r="P14" s="20" t="inlineStr"/>
      <c r="Q14" s="20" t="inlineStr">
        <is>
          <t>Hub pre-hung; site: tape+mud only</t>
        </is>
      </c>
    </row>
    <row r="15" ht="16" customHeight="1">
      <c r="B15" s="19" t="inlineStr">
        <is>
          <t>WA-ALL-011</t>
        </is>
      </c>
      <c r="C15" s="20" t="inlineStr">
        <is>
          <t>Wall Assembly</t>
        </is>
      </c>
      <c r="D15" s="20" t="inlineStr">
        <is>
          <t>2-Panel</t>
        </is>
      </c>
      <c r="E15" s="20" t="inlineStr">
        <is>
          <t>ACME 6.5" SIP Neopor GPS</t>
        </is>
      </c>
      <c r="F15" s="20" t="inlineStr">
        <is>
          <t>ALL</t>
        </is>
      </c>
      <c r="G15" s="20" t="inlineStr">
        <is>
          <t>ACME Panel</t>
        </is>
      </c>
      <c r="H15" s="20" t="inlineStr">
        <is>
          <t>6.5-N-OSB</t>
        </is>
      </c>
      <c r="I15" s="20" t="inlineStr">
        <is>
          <t>ESR-4689</t>
        </is>
      </c>
      <c r="J15" s="21" t="inlineStr">
        <is>
          <t>SF</t>
        </is>
      </c>
      <c r="K15" s="20" t="inlineStr">
        <is>
          <t>9.80</t>
        </is>
      </c>
      <c r="L15" s="22" t="inlineStr">
        <is>
          <t>ROM Jun 2026</t>
        </is>
      </c>
      <c r="M15" s="22" t="inlineStr"/>
      <c r="N15" s="22" t="inlineStr"/>
      <c r="O15" s="23" t="inlineStr"/>
      <c r="P15" s="20" t="inlineStr"/>
      <c r="Q15" s="20" t="inlineStr">
        <is>
          <t>G0 ROM — update at G4 with Claymont actual</t>
        </is>
      </c>
    </row>
    <row r="16" ht="16" customHeight="1">
      <c r="B16" s="19" t="inlineStr">
        <is>
          <t>WA-ALL-012</t>
        </is>
      </c>
      <c r="C16" s="20" t="inlineStr">
        <is>
          <t>Wall Assembly</t>
        </is>
      </c>
      <c r="D16" s="20" t="inlineStr">
        <is>
          <t>2-Panel</t>
        </is>
      </c>
      <c r="E16" s="20" t="inlineStr">
        <is>
          <t>2×6 SPF-S framing @ 16" OC</t>
        </is>
      </c>
      <c r="F16" s="20" t="inlineStr">
        <is>
          <t>T1</t>
        </is>
      </c>
      <c r="G16" s="20" t="inlineStr">
        <is>
          <t>Lumber yard</t>
        </is>
      </c>
      <c r="H16" s="20" t="inlineStr">
        <is>
          <t>#2 SPF-S</t>
        </is>
      </c>
      <c r="I16" s="20" t="inlineStr">
        <is>
          <t>IRC R602</t>
        </is>
      </c>
      <c r="J16" s="21" t="inlineStr">
        <is>
          <t>BF</t>
        </is>
      </c>
      <c r="K16" s="20" t="inlineStr">
        <is>
          <t>2.40</t>
        </is>
      </c>
      <c r="L16" s="22" t="inlineStr">
        <is>
          <t>ROM Jun 2026</t>
        </is>
      </c>
      <c r="M16" s="22" t="inlineStr"/>
      <c r="N16" s="22" t="inlineStr"/>
      <c r="O16" s="23" t="inlineStr"/>
      <c r="P16" s="20" t="inlineStr"/>
      <c r="Q16" s="20" t="inlineStr">
        <is>
          <t>Type A/B only; CLT for Type C/D</t>
        </is>
      </c>
    </row>
    <row r="17" ht="16" customHeight="1">
      <c r="B17" s="19" t="inlineStr">
        <is>
          <t>WA-ALL-013</t>
        </is>
      </c>
      <c r="C17" s="20" t="inlineStr">
        <is>
          <t>Wall Assembly</t>
        </is>
      </c>
      <c r="D17" s="20" t="inlineStr">
        <is>
          <t>2-Panel</t>
        </is>
      </c>
      <c r="E17" s="20" t="inlineStr">
        <is>
          <t>TerraLam TL500S CLT spine</t>
        </is>
      </c>
      <c r="F17" s="20" t="inlineStr">
        <is>
          <t>ALL</t>
        </is>
      </c>
      <c r="G17" s="20" t="inlineStr">
        <is>
          <t>TerraLam</t>
        </is>
      </c>
      <c r="H17" s="20" t="inlineStr">
        <is>
          <t>TL500S 5-ply</t>
        </is>
      </c>
      <c r="I17" s="20" t="inlineStr">
        <is>
          <t>ESR-5053</t>
        </is>
      </c>
      <c r="J17" s="21" t="inlineStr">
        <is>
          <t>SF</t>
        </is>
      </c>
      <c r="K17" s="20" t="inlineStr">
        <is>
          <t>18.40</t>
        </is>
      </c>
      <c r="L17" s="22" t="inlineStr">
        <is>
          <t>ROM Jun 2026</t>
        </is>
      </c>
      <c r="M17" s="22" t="inlineStr"/>
      <c r="N17" s="22" t="inlineStr"/>
      <c r="O17" s="23" t="inlineStr"/>
      <c r="P17" s="20" t="inlineStr"/>
      <c r="Q17" s="20" t="inlineStr">
        <is>
          <t>Type C/D structural spine</t>
        </is>
      </c>
    </row>
    <row r="18" ht="16" customHeight="1">
      <c r="B18" s="19" t="inlineStr">
        <is>
          <t>WA-ALL-014</t>
        </is>
      </c>
      <c r="C18" s="20" t="inlineStr">
        <is>
          <t>Wall Assembly</t>
        </is>
      </c>
      <c r="D18" s="20" t="inlineStr">
        <is>
          <t>2-Panel</t>
        </is>
      </c>
      <c r="E18" s="20" t="inlineStr">
        <is>
          <t>R-23 blown fiberglass cavity</t>
        </is>
      </c>
      <c r="F18" s="20" t="inlineStr">
        <is>
          <t>T1</t>
        </is>
      </c>
      <c r="G18" s="20" t="inlineStr">
        <is>
          <t>Various</t>
        </is>
      </c>
      <c r="H18" s="20" t="inlineStr">
        <is>
          <t>—</t>
        </is>
      </c>
      <c r="I18" s="20" t="inlineStr">
        <is>
          <t>IECC CZ4</t>
        </is>
      </c>
      <c r="J18" s="21" t="inlineStr">
        <is>
          <t>SF</t>
        </is>
      </c>
      <c r="K18" s="20" t="inlineStr">
        <is>
          <t>2.10</t>
        </is>
      </c>
      <c r="L18" s="22" t="inlineStr">
        <is>
          <t>ROM Jun 2026</t>
        </is>
      </c>
      <c r="M18" s="22" t="inlineStr"/>
      <c r="N18" s="22" t="inlineStr"/>
      <c r="O18" s="23" t="inlineStr"/>
      <c r="P18" s="20" t="inlineStr"/>
      <c r="Q18" s="20" t="inlineStr">
        <is>
          <t>T1 base cavity insulation</t>
        </is>
      </c>
    </row>
    <row r="19" ht="16" customHeight="1">
      <c r="B19" s="19" t="inlineStr">
        <is>
          <t>WA-ALL-015</t>
        </is>
      </c>
      <c r="C19" s="20" t="inlineStr">
        <is>
          <t>Wall Assembly</t>
        </is>
      </c>
      <c r="D19" s="20" t="inlineStr">
        <is>
          <t>2-Panel</t>
        </is>
      </c>
      <c r="E19" s="20" t="inlineStr">
        <is>
          <t>Rockwool Comfortbatt R-23 mineral wool</t>
        </is>
      </c>
      <c r="F19" s="20" t="inlineStr">
        <is>
          <t>T2</t>
        </is>
      </c>
      <c r="G19" s="20" t="inlineStr">
        <is>
          <t>Rockwool</t>
        </is>
      </c>
      <c r="H19" s="20" t="inlineStr">
        <is>
          <t>Comfortbatt R-23</t>
        </is>
      </c>
      <c r="I19" s="20" t="inlineStr">
        <is>
          <t>ASTM C665</t>
        </is>
      </c>
      <c r="J19" s="21" t="inlineStr">
        <is>
          <t>SF</t>
        </is>
      </c>
      <c r="K19" s="20" t="inlineStr">
        <is>
          <t>3.20</t>
        </is>
      </c>
      <c r="L19" s="22" t="inlineStr">
        <is>
          <t>ROM Jun 2026</t>
        </is>
      </c>
      <c r="M19" s="22" t="inlineStr"/>
      <c r="N19" s="22" t="inlineStr"/>
      <c r="O19" s="23" t="inlineStr"/>
      <c r="P19" s="20" t="inlineStr"/>
      <c r="Q19" s="20" t="inlineStr">
        <is>
          <t>T2+ upgrade — fire + vapor</t>
        </is>
      </c>
    </row>
    <row r="20" ht="16" customHeight="1">
      <c r="B20" s="19" t="inlineStr">
        <is>
          <t>WA-ALL-016</t>
        </is>
      </c>
      <c r="C20" s="20" t="inlineStr">
        <is>
          <t>Wall Assembly</t>
        </is>
      </c>
      <c r="D20" s="20" t="inlineStr">
        <is>
          <t>2-Panel</t>
        </is>
      </c>
      <c r="E20" s="20" t="inlineStr">
        <is>
          <t>Barricade Thermo-Brace SIB R-5</t>
        </is>
      </c>
      <c r="F20" s="20" t="inlineStr">
        <is>
          <t>ALL</t>
        </is>
      </c>
      <c r="G20" s="20" t="inlineStr">
        <is>
          <t>Barricade / INDEVCO</t>
        </is>
      </c>
      <c r="H20" s="20" t="inlineStr">
        <is>
          <t>Thermo-Brace Blue SIB</t>
        </is>
      </c>
      <c r="I20" s="20" t="inlineStr">
        <is>
          <t>TER 1507-09</t>
        </is>
      </c>
      <c r="J20" s="21" t="inlineStr">
        <is>
          <t>SF</t>
        </is>
      </c>
      <c r="K20" s="20" t="inlineStr">
        <is>
          <t>3.20</t>
        </is>
      </c>
      <c r="L20" s="22" t="inlineStr">
        <is>
          <t>ROM Jun 2026</t>
        </is>
      </c>
      <c r="M20" s="22" t="inlineStr"/>
      <c r="N20" s="22" t="inlineStr"/>
      <c r="O20" s="23" t="inlineStr"/>
      <c r="P20" s="20" t="inlineStr"/>
      <c r="Q20" s="20" t="inlineStr">
        <is>
          <t>TER renewal — verify at drjcertification.org</t>
        </is>
      </c>
    </row>
    <row r="21" ht="16" customHeight="1">
      <c r="B21" s="19" t="inlineStr">
        <is>
          <t>WA-ALL-017</t>
        </is>
      </c>
      <c r="C21" s="20" t="inlineStr">
        <is>
          <t>Wall Assembly</t>
        </is>
      </c>
      <c r="D21" s="20" t="inlineStr">
        <is>
          <t>2-Panel</t>
        </is>
      </c>
      <c r="E21" s="20" t="inlineStr">
        <is>
          <t>Prosoco R-Guard fluid WRB at penetrations</t>
        </is>
      </c>
      <c r="F21" s="20" t="inlineStr">
        <is>
          <t>T2</t>
        </is>
      </c>
      <c r="G21" s="20" t="inlineStr">
        <is>
          <t>Prosoco</t>
        </is>
      </c>
      <c r="H21" s="20" t="inlineStr">
        <is>
          <t>R-Guard FastFlash</t>
        </is>
      </c>
      <c r="I21" s="20" t="inlineStr">
        <is>
          <t>ICC listed</t>
        </is>
      </c>
      <c r="J21" s="21" t="inlineStr">
        <is>
          <t>LS</t>
        </is>
      </c>
      <c r="K21" s="20" t="inlineStr">
        <is>
          <t>0.80</t>
        </is>
      </c>
      <c r="L21" s="22" t="inlineStr">
        <is>
          <t>ROM Jun 2026</t>
        </is>
      </c>
      <c r="M21" s="22" t="inlineStr"/>
      <c r="N21" s="22" t="inlineStr"/>
      <c r="O21" s="23" t="inlineStr"/>
      <c r="P21" s="20" t="inlineStr"/>
      <c r="Q21" s="20" t="inlineStr">
        <is>
          <t>T2+ at all penetrations</t>
        </is>
      </c>
    </row>
    <row r="22" ht="16" customHeight="1">
      <c r="B22" s="19" t="inlineStr">
        <is>
          <t>WA-T3-010</t>
        </is>
      </c>
      <c r="C22" s="20" t="inlineStr">
        <is>
          <t>Wall Assembly</t>
        </is>
      </c>
      <c r="D22" s="20" t="inlineStr">
        <is>
          <t>2-Panel</t>
        </is>
      </c>
      <c r="E22" s="20" t="inlineStr">
        <is>
          <t>Pro Clima Intello+ air barrier membrane</t>
        </is>
      </c>
      <c r="F22" s="20" t="inlineStr">
        <is>
          <t>T3</t>
        </is>
      </c>
      <c r="G22" s="20" t="inlineStr">
        <is>
          <t>Pro Clima</t>
        </is>
      </c>
      <c r="H22" s="20" t="inlineStr">
        <is>
          <t>Intello Plus</t>
        </is>
      </c>
      <c r="I22" s="20" t="inlineStr">
        <is>
          <t>ICC listed</t>
        </is>
      </c>
      <c r="J22" s="21" t="inlineStr">
        <is>
          <t>SF</t>
        </is>
      </c>
      <c r="K22" s="20" t="inlineStr">
        <is>
          <t>1.80</t>
        </is>
      </c>
      <c r="L22" s="22" t="inlineStr">
        <is>
          <t>ROM Jun 2026</t>
        </is>
      </c>
      <c r="M22" s="22" t="inlineStr"/>
      <c r="N22" s="22" t="inlineStr"/>
      <c r="O22" s="23" t="inlineStr"/>
      <c r="P22" s="20" t="inlineStr"/>
      <c r="Q22" s="20" t="inlineStr">
        <is>
          <t>T3+ airtight junctions</t>
        </is>
      </c>
    </row>
    <row r="23" ht="16" customHeight="1">
      <c r="B23" s="19" t="inlineStr">
        <is>
          <t>WA-T3-011</t>
        </is>
      </c>
      <c r="C23" s="20" t="inlineStr">
        <is>
          <t>Wall Assembly</t>
        </is>
      </c>
      <c r="D23" s="20" t="inlineStr">
        <is>
          <t>2-Panel</t>
        </is>
      </c>
      <c r="E23" s="20" t="inlineStr">
        <is>
          <t>DuPont ArmorWall Plus FR SIS 2¾" R-15</t>
        </is>
      </c>
      <c r="F23" s="20" t="inlineStr">
        <is>
          <t>T3</t>
        </is>
      </c>
      <c r="G23" s="20" t="inlineStr">
        <is>
          <t>DuPont</t>
        </is>
      </c>
      <c r="H23" s="20" t="inlineStr">
        <is>
          <t>ArmorWall Plus FR 2¾"</t>
        </is>
      </c>
      <c r="I23" s="20" t="inlineStr">
        <is>
          <t>ESL-1302+1442</t>
        </is>
      </c>
      <c r="J23" s="21" t="inlineStr">
        <is>
          <t>SF</t>
        </is>
      </c>
      <c r="K23" s="20" t="inlineStr">
        <is>
          <t>11.40</t>
        </is>
      </c>
      <c r="L23" s="22" t="inlineStr">
        <is>
          <t>ROM Jun 2026</t>
        </is>
      </c>
      <c r="M23" s="22" t="inlineStr"/>
      <c r="N23" s="22" t="inlineStr"/>
      <c r="O23" s="23" t="inlineStr"/>
      <c r="P23" s="20" t="inlineStr"/>
      <c r="Q23" s="20" t="inlineStr">
        <is>
          <t>T3 outboard CI; NFPA 285 compliant</t>
        </is>
      </c>
    </row>
    <row r="24" ht="16" customHeight="1">
      <c r="B24" s="19" t="inlineStr">
        <is>
          <t>WA-T4-011</t>
        </is>
      </c>
      <c r="C24" s="20" t="inlineStr">
        <is>
          <t>Wall Assembly</t>
        </is>
      </c>
      <c r="D24" s="20" t="inlineStr">
        <is>
          <t>2-Panel</t>
        </is>
      </c>
      <c r="E24" s="20" t="inlineStr">
        <is>
          <t>DuPont ArmorWall Plus FR SIS 3¾" R-21</t>
        </is>
      </c>
      <c r="F24" s="20" t="inlineStr">
        <is>
          <t>T4</t>
        </is>
      </c>
      <c r="G24" s="20" t="inlineStr">
        <is>
          <t>DuPont</t>
        </is>
      </c>
      <c r="H24" s="20" t="inlineStr">
        <is>
          <t>ArmorWall Plus FR 3¾"</t>
        </is>
      </c>
      <c r="I24" s="20" t="inlineStr">
        <is>
          <t>ESL-1302</t>
        </is>
      </c>
      <c r="J24" s="21" t="inlineStr">
        <is>
          <t>SF</t>
        </is>
      </c>
      <c r="K24" s="20" t="inlineStr">
        <is>
          <t>14.20</t>
        </is>
      </c>
      <c r="L24" s="22" t="inlineStr">
        <is>
          <t>ROM Jun 2026</t>
        </is>
      </c>
      <c r="M24" s="22" t="inlineStr"/>
      <c r="N24" s="22" t="inlineStr"/>
      <c r="O24" s="23" t="inlineStr"/>
      <c r="P24" s="20" t="inlineStr"/>
      <c r="Q24" s="20" t="inlineStr">
        <is>
          <t>T4 max CI tier</t>
        </is>
      </c>
    </row>
    <row r="25" ht="16" customHeight="1">
      <c r="B25" s="19" t="inlineStr">
        <is>
          <t>WA-ALL-018</t>
        </is>
      </c>
      <c r="C25" s="20" t="inlineStr">
        <is>
          <t>Wall Assembly</t>
        </is>
      </c>
      <c r="D25" s="20" t="inlineStr">
        <is>
          <t>2-Panel</t>
        </is>
      </c>
      <c r="E25" s="20" t="inlineStr">
        <is>
          <t>8" CMU party wall — continuous</t>
        </is>
      </c>
      <c r="F25" s="20" t="inlineStr">
        <is>
          <t>ALL</t>
        </is>
      </c>
      <c r="G25" s="20" t="inlineStr">
        <is>
          <t>CMU supplier</t>
        </is>
      </c>
      <c r="H25" s="20" t="inlineStr">
        <is>
          <t>8" CMU</t>
        </is>
      </c>
      <c r="I25" s="20" t="inlineStr">
        <is>
          <t>IBC Ch.21</t>
        </is>
      </c>
      <c r="J25" s="21" t="inlineStr">
        <is>
          <t>SF</t>
        </is>
      </c>
      <c r="K25" s="20" t="inlineStr">
        <is>
          <t>14.20</t>
        </is>
      </c>
      <c r="L25" s="22" t="inlineStr">
        <is>
          <t>ROM Jun 2026</t>
        </is>
      </c>
      <c r="M25" s="22" t="inlineStr"/>
      <c r="N25" s="22" t="inlineStr"/>
      <c r="O25" s="23" t="inlineStr"/>
      <c r="P25" s="20" t="inlineStr"/>
      <c r="Q25" s="20" t="inlineStr">
        <is>
          <t>Foundation to underside SIP roof</t>
        </is>
      </c>
    </row>
    <row r="26" ht="16" customHeight="1">
      <c r="B26" s="19" t="inlineStr">
        <is>
          <t>WA-T2-018</t>
        </is>
      </c>
      <c r="C26" s="20" t="inlineStr">
        <is>
          <t>Wall Assembly</t>
        </is>
      </c>
      <c r="D26" s="20" t="inlineStr">
        <is>
          <t>2-Panel</t>
        </is>
      </c>
      <c r="E26" s="20" t="inlineStr">
        <is>
          <t>Thermafiber 4" + Hilti FS-ONE MAX</t>
        </is>
      </c>
      <c r="F26" s="20" t="inlineStr">
        <is>
          <t>T2</t>
        </is>
      </c>
      <c r="G26" s="20" t="inlineStr">
        <is>
          <t>Thermafiber / Hilti</t>
        </is>
      </c>
      <c r="H26" s="20" t="inlineStr">
        <is>
          <t>RainBarrier / FS-ONE MAX</t>
        </is>
      </c>
      <c r="I26" s="20" t="inlineStr">
        <is>
          <t>UL listed</t>
        </is>
      </c>
      <c r="J26" s="21" t="inlineStr">
        <is>
          <t>SF</t>
        </is>
      </c>
      <c r="K26" s="20" t="inlineStr">
        <is>
          <t>3.60</t>
        </is>
      </c>
      <c r="L26" s="22" t="inlineStr">
        <is>
          <t>ROM Jun 2026</t>
        </is>
      </c>
      <c r="M26" s="22" t="inlineStr"/>
      <c r="N26" s="22" t="inlineStr"/>
      <c r="O26" s="23" t="inlineStr"/>
      <c r="P26" s="20" t="inlineStr"/>
      <c r="Q26" s="20" t="inlineStr">
        <is>
          <t>T2 party wall upgrade</t>
        </is>
      </c>
    </row>
    <row r="27" ht="16" customHeight="1">
      <c r="B27" s="19" t="inlineStr">
        <is>
          <t>WA-T3-018</t>
        </is>
      </c>
      <c r="C27" s="20" t="inlineStr">
        <is>
          <t>Wall Assembly</t>
        </is>
      </c>
      <c r="D27" s="20" t="inlineStr">
        <is>
          <t>2-Panel</t>
        </is>
      </c>
      <c r="E27" s="20" t="inlineStr">
        <is>
          <t>Huber EXACOR MGO party wall face</t>
        </is>
      </c>
      <c r="F27" s="20" t="inlineStr">
        <is>
          <t>T3</t>
        </is>
      </c>
      <c r="G27" s="20" t="inlineStr">
        <is>
          <t>Huber Engineered Woods</t>
        </is>
      </c>
      <c r="H27" s="20" t="inlineStr">
        <is>
          <t>EXACOR</t>
        </is>
      </c>
      <c r="I27" s="20" t="inlineStr">
        <is>
          <t>ESR-4635</t>
        </is>
      </c>
      <c r="J27" s="21" t="inlineStr">
        <is>
          <t>SF</t>
        </is>
      </c>
      <c r="K27" s="20" t="inlineStr">
        <is>
          <t>4.80</t>
        </is>
      </c>
      <c r="L27" s="22" t="inlineStr">
        <is>
          <t>ROM Jun 2026</t>
        </is>
      </c>
      <c r="M27" s="22" t="inlineStr"/>
      <c r="N27" s="22" t="inlineStr"/>
      <c r="O27" s="23" t="inlineStr"/>
      <c r="P27" s="20" t="inlineStr"/>
      <c r="Q27" s="20" t="inlineStr">
        <is>
          <t>2-hr ASTM E119</t>
        </is>
      </c>
    </row>
    <row r="28" ht="16" customHeight="1">
      <c r="B28" s="24" t="inlineStr">
        <is>
          <t>CL-ALL-001</t>
        </is>
      </c>
      <c r="C28" s="25" t="inlineStr">
        <is>
          <t>Cladding</t>
        </is>
      </c>
      <c r="D28" s="25" t="inlineStr">
        <is>
          <t>3-Cladding</t>
        </is>
      </c>
      <c r="E28" s="25" t="inlineStr">
        <is>
          <t>Allura Lap 7" — factory primed</t>
        </is>
      </c>
      <c r="F28" s="25" t="inlineStr">
        <is>
          <t>T1</t>
        </is>
      </c>
      <c r="G28" s="25" t="inlineStr">
        <is>
          <t>Allura USA</t>
        </is>
      </c>
      <c r="H28" s="25" t="inlineStr">
        <is>
          <t>Allura Lap 7"</t>
        </is>
      </c>
      <c r="I28" s="25" t="inlineStr">
        <is>
          <t>ASTM E84 CL-A</t>
        </is>
      </c>
      <c r="J28" s="21" t="inlineStr">
        <is>
          <t>SF</t>
        </is>
      </c>
      <c r="K28" s="25" t="inlineStr">
        <is>
          <t>7.50</t>
        </is>
      </c>
      <c r="L28" s="22" t="inlineStr">
        <is>
          <t>ROM Jun 2026</t>
        </is>
      </c>
      <c r="M28" s="22" t="inlineStr"/>
      <c r="N28" s="22" t="inlineStr"/>
      <c r="O28" s="23" t="inlineStr"/>
      <c r="P28" s="25" t="inlineStr"/>
      <c r="Q28" s="25" t="inlineStr">
        <is>
          <t>50-yr warranty; 1" rainscreen req.</t>
        </is>
      </c>
    </row>
    <row r="29" ht="16" customHeight="1">
      <c r="B29" s="24" t="inlineStr">
        <is>
          <t>CL-ALL-002</t>
        </is>
      </c>
      <c r="C29" s="25" t="inlineStr">
        <is>
          <t>Cladding</t>
        </is>
      </c>
      <c r="D29" s="25" t="inlineStr">
        <is>
          <t>3-Cladding</t>
        </is>
      </c>
      <c r="E29" s="25" t="inlineStr">
        <is>
          <t>Allura Panel — Spectrum pre-finished</t>
        </is>
      </c>
      <c r="F29" s="25" t="inlineStr">
        <is>
          <t>T2</t>
        </is>
      </c>
      <c r="G29" s="25" t="inlineStr">
        <is>
          <t>Allura USA</t>
        </is>
      </c>
      <c r="H29" s="25" t="inlineStr">
        <is>
          <t>Allura Panel Spectrum</t>
        </is>
      </c>
      <c r="I29" s="25" t="inlineStr">
        <is>
          <t>ASTM E84 CL-A</t>
        </is>
      </c>
      <c r="J29" s="21" t="inlineStr">
        <is>
          <t>SF</t>
        </is>
      </c>
      <c r="K29" s="25" t="inlineStr">
        <is>
          <t>9.20</t>
        </is>
      </c>
      <c r="L29" s="22" t="inlineStr">
        <is>
          <t>ROM Jun 2026</t>
        </is>
      </c>
      <c r="M29" s="22" t="inlineStr"/>
      <c r="N29" s="22" t="inlineStr"/>
      <c r="O29" s="23" t="inlineStr"/>
      <c r="P29" s="25" t="inlineStr"/>
      <c r="Q29" s="25" t="inlineStr">
        <is>
          <t>No field paint; direct to SIB</t>
        </is>
      </c>
    </row>
    <row r="30" ht="16" customHeight="1">
      <c r="B30" s="24" t="inlineStr">
        <is>
          <t>CL-ALL-003</t>
        </is>
      </c>
      <c r="C30" s="25" t="inlineStr">
        <is>
          <t>Cladding</t>
        </is>
      </c>
      <c r="D30" s="25" t="inlineStr">
        <is>
          <t>3-Cladding</t>
        </is>
      </c>
      <c r="E30" s="25" t="inlineStr">
        <is>
          <t>Allura Panel + Shakes — Spectrum</t>
        </is>
      </c>
      <c r="F30" s="25" t="inlineStr">
        <is>
          <t>T3</t>
        </is>
      </c>
      <c r="G30" s="25" t="inlineStr">
        <is>
          <t>Allura USA</t>
        </is>
      </c>
      <c r="H30" s="25" t="inlineStr">
        <is>
          <t>Allura Panel + Shakes</t>
        </is>
      </c>
      <c r="I30" s="25" t="inlineStr">
        <is>
          <t>ASTM E84 CL-A</t>
        </is>
      </c>
      <c r="J30" s="21" t="inlineStr">
        <is>
          <t>SF</t>
        </is>
      </c>
      <c r="K30" s="25" t="inlineStr">
        <is>
          <t>11.80</t>
        </is>
      </c>
      <c r="L30" s="22" t="inlineStr">
        <is>
          <t>ROM Jun 2026</t>
        </is>
      </c>
      <c r="M30" s="22" t="inlineStr"/>
      <c r="N30" s="22" t="inlineStr"/>
      <c r="O30" s="23" t="inlineStr"/>
      <c r="P30" s="25" t="inlineStr"/>
      <c r="Q30" s="25" t="inlineStr">
        <is>
          <t>Direct attach to ArmorWall MgO face</t>
        </is>
      </c>
    </row>
    <row r="31" ht="16" customHeight="1">
      <c r="B31" s="24" t="inlineStr">
        <is>
          <t>CL-ALL-004</t>
        </is>
      </c>
      <c r="C31" s="25" t="inlineStr">
        <is>
          <t>Cladding</t>
        </is>
      </c>
      <c r="D31" s="25" t="inlineStr">
        <is>
          <t>3-Cladding</t>
        </is>
      </c>
      <c r="E31" s="25" t="inlineStr">
        <is>
          <t>Allura Trim at all openings</t>
        </is>
      </c>
      <c r="F31" s="25" t="inlineStr">
        <is>
          <t>ALL</t>
        </is>
      </c>
      <c r="G31" s="25" t="inlineStr">
        <is>
          <t>Allura USA</t>
        </is>
      </c>
      <c r="H31" s="25" t="inlineStr">
        <is>
          <t>Allura Trim</t>
        </is>
      </c>
      <c r="I31" s="25" t="inlineStr">
        <is>
          <t>ASTM E84 CL-A</t>
        </is>
      </c>
      <c r="J31" s="21" t="inlineStr">
        <is>
          <t>LF</t>
        </is>
      </c>
      <c r="K31" s="25" t="inlineStr">
        <is>
          <t>4.20</t>
        </is>
      </c>
      <c r="L31" s="22" t="inlineStr">
        <is>
          <t>ROM Jun 2026</t>
        </is>
      </c>
      <c r="M31" s="22" t="inlineStr"/>
      <c r="N31" s="22" t="inlineStr"/>
      <c r="O31" s="23" t="inlineStr"/>
      <c r="P31" s="25" t="inlineStr"/>
      <c r="Q31" s="25" t="inlineStr">
        <is>
          <t>All tiers</t>
        </is>
      </c>
    </row>
    <row r="32" ht="16" customHeight="1">
      <c r="B32" s="24" t="inlineStr">
        <is>
          <t>CL-ALL-005</t>
        </is>
      </c>
      <c r="C32" s="25" t="inlineStr">
        <is>
          <t>Cladding</t>
        </is>
      </c>
      <c r="D32" s="25" t="inlineStr">
        <is>
          <t>3-Cladding</t>
        </is>
      </c>
      <c r="E32" s="25" t="inlineStr">
        <is>
          <t>Allura Soffit at overhangs</t>
        </is>
      </c>
      <c r="F32" s="25" t="inlineStr">
        <is>
          <t>T2</t>
        </is>
      </c>
      <c r="G32" s="25" t="inlineStr">
        <is>
          <t>Allura USA</t>
        </is>
      </c>
      <c r="H32" s="25" t="inlineStr">
        <is>
          <t>Allura Soffit</t>
        </is>
      </c>
      <c r="I32" s="25" t="inlineStr">
        <is>
          <t>ASTM E84 CL-A</t>
        </is>
      </c>
      <c r="J32" s="21" t="inlineStr">
        <is>
          <t>SF</t>
        </is>
      </c>
      <c r="K32" s="25" t="inlineStr">
        <is>
          <t>5.40</t>
        </is>
      </c>
      <c r="L32" s="22" t="inlineStr">
        <is>
          <t>ROM Jun 2026</t>
        </is>
      </c>
      <c r="M32" s="22" t="inlineStr"/>
      <c r="N32" s="22" t="inlineStr"/>
      <c r="O32" s="23" t="inlineStr"/>
      <c r="P32" s="25" t="inlineStr"/>
      <c r="Q32" s="25" t="inlineStr">
        <is>
          <t>T2+ all overhangs</t>
        </is>
      </c>
    </row>
    <row r="33" ht="16" customHeight="1">
      <c r="B33" s="24" t="inlineStr">
        <is>
          <t>CL-EXP-001</t>
        </is>
      </c>
      <c r="C33" s="25" t="inlineStr">
        <is>
          <t>Cladding</t>
        </is>
      </c>
      <c r="D33" s="25" t="inlineStr">
        <is>
          <t>3-Cladding</t>
        </is>
      </c>
      <c r="E33" s="25" t="inlineStr">
        <is>
          <t>Allura FC tropical — G235 fasteners</t>
        </is>
      </c>
      <c r="F33" s="25" t="inlineStr">
        <is>
          <t>EXP</t>
        </is>
      </c>
      <c r="G33" s="25" t="inlineStr">
        <is>
          <t>Allura USA</t>
        </is>
      </c>
      <c r="H33" s="25" t="inlineStr">
        <is>
          <t>Allura Panel tropical</t>
        </is>
      </c>
      <c r="I33" s="25" t="inlineStr">
        <is>
          <t>ASTM E84 CL-A</t>
        </is>
      </c>
      <c r="J33" s="21" t="inlineStr">
        <is>
          <t>SF</t>
        </is>
      </c>
      <c r="K33" s="25" t="inlineStr">
        <is>
          <t>6.80</t>
        </is>
      </c>
      <c r="L33" s="22" t="inlineStr">
        <is>
          <t>ROM Jun 2026</t>
        </is>
      </c>
      <c r="M33" s="22" t="inlineStr"/>
      <c r="N33" s="22" t="inlineStr"/>
      <c r="O33" s="23" t="inlineStr"/>
      <c r="P33" s="25" t="inlineStr"/>
      <c r="Q33" s="25" t="inlineStr">
        <is>
          <t>MANDATORY Caribbean; ICC 500 req.</t>
        </is>
      </c>
    </row>
    <row r="34" ht="16" customHeight="1">
      <c r="B34" s="26" t="inlineStr">
        <is>
          <t>SA-T1-001</t>
        </is>
      </c>
      <c r="C34" s="27" t="inlineStr">
        <is>
          <t>SAPK Connector</t>
        </is>
      </c>
      <c r="D34" s="27" t="inlineStr">
        <is>
          <t>4-SAPK</t>
        </is>
      </c>
      <c r="E34" s="27" t="inlineStr">
        <is>
          <t>Simpson HTT4 hold-down</t>
        </is>
      </c>
      <c r="F34" s="27" t="inlineStr">
        <is>
          <t>T1</t>
        </is>
      </c>
      <c r="G34" s="27" t="inlineStr">
        <is>
          <t>Simpson Strong-Tie</t>
        </is>
      </c>
      <c r="H34" s="27" t="inlineStr">
        <is>
          <t>HTT4</t>
        </is>
      </c>
      <c r="I34" s="27" t="inlineStr">
        <is>
          <t>ESR-1188</t>
        </is>
      </c>
      <c r="J34" s="21" t="inlineStr">
        <is>
          <t>EA</t>
        </is>
      </c>
      <c r="K34" s="27" t="inlineStr">
        <is>
          <t>28.40</t>
        </is>
      </c>
      <c r="L34" s="22" t="inlineStr">
        <is>
          <t>ROM Jun 2026</t>
        </is>
      </c>
      <c r="M34" s="22" t="inlineStr"/>
      <c r="N34" s="22" t="inlineStr"/>
      <c r="O34" s="23" t="inlineStr"/>
      <c r="P34" s="27" t="inlineStr"/>
      <c r="Q34" s="27" t="inlineStr">
        <is>
          <t>CFS stud to foundation at shear wall ends</t>
        </is>
      </c>
    </row>
    <row r="35" ht="16" customHeight="1">
      <c r="B35" s="26" t="inlineStr">
        <is>
          <t>SA-T2-001</t>
        </is>
      </c>
      <c r="C35" s="27" t="inlineStr">
        <is>
          <t>SAPK Connector</t>
        </is>
      </c>
      <c r="D35" s="27" t="inlineStr">
        <is>
          <t>4-SAPK</t>
        </is>
      </c>
      <c r="E35" s="27" t="inlineStr">
        <is>
          <t>Simpson HTT5 hold-down</t>
        </is>
      </c>
      <c r="F35" s="27" t="inlineStr">
        <is>
          <t>T2</t>
        </is>
      </c>
      <c r="G35" s="27" t="inlineStr">
        <is>
          <t>Simpson Strong-Tie</t>
        </is>
      </c>
      <c r="H35" s="27" t="inlineStr">
        <is>
          <t>HTT5</t>
        </is>
      </c>
      <c r="I35" s="27" t="inlineStr">
        <is>
          <t>ESR-1188</t>
        </is>
      </c>
      <c r="J35" s="21" t="inlineStr">
        <is>
          <t>EA</t>
        </is>
      </c>
      <c r="K35" s="27" t="inlineStr">
        <is>
          <t>34.20</t>
        </is>
      </c>
      <c r="L35" s="22" t="inlineStr">
        <is>
          <t>ROM Jun 2026</t>
        </is>
      </c>
      <c r="M35" s="22" t="inlineStr"/>
      <c r="N35" s="22" t="inlineStr"/>
      <c r="O35" s="23" t="inlineStr"/>
      <c r="P35" s="27" t="inlineStr"/>
      <c r="Q35" s="27" t="inlineStr">
        <is>
          <t>T2–T3 higher load</t>
        </is>
      </c>
    </row>
    <row r="36" ht="16" customHeight="1">
      <c r="B36" s="26" t="inlineStr">
        <is>
          <t>SA-T4-001</t>
        </is>
      </c>
      <c r="C36" s="27" t="inlineStr">
        <is>
          <t>SAPK Connector</t>
        </is>
      </c>
      <c r="D36" s="27" t="inlineStr">
        <is>
          <t>4-SAPK</t>
        </is>
      </c>
      <c r="E36" s="27" t="inlineStr">
        <is>
          <t>Simpson HTT22 hold-down</t>
        </is>
      </c>
      <c r="F36" s="27" t="inlineStr">
        <is>
          <t>T4</t>
        </is>
      </c>
      <c r="G36" s="27" t="inlineStr">
        <is>
          <t>Simpson Strong-Tie</t>
        </is>
      </c>
      <c r="H36" s="27" t="inlineStr">
        <is>
          <t>HTT22</t>
        </is>
      </c>
      <c r="I36" s="27" t="inlineStr">
        <is>
          <t>ESR-1188</t>
        </is>
      </c>
      <c r="J36" s="21" t="inlineStr">
        <is>
          <t>EA</t>
        </is>
      </c>
      <c r="K36" s="27" t="inlineStr">
        <is>
          <t>48.60</t>
        </is>
      </c>
      <c r="L36" s="22" t="inlineStr">
        <is>
          <t>ROM Jun 2026</t>
        </is>
      </c>
      <c r="M36" s="22" t="inlineStr"/>
      <c r="N36" s="22" t="inlineStr"/>
      <c r="O36" s="23" t="inlineStr"/>
      <c r="P36" s="27" t="inlineStr"/>
      <c r="Q36" s="27" t="inlineStr">
        <is>
          <t>T4 max load off-grid shear wall</t>
        </is>
      </c>
    </row>
    <row r="37" ht="16" customHeight="1">
      <c r="B37" s="26" t="inlineStr">
        <is>
          <t>SA-ALL-010</t>
        </is>
      </c>
      <c r="C37" s="27" t="inlineStr">
        <is>
          <t>SAPK Connector</t>
        </is>
      </c>
      <c r="D37" s="27" t="inlineStr">
        <is>
          <t>4-SAPK</t>
        </is>
      </c>
      <c r="E37" s="27" t="inlineStr">
        <is>
          <t>Simpson SCLC stair cassette ledger</t>
        </is>
      </c>
      <c r="F37" s="27" t="inlineStr">
        <is>
          <t>ALL</t>
        </is>
      </c>
      <c r="G37" s="27" t="inlineStr">
        <is>
          <t>Simpson Strong-Tie</t>
        </is>
      </c>
      <c r="H37" s="27" t="inlineStr">
        <is>
          <t>SCLC</t>
        </is>
      </c>
      <c r="I37" s="27" t="inlineStr">
        <is>
          <t>C-C-2024</t>
        </is>
      </c>
      <c r="J37" s="21" t="inlineStr">
        <is>
          <t>EA</t>
        </is>
      </c>
      <c r="K37" s="27" t="inlineStr">
        <is>
          <t>18.40</t>
        </is>
      </c>
      <c r="L37" s="22" t="inlineStr">
        <is>
          <t>ROM Jun 2026</t>
        </is>
      </c>
      <c r="M37" s="22" t="inlineStr"/>
      <c r="N37" s="22" t="inlineStr"/>
      <c r="O37" s="23" t="inlineStr"/>
      <c r="P37" s="27" t="inlineStr"/>
      <c r="Q37" s="27" t="inlineStr">
        <is>
          <t>Hub-built cassette; site: lower onto SCLC</t>
        </is>
      </c>
    </row>
    <row r="38" ht="16" customHeight="1">
      <c r="B38" s="26" t="inlineStr">
        <is>
          <t>SA-ALL-011</t>
        </is>
      </c>
      <c r="C38" s="27" t="inlineStr">
        <is>
          <t>SAPK Connector</t>
        </is>
      </c>
      <c r="D38" s="27" t="inlineStr">
        <is>
          <t>4-SAPK</t>
        </is>
      </c>
      <c r="E38" s="27" t="inlineStr">
        <is>
          <t>Simpson SDWS timber screw</t>
        </is>
      </c>
      <c r="F38" s="27" t="inlineStr">
        <is>
          <t>ALL</t>
        </is>
      </c>
      <c r="G38" s="27" t="inlineStr">
        <is>
          <t>Simpson Strong-Tie</t>
        </is>
      </c>
      <c r="H38" s="27" t="inlineStr">
        <is>
          <t>SDWS22300DB</t>
        </is>
      </c>
      <c r="I38" s="27" t="inlineStr">
        <is>
          <t>IAPMO ER-192</t>
        </is>
      </c>
      <c r="J38" s="21" t="inlineStr">
        <is>
          <t>EA</t>
        </is>
      </c>
      <c r="K38" s="27" t="inlineStr">
        <is>
          <t>1.20</t>
        </is>
      </c>
      <c r="L38" s="22" t="inlineStr">
        <is>
          <t>ROM Jun 2026</t>
        </is>
      </c>
      <c r="M38" s="22" t="inlineStr"/>
      <c r="N38" s="22" t="inlineStr"/>
      <c r="O38" s="23" t="inlineStr"/>
      <c r="P38" s="27" t="inlineStr"/>
      <c r="Q38" s="27" t="inlineStr">
        <is>
          <t>CLT-to-CLT surface splines</t>
        </is>
      </c>
    </row>
    <row r="39" ht="16" customHeight="1">
      <c r="B39" s="26" t="inlineStr">
        <is>
          <t>SA-T3-011</t>
        </is>
      </c>
      <c r="C39" s="27" t="inlineStr">
        <is>
          <t>SAPK Connector</t>
        </is>
      </c>
      <c r="D39" s="27" t="inlineStr">
        <is>
          <t>4-SAPK</t>
        </is>
      </c>
      <c r="E39" s="27" t="inlineStr">
        <is>
          <t>Simpson SDHR Combo-Head — T3</t>
        </is>
      </c>
      <c r="F39" s="27" t="inlineStr">
        <is>
          <t>T3</t>
        </is>
      </c>
      <c r="G39" s="27" t="inlineStr">
        <is>
          <t>Simpson Strong-Tie</t>
        </is>
      </c>
      <c r="H39" s="27" t="inlineStr">
        <is>
          <t>SDHR</t>
        </is>
      </c>
      <c r="I39" s="27" t="inlineStr">
        <is>
          <t>IAPMO ER-192</t>
        </is>
      </c>
      <c r="J39" s="21" t="inlineStr">
        <is>
          <t>EA</t>
        </is>
      </c>
      <c r="K39" s="27" t="inlineStr">
        <is>
          <t>1.60</t>
        </is>
      </c>
      <c r="L39" s="22" t="inlineStr">
        <is>
          <t>ROM Jun 2026</t>
        </is>
      </c>
      <c r="M39" s="22" t="inlineStr"/>
      <c r="N39" s="22" t="inlineStr"/>
      <c r="O39" s="23" t="inlineStr"/>
      <c r="P39" s="27" t="inlineStr"/>
      <c r="Q39" s="27" t="inlineStr">
        <is>
          <t>Metal plate to CLT; black e-coat</t>
        </is>
      </c>
    </row>
    <row r="40" ht="16" customHeight="1">
      <c r="B40" s="26" t="inlineStr">
        <is>
          <t>SA-T4-011</t>
        </is>
      </c>
      <c r="C40" s="27" t="inlineStr">
        <is>
          <t>SAPK Connector</t>
        </is>
      </c>
      <c r="D40" s="27" t="inlineStr">
        <is>
          <t>4-SAPK</t>
        </is>
      </c>
      <c r="E40" s="27" t="inlineStr">
        <is>
          <t>Simpson SDHR Combo-Head — T4</t>
        </is>
      </c>
      <c r="F40" s="27" t="inlineStr">
        <is>
          <t>T4</t>
        </is>
      </c>
      <c r="G40" s="27" t="inlineStr">
        <is>
          <t>Simpson Strong-Tie</t>
        </is>
      </c>
      <c r="H40" s="27" t="inlineStr">
        <is>
          <t>SDHR</t>
        </is>
      </c>
      <c r="I40" s="27" t="inlineStr">
        <is>
          <t>IAPMO ER-192</t>
        </is>
      </c>
      <c r="J40" s="21" t="inlineStr">
        <is>
          <t>EA</t>
        </is>
      </c>
      <c r="K40" s="27" t="inlineStr">
        <is>
          <t>1.60</t>
        </is>
      </c>
      <c r="L40" s="22" t="inlineStr">
        <is>
          <t>ROM Jun 2026</t>
        </is>
      </c>
      <c r="M40" s="22" t="inlineStr"/>
      <c r="N40" s="22" t="inlineStr"/>
      <c r="O40" s="23" t="inlineStr"/>
      <c r="P40" s="27" t="inlineStr"/>
      <c r="Q40" s="27" t="inlineStr">
        <is>
          <t>Same; A4 stainless spec T4</t>
        </is>
      </c>
    </row>
    <row r="41" ht="16" customHeight="1">
      <c r="B41" s="26" t="inlineStr">
        <is>
          <t>SA-ALL-012</t>
        </is>
      </c>
      <c r="C41" s="27" t="inlineStr">
        <is>
          <t>SAPK Connector</t>
        </is>
      </c>
      <c r="D41" s="27" t="inlineStr">
        <is>
          <t>4-SAPK</t>
        </is>
      </c>
      <c r="E41" s="27" t="inlineStr">
        <is>
          <t>Simpson SDS Heavy-Duty screw</t>
        </is>
      </c>
      <c r="F41" s="27" t="inlineStr">
        <is>
          <t>ALL</t>
        </is>
      </c>
      <c r="G41" s="27" t="inlineStr">
        <is>
          <t>Simpson Strong-Tie</t>
        </is>
      </c>
      <c r="H41" s="27" t="inlineStr">
        <is>
          <t>SDS25300</t>
        </is>
      </c>
      <c r="I41" s="27" t="inlineStr">
        <is>
          <t>ESR-1374</t>
        </is>
      </c>
      <c r="J41" s="21" t="inlineStr">
        <is>
          <t>EA</t>
        </is>
      </c>
      <c r="K41" s="27" t="inlineStr">
        <is>
          <t>0.80</t>
        </is>
      </c>
      <c r="L41" s="22" t="inlineStr">
        <is>
          <t>ROM Jun 2026</t>
        </is>
      </c>
      <c r="M41" s="22" t="inlineStr"/>
      <c r="N41" s="22" t="inlineStr"/>
      <c r="O41" s="23" t="inlineStr"/>
      <c r="P41" s="27" t="inlineStr"/>
      <c r="Q41" s="27" t="inlineStr">
        <is>
          <t>CFS-to-wood; stair cassette fastening</t>
        </is>
      </c>
    </row>
    <row r="42" ht="16" customHeight="1">
      <c r="B42" s="26" t="inlineStr">
        <is>
          <t>SA-ALL-020</t>
        </is>
      </c>
      <c r="C42" s="27" t="inlineStr">
        <is>
          <t>SAPK Connector</t>
        </is>
      </c>
      <c r="D42" s="27" t="inlineStr">
        <is>
          <t>4-SAPK</t>
        </is>
      </c>
      <c r="E42" s="27" t="inlineStr">
        <is>
          <t>Rothoblaas ALUMEGA concealed connector</t>
        </is>
      </c>
      <c r="F42" s="27" t="inlineStr">
        <is>
          <t>ALL</t>
        </is>
      </c>
      <c r="G42" s="27" t="inlineStr">
        <is>
          <t>Rothoblaas</t>
        </is>
      </c>
      <c r="H42" s="27" t="inlineStr">
        <is>
          <t>ALUMEGA</t>
        </is>
      </c>
      <c r="I42" s="27" t="inlineStr">
        <is>
          <t>ESR-4546 / AC233</t>
        </is>
      </c>
      <c r="J42" s="21" t="inlineStr">
        <is>
          <t>EA</t>
        </is>
      </c>
      <c r="K42" s="27" t="inlineStr">
        <is>
          <t>48.00</t>
        </is>
      </c>
      <c r="L42" s="22" t="inlineStr">
        <is>
          <t>ROM Jun 2026</t>
        </is>
      </c>
      <c r="M42" s="22" t="inlineStr"/>
      <c r="N42" s="22" t="inlineStr"/>
      <c r="O42" s="23" t="inlineStr"/>
      <c r="P42" s="27" t="inlineStr"/>
      <c r="Q42" s="27" t="inlineStr">
        <is>
          <t>CLT-to-CFS top track bearing; fire-documented</t>
        </is>
      </c>
    </row>
    <row r="43" ht="16" customHeight="1">
      <c r="B43" s="26" t="inlineStr">
        <is>
          <t>SA-T3-020</t>
        </is>
      </c>
      <c r="C43" s="27" t="inlineStr">
        <is>
          <t>SAPK Connector</t>
        </is>
      </c>
      <c r="D43" s="27" t="inlineStr">
        <is>
          <t>4-SAPK</t>
        </is>
      </c>
      <c r="E43" s="27" t="inlineStr">
        <is>
          <t>Rothoblaas ALUMEGA + HBS PLATE EVO</t>
        </is>
      </c>
      <c r="F43" s="27" t="inlineStr">
        <is>
          <t>T3</t>
        </is>
      </c>
      <c r="G43" s="27" t="inlineStr">
        <is>
          <t>Rothoblaas</t>
        </is>
      </c>
      <c r="H43" s="27" t="inlineStr">
        <is>
          <t>ALUMEGA / HBS-PLT-EVO</t>
        </is>
      </c>
      <c r="I43" s="27" t="inlineStr">
        <is>
          <t>ESR-4546 / AC257</t>
        </is>
      </c>
      <c r="J43" s="21" t="inlineStr">
        <is>
          <t>EA</t>
        </is>
      </c>
      <c r="K43" s="27" t="inlineStr">
        <is>
          <t>54.00</t>
        </is>
      </c>
      <c r="L43" s="22" t="inlineStr">
        <is>
          <t>ROM Jun 2026</t>
        </is>
      </c>
      <c r="M43" s="22" t="inlineStr"/>
      <c r="N43" s="22" t="inlineStr"/>
      <c r="O43" s="23" t="inlineStr"/>
      <c r="P43" s="27" t="inlineStr"/>
      <c r="Q43" s="27" t="inlineStr">
        <is>
          <t>C4 corrosion class; EVO coating</t>
        </is>
      </c>
    </row>
    <row r="44" ht="16" customHeight="1">
      <c r="B44" s="26" t="inlineStr">
        <is>
          <t>SA-T4-020</t>
        </is>
      </c>
      <c r="C44" s="27" t="inlineStr">
        <is>
          <t>SAPK Connector</t>
        </is>
      </c>
      <c r="D44" s="27" t="inlineStr">
        <is>
          <t>4-SAPK</t>
        </is>
      </c>
      <c r="E44" s="27" t="inlineStr">
        <is>
          <t>Rothoblaas ALUMEGA + HBS PLATE A4</t>
        </is>
      </c>
      <c r="F44" s="27" t="inlineStr">
        <is>
          <t>T4</t>
        </is>
      </c>
      <c r="G44" s="27" t="inlineStr">
        <is>
          <t>Rothoblaas</t>
        </is>
      </c>
      <c r="H44" s="27" t="inlineStr">
        <is>
          <t>ALUMEGA / HBS-PLT-A4</t>
        </is>
      </c>
      <c r="I44" s="27" t="inlineStr">
        <is>
          <t>ESR-4546</t>
        </is>
      </c>
      <c r="J44" s="21" t="inlineStr">
        <is>
          <t>EA</t>
        </is>
      </c>
      <c r="K44" s="27" t="inlineStr">
        <is>
          <t>62.00</t>
        </is>
      </c>
      <c r="L44" s="22" t="inlineStr">
        <is>
          <t>ROM Jun 2026</t>
        </is>
      </c>
      <c r="M44" s="22" t="inlineStr"/>
      <c r="N44" s="22" t="inlineStr"/>
      <c r="O44" s="23" t="inlineStr"/>
      <c r="P44" s="27" t="inlineStr"/>
      <c r="Q44" s="27" t="inlineStr">
        <is>
          <t>A4 stainless; coastal + off-grid</t>
        </is>
      </c>
    </row>
    <row r="45" ht="16" customHeight="1">
      <c r="B45" s="26" t="inlineStr">
        <is>
          <t>SA-EXP-020</t>
        </is>
      </c>
      <c r="C45" s="27" t="inlineStr">
        <is>
          <t>SAPK Connector</t>
        </is>
      </c>
      <c r="D45" s="27" t="inlineStr">
        <is>
          <t>4-SAPK</t>
        </is>
      </c>
      <c r="E45" s="27" t="inlineStr">
        <is>
          <t>Rothoblaas ALUMEGA A4 — export</t>
        </is>
      </c>
      <c r="F45" s="27" t="inlineStr">
        <is>
          <t>EXP</t>
        </is>
      </c>
      <c r="G45" s="27" t="inlineStr">
        <is>
          <t>Rothoblaas</t>
        </is>
      </c>
      <c r="H45" s="27" t="inlineStr">
        <is>
          <t>ALUMEGA-A4</t>
        </is>
      </c>
      <c r="I45" s="27" t="inlineStr">
        <is>
          <t>ESR-4546</t>
        </is>
      </c>
      <c r="J45" s="21" t="inlineStr">
        <is>
          <t>EA</t>
        </is>
      </c>
      <c r="K45" s="27" t="inlineStr">
        <is>
          <t>62.00</t>
        </is>
      </c>
      <c r="L45" s="22" t="inlineStr">
        <is>
          <t>ROM Jun 2026</t>
        </is>
      </c>
      <c r="M45" s="22" t="inlineStr"/>
      <c r="N45" s="22" t="inlineStr"/>
      <c r="O45" s="23" t="inlineStr"/>
      <c r="P45" s="27" t="inlineStr"/>
      <c r="Q45" s="27" t="inlineStr">
        <is>
          <t>Caribbean salt-air service class</t>
        </is>
      </c>
    </row>
    <row r="46" ht="16" customHeight="1">
      <c r="B46" s="26" t="inlineStr">
        <is>
          <t>SA-ALL-021</t>
        </is>
      </c>
      <c r="C46" s="27" t="inlineStr">
        <is>
          <t>SAPK Connector</t>
        </is>
      </c>
      <c r="D46" s="27" t="inlineStr">
        <is>
          <t>4-SAPK</t>
        </is>
      </c>
      <c r="E46" s="27" t="inlineStr">
        <is>
          <t>Rothoblaas SIGA Rissan airtight tape</t>
        </is>
      </c>
      <c r="F46" s="27" t="inlineStr">
        <is>
          <t>T2</t>
        </is>
      </c>
      <c r="G46" s="27" t="inlineStr">
        <is>
          <t>Rothoblaas</t>
        </is>
      </c>
      <c r="H46" s="27" t="inlineStr">
        <is>
          <t>SIGA Rissan 60</t>
        </is>
      </c>
      <c r="I46" s="27" t="inlineStr">
        <is>
          <t>Per mfr</t>
        </is>
      </c>
      <c r="J46" s="21" t="inlineStr">
        <is>
          <t>LF</t>
        </is>
      </c>
      <c r="K46" s="27" t="inlineStr">
        <is>
          <t>2.80</t>
        </is>
      </c>
      <c r="L46" s="22" t="inlineStr">
        <is>
          <t>ROM Jun 2026</t>
        </is>
      </c>
      <c r="M46" s="22" t="inlineStr"/>
      <c r="N46" s="22" t="inlineStr"/>
      <c r="O46" s="23" t="inlineStr"/>
      <c r="P46" s="27" t="inlineStr"/>
      <c r="Q46" s="27" t="inlineStr">
        <is>
          <t>SIP joint airtight tape T2+</t>
        </is>
      </c>
    </row>
    <row r="47" ht="16" customHeight="1">
      <c r="B47" s="26" t="inlineStr">
        <is>
          <t>SA-T3-021</t>
        </is>
      </c>
      <c r="C47" s="27" t="inlineStr">
        <is>
          <t>SAPK Connector</t>
        </is>
      </c>
      <c r="D47" s="27" t="inlineStr">
        <is>
          <t>4-SAPK</t>
        </is>
      </c>
      <c r="E47" s="27" t="inlineStr">
        <is>
          <t>Rothoblaas SIGA FENTRIM IS</t>
        </is>
      </c>
      <c r="F47" s="27" t="inlineStr">
        <is>
          <t>T3</t>
        </is>
      </c>
      <c r="G47" s="27" t="inlineStr">
        <is>
          <t>Rothoblaas</t>
        </is>
      </c>
      <c r="H47" s="27" t="inlineStr">
        <is>
          <t>SIGA FENTRIM IS 30</t>
        </is>
      </c>
      <c r="I47" s="27" t="inlineStr">
        <is>
          <t>Per mfr</t>
        </is>
      </c>
      <c r="J47" s="21" t="inlineStr">
        <is>
          <t>LF</t>
        </is>
      </c>
      <c r="K47" s="27" t="inlineStr">
        <is>
          <t>3.20</t>
        </is>
      </c>
      <c r="L47" s="22" t="inlineStr">
        <is>
          <t>ROM Jun 2026</t>
        </is>
      </c>
      <c r="M47" s="22" t="inlineStr"/>
      <c r="N47" s="22" t="inlineStr"/>
      <c r="O47" s="23" t="inlineStr"/>
      <c r="P47" s="27" t="inlineStr"/>
      <c r="Q47" s="27" t="inlineStr">
        <is>
          <t>Window/door perimeter airtight T3+</t>
        </is>
      </c>
    </row>
    <row r="48" ht="16" customHeight="1">
      <c r="B48" s="26" t="inlineStr">
        <is>
          <t>SA-T3-022</t>
        </is>
      </c>
      <c r="C48" s="27" t="inlineStr">
        <is>
          <t>SAPK Connector</t>
        </is>
      </c>
      <c r="D48" s="27" t="inlineStr">
        <is>
          <t>4-SAPK</t>
        </is>
      </c>
      <c r="E48" s="27" t="inlineStr">
        <is>
          <t>SIGA MAJREX smart vapor retarder</t>
        </is>
      </c>
      <c r="F48" s="27" t="inlineStr">
        <is>
          <t>T3</t>
        </is>
      </c>
      <c r="G48" s="27" t="inlineStr">
        <is>
          <t>Rothoblaas</t>
        </is>
      </c>
      <c r="H48" s="27" t="inlineStr">
        <is>
          <t>SIGA MAJREX 200</t>
        </is>
      </c>
      <c r="I48" s="27" t="inlineStr">
        <is>
          <t>Per mfr</t>
        </is>
      </c>
      <c r="J48" s="21" t="inlineStr">
        <is>
          <t>SF</t>
        </is>
      </c>
      <c r="K48" s="27" t="inlineStr">
        <is>
          <t>1.80</t>
        </is>
      </c>
      <c r="L48" s="22" t="inlineStr">
        <is>
          <t>ROM Jun 2026</t>
        </is>
      </c>
      <c r="M48" s="22" t="inlineStr"/>
      <c r="N48" s="22" t="inlineStr"/>
      <c r="O48" s="23" t="inlineStr"/>
      <c r="P48" s="27" t="inlineStr"/>
      <c r="Q48" s="27" t="inlineStr">
        <is>
          <t>Inboard smart VR T3+</t>
        </is>
      </c>
    </row>
    <row r="49" ht="16" customHeight="1">
      <c r="B49" s="26" t="inlineStr">
        <is>
          <t>SA-ALL-022</t>
        </is>
      </c>
      <c r="C49" s="27" t="inlineStr">
        <is>
          <t>SAPK Connector</t>
        </is>
      </c>
      <c r="D49" s="27" t="inlineStr">
        <is>
          <t>4-SAPK</t>
        </is>
      </c>
      <c r="E49" s="27" t="inlineStr">
        <is>
          <t>Rothoblaas INFI tape — export</t>
        </is>
      </c>
      <c r="F49" s="27" t="inlineStr">
        <is>
          <t>EXP</t>
        </is>
      </c>
      <c r="G49" s="27" t="inlineStr">
        <is>
          <t>Rothoblaas</t>
        </is>
      </c>
      <c r="H49" s="27" t="inlineStr">
        <is>
          <t>INFI</t>
        </is>
      </c>
      <c r="I49" s="27" t="inlineStr">
        <is>
          <t>Per mfr</t>
        </is>
      </c>
      <c r="J49" s="21" t="inlineStr">
        <is>
          <t>LF</t>
        </is>
      </c>
      <c r="K49" s="27" t="inlineStr">
        <is>
          <t>2.40</t>
        </is>
      </c>
      <c r="L49" s="22" t="inlineStr">
        <is>
          <t>ROM Jun 2026</t>
        </is>
      </c>
      <c r="M49" s="22" t="inlineStr"/>
      <c r="N49" s="22" t="inlineStr"/>
      <c r="O49" s="23" t="inlineStr"/>
      <c r="P49" s="27" t="inlineStr"/>
      <c r="Q49" s="27" t="inlineStr">
        <is>
          <t>Tropical deployment airtight</t>
        </is>
      </c>
    </row>
    <row r="50" ht="16" customHeight="1">
      <c r="B50" s="28" t="inlineStr">
        <is>
          <t>FE-T1-001</t>
        </is>
      </c>
      <c r="C50" s="29" t="inlineStr">
        <is>
          <t>Fenestration</t>
        </is>
      </c>
      <c r="D50" s="29" t="inlineStr">
        <is>
          <t>—</t>
        </is>
      </c>
      <c r="E50" s="29" t="inlineStr">
        <is>
          <t>Crystal Magnus 4500 double-pane tilt-turn</t>
        </is>
      </c>
      <c r="F50" s="29" t="inlineStr">
        <is>
          <t>T1</t>
        </is>
      </c>
      <c r="G50" s="29" t="inlineStr">
        <is>
          <t>Crystal Windows</t>
        </is>
      </c>
      <c r="H50" s="29" t="inlineStr">
        <is>
          <t>Magnus 4500</t>
        </is>
      </c>
      <c r="I50" s="29" t="inlineStr">
        <is>
          <t>NFRC / PG70</t>
        </is>
      </c>
      <c r="J50" s="21" t="inlineStr">
        <is>
          <t>EA</t>
        </is>
      </c>
      <c r="K50" s="29" t="inlineStr">
        <is>
          <t>420.00</t>
        </is>
      </c>
      <c r="L50" s="22" t="inlineStr">
        <is>
          <t>ROM Jun 2026</t>
        </is>
      </c>
      <c r="M50" s="22" t="inlineStr"/>
      <c r="N50" s="22" t="inlineStr"/>
      <c r="O50" s="23" t="inlineStr"/>
      <c r="P50" s="29" t="inlineStr"/>
      <c r="Q50" s="29" t="inlineStr">
        <is>
          <t>U≤0.20; STC 41dB; HVHZ approved</t>
        </is>
      </c>
    </row>
    <row r="51" ht="16" customHeight="1">
      <c r="B51" s="28" t="inlineStr">
        <is>
          <t>FE-T2-001</t>
        </is>
      </c>
      <c r="C51" s="29" t="inlineStr">
        <is>
          <t>Fenestration</t>
        </is>
      </c>
      <c r="D51" s="29" t="inlineStr">
        <is>
          <t>—</t>
        </is>
      </c>
      <c r="E51" s="29" t="inlineStr">
        <is>
          <t>Crystal Magnus 4500 triple-pane</t>
        </is>
      </c>
      <c r="F51" s="29" t="inlineStr">
        <is>
          <t>T2</t>
        </is>
      </c>
      <c r="G51" s="29" t="inlineStr">
        <is>
          <t>Crystal Windows</t>
        </is>
      </c>
      <c r="H51" s="29" t="inlineStr">
        <is>
          <t>Magnus 4500 TP</t>
        </is>
      </c>
      <c r="I51" s="29" t="inlineStr">
        <is>
          <t>NFRC / PG70</t>
        </is>
      </c>
      <c r="J51" s="21" t="inlineStr">
        <is>
          <t>EA</t>
        </is>
      </c>
      <c r="K51" s="29" t="inlineStr">
        <is>
          <t>560.00</t>
        </is>
      </c>
      <c r="L51" s="22" t="inlineStr">
        <is>
          <t>ROM Jun 2026</t>
        </is>
      </c>
      <c r="M51" s="22" t="inlineStr"/>
      <c r="N51" s="22" t="inlineStr"/>
      <c r="O51" s="23" t="inlineStr"/>
      <c r="P51" s="29" t="inlineStr"/>
      <c r="Q51" s="29" t="inlineStr">
        <is>
          <t>U≤0.18; krypton fill</t>
        </is>
      </c>
    </row>
    <row r="52" ht="16" customHeight="1">
      <c r="B52" s="28" t="inlineStr">
        <is>
          <t>FE-T3-001</t>
        </is>
      </c>
      <c r="C52" s="29" t="inlineStr">
        <is>
          <t>Fenestration</t>
        </is>
      </c>
      <c r="D52" s="29" t="inlineStr">
        <is>
          <t>—</t>
        </is>
      </c>
      <c r="E52" s="29" t="inlineStr">
        <is>
          <t>Crystal Magnus 4700 PH certified</t>
        </is>
      </c>
      <c r="F52" s="29" t="inlineStr">
        <is>
          <t>T3</t>
        </is>
      </c>
      <c r="G52" s="29" t="inlineStr">
        <is>
          <t>Crystal Windows</t>
        </is>
      </c>
      <c r="H52" s="29" t="inlineStr">
        <is>
          <t>Magnus 4700</t>
        </is>
      </c>
      <c r="I52" s="29" t="inlineStr">
        <is>
          <t>NFRC / PH cert</t>
        </is>
      </c>
      <c r="J52" s="21" t="inlineStr">
        <is>
          <t>EA</t>
        </is>
      </c>
      <c r="K52" s="29" t="inlineStr">
        <is>
          <t>720.00</t>
        </is>
      </c>
      <c r="L52" s="22" t="inlineStr">
        <is>
          <t>ROM Jun 2026</t>
        </is>
      </c>
      <c r="M52" s="22" t="inlineStr"/>
      <c r="N52" s="22" t="inlineStr"/>
      <c r="O52" s="23" t="inlineStr"/>
      <c r="P52" s="29" t="inlineStr"/>
      <c r="Q52" s="29" t="inlineStr">
        <is>
          <t>U≤0.14; REHAU RAU-FIPRO fiber profile</t>
        </is>
      </c>
    </row>
    <row r="53" ht="16" customHeight="1">
      <c r="B53" s="28" t="inlineStr">
        <is>
          <t>FE-T1-010</t>
        </is>
      </c>
      <c r="C53" s="29" t="inlineStr">
        <is>
          <t>Fenestration</t>
        </is>
      </c>
      <c r="D53" s="29" t="inlineStr">
        <is>
          <t>—</t>
        </is>
      </c>
      <c r="E53" s="29" t="inlineStr">
        <is>
          <t>Magnus 4500 swing door — double-pane</t>
        </is>
      </c>
      <c r="F53" s="29" t="inlineStr">
        <is>
          <t>T1</t>
        </is>
      </c>
      <c r="G53" s="29" t="inlineStr">
        <is>
          <t>Crystal Windows</t>
        </is>
      </c>
      <c r="H53" s="29" t="inlineStr">
        <is>
          <t>Magnus 4500 door</t>
        </is>
      </c>
      <c r="I53" s="29" t="inlineStr">
        <is>
          <t>NFRC</t>
        </is>
      </c>
      <c r="J53" s="21" t="inlineStr">
        <is>
          <t>EA</t>
        </is>
      </c>
      <c r="K53" s="29" t="inlineStr">
        <is>
          <t>1200.00</t>
        </is>
      </c>
      <c r="L53" s="22" t="inlineStr">
        <is>
          <t>ROM Jun 2026</t>
        </is>
      </c>
      <c r="M53" s="22" t="inlineStr"/>
      <c r="N53" s="22" t="inlineStr"/>
      <c r="O53" s="23" t="inlineStr"/>
      <c r="P53" s="29" t="inlineStr"/>
      <c r="Q53" s="29" t="inlineStr">
        <is>
          <t>U≤0.28</t>
        </is>
      </c>
    </row>
    <row r="54" ht="16" customHeight="1">
      <c r="B54" s="28" t="inlineStr">
        <is>
          <t>FE-T2-010</t>
        </is>
      </c>
      <c r="C54" s="29" t="inlineStr">
        <is>
          <t>Fenestration</t>
        </is>
      </c>
      <c r="D54" s="29" t="inlineStr">
        <is>
          <t>—</t>
        </is>
      </c>
      <c r="E54" s="29" t="inlineStr">
        <is>
          <t>Magnus 4500 tilt-slide door — triple-pane</t>
        </is>
      </c>
      <c r="F54" s="29" t="inlineStr">
        <is>
          <t>T2</t>
        </is>
      </c>
      <c r="G54" s="29" t="inlineStr">
        <is>
          <t>Crystal Windows</t>
        </is>
      </c>
      <c r="H54" s="29" t="inlineStr">
        <is>
          <t>Magnus 4500 TS</t>
        </is>
      </c>
      <c r="I54" s="29" t="inlineStr">
        <is>
          <t>NFRC</t>
        </is>
      </c>
      <c r="J54" s="21" t="inlineStr">
        <is>
          <t>EA</t>
        </is>
      </c>
      <c r="K54" s="29" t="inlineStr">
        <is>
          <t>1600.00</t>
        </is>
      </c>
      <c r="L54" s="22" t="inlineStr">
        <is>
          <t>ROM Jun 2026</t>
        </is>
      </c>
      <c r="M54" s="22" t="inlineStr"/>
      <c r="N54" s="22" t="inlineStr"/>
      <c r="O54" s="23" t="inlineStr"/>
      <c r="P54" s="29" t="inlineStr"/>
      <c r="Q54" s="29" t="inlineStr">
        <is>
          <t>U≤0.20</t>
        </is>
      </c>
    </row>
    <row r="55" ht="16" customHeight="1">
      <c r="B55" s="28" t="inlineStr">
        <is>
          <t>FE-T3-010</t>
        </is>
      </c>
      <c r="C55" s="29" t="inlineStr">
        <is>
          <t>Fenestration</t>
        </is>
      </c>
      <c r="D55" s="29" t="inlineStr">
        <is>
          <t>—</t>
        </is>
      </c>
      <c r="E55" s="29" t="inlineStr">
        <is>
          <t>Magnus 4700 PH swing/tilt-slide</t>
        </is>
      </c>
      <c r="F55" s="29" t="inlineStr">
        <is>
          <t>T3</t>
        </is>
      </c>
      <c r="G55" s="29" t="inlineStr">
        <is>
          <t>Crystal Windows</t>
        </is>
      </c>
      <c r="H55" s="29" t="inlineStr">
        <is>
          <t>Magnus 4700 door</t>
        </is>
      </c>
      <c r="I55" s="29" t="inlineStr">
        <is>
          <t>NFRC / PH cert</t>
        </is>
      </c>
      <c r="J55" s="21" t="inlineStr">
        <is>
          <t>EA</t>
        </is>
      </c>
      <c r="K55" s="29" t="inlineStr">
        <is>
          <t>2100.00</t>
        </is>
      </c>
      <c r="L55" s="22" t="inlineStr">
        <is>
          <t>ROM Jun 2026</t>
        </is>
      </c>
      <c r="M55" s="22" t="inlineStr"/>
      <c r="N55" s="22" t="inlineStr"/>
      <c r="O55" s="23" t="inlineStr"/>
      <c r="P55" s="29" t="inlineStr"/>
      <c r="Q55" s="29" t="inlineStr">
        <is>
          <t>U≤0.16</t>
        </is>
      </c>
    </row>
    <row r="56" ht="16" customHeight="1">
      <c r="B56" s="28" t="inlineStr">
        <is>
          <t>FE-ALL-020</t>
        </is>
      </c>
      <c r="C56" s="29" t="inlineStr">
        <is>
          <t>Fenestration</t>
        </is>
      </c>
      <c r="D56" s="29" t="inlineStr">
        <is>
          <t>—</t>
        </is>
      </c>
      <c r="E56" s="29" t="inlineStr">
        <is>
          <t>Pre-hung interior door — solid-core + Schlage</t>
        </is>
      </c>
      <c r="F56" s="29" t="inlineStr">
        <is>
          <t>ALL</t>
        </is>
      </c>
      <c r="G56" s="29" t="inlineStr">
        <is>
          <t>Various / Schlage</t>
        </is>
      </c>
      <c r="H56" s="29" t="inlineStr">
        <is>
          <t>B60N series</t>
        </is>
      </c>
      <c r="I56" s="29" t="inlineStr">
        <is>
          <t>—</t>
        </is>
      </c>
      <c r="J56" s="21" t="inlineStr">
        <is>
          <t>EA</t>
        </is>
      </c>
      <c r="K56" s="29" t="inlineStr">
        <is>
          <t>280.00</t>
        </is>
      </c>
      <c r="L56" s="22" t="inlineStr">
        <is>
          <t>ROM Jun 2026</t>
        </is>
      </c>
      <c r="M56" s="22" t="inlineStr"/>
      <c r="N56" s="22" t="inlineStr"/>
      <c r="O56" s="23" t="inlineStr"/>
      <c r="P56" s="29" t="inlineStr"/>
      <c r="Q56" s="29" t="inlineStr">
        <is>
          <t>Hub pre-hung; hardware pre-installed</t>
        </is>
      </c>
    </row>
    <row r="57" ht="16" customHeight="1">
      <c r="B57" s="28" t="inlineStr">
        <is>
          <t>FE-T2-020</t>
        </is>
      </c>
      <c r="C57" s="29" t="inlineStr">
        <is>
          <t>Fenestration</t>
        </is>
      </c>
      <c r="D57" s="29" t="inlineStr">
        <is>
          <t>—</t>
        </is>
      </c>
      <c r="E57" s="29" t="inlineStr">
        <is>
          <t>Schlage Encode Plus smart lock</t>
        </is>
      </c>
      <c r="F57" s="29" t="inlineStr">
        <is>
          <t>T2</t>
        </is>
      </c>
      <c r="G57" s="29" t="inlineStr">
        <is>
          <t>Schlage</t>
        </is>
      </c>
      <c r="H57" s="29" t="inlineStr">
        <is>
          <t>BE489WB</t>
        </is>
      </c>
      <c r="I57" s="29" t="inlineStr">
        <is>
          <t>—</t>
        </is>
      </c>
      <c r="J57" s="21" t="inlineStr">
        <is>
          <t>EA</t>
        </is>
      </c>
      <c r="K57" s="29" t="inlineStr">
        <is>
          <t>240.00</t>
        </is>
      </c>
      <c r="L57" s="22" t="inlineStr">
        <is>
          <t>ROM Jun 2026</t>
        </is>
      </c>
      <c r="M57" s="22" t="inlineStr"/>
      <c r="N57" s="22" t="inlineStr"/>
      <c r="O57" s="23" t="inlineStr"/>
      <c r="P57" s="29" t="inlineStr"/>
      <c r="Q57" s="29" t="inlineStr">
        <is>
          <t>T2+ exterior; factory-programmed at hub</t>
        </is>
      </c>
    </row>
    <row r="58" ht="16" customHeight="1">
      <c r="B58" s="30" t="inlineStr">
        <is>
          <t>ME-T1-001</t>
        </is>
      </c>
      <c r="C58" s="31" t="inlineStr">
        <is>
          <t>HVAC</t>
        </is>
      </c>
      <c r="D58" s="31" t="inlineStr">
        <is>
          <t>—</t>
        </is>
      </c>
      <c r="E58" s="31" t="inlineStr">
        <is>
          <t>Standard cold-climate mini-split SEER2 ≥18</t>
        </is>
      </c>
      <c r="F58" s="31" t="inlineStr">
        <is>
          <t>T1</t>
        </is>
      </c>
      <c r="G58" s="31" t="inlineStr">
        <is>
          <t>Various</t>
        </is>
      </c>
      <c r="H58" s="31" t="inlineStr">
        <is>
          <t>—</t>
        </is>
      </c>
      <c r="I58" s="31" t="inlineStr">
        <is>
          <t>Energy Star</t>
        </is>
      </c>
      <c r="J58" s="21" t="inlineStr">
        <is>
          <t>EA</t>
        </is>
      </c>
      <c r="K58" s="31" t="inlineStr">
        <is>
          <t>2800.00</t>
        </is>
      </c>
      <c r="L58" s="22" t="inlineStr">
        <is>
          <t>ROM Jun 2026</t>
        </is>
      </c>
      <c r="M58" s="22" t="inlineStr"/>
      <c r="N58" s="22" t="inlineStr"/>
      <c r="O58" s="23" t="inlineStr"/>
      <c r="P58" s="31" t="inlineStr"/>
      <c r="Q58" s="31" t="inlineStr">
        <is>
          <t>HSPF2 ≥10; ductless; -5°F min</t>
        </is>
      </c>
    </row>
    <row r="59" ht="16" customHeight="1">
      <c r="B59" s="30" t="inlineStr">
        <is>
          <t>ME-T2-001</t>
        </is>
      </c>
      <c r="C59" s="31" t="inlineStr">
        <is>
          <t>HVAC</t>
        </is>
      </c>
      <c r="D59" s="31" t="inlineStr">
        <is>
          <t>—</t>
        </is>
      </c>
      <c r="E59" s="31" t="inlineStr">
        <is>
          <t>Quilt 3-Zone SEER2 25.3</t>
        </is>
      </c>
      <c r="F59" s="31" t="inlineStr">
        <is>
          <t>T2</t>
        </is>
      </c>
      <c r="G59" s="31" t="inlineStr">
        <is>
          <t>Quilt</t>
        </is>
      </c>
      <c r="H59" s="31" t="inlineStr">
        <is>
          <t>3-Zone</t>
        </is>
      </c>
      <c r="I59" s="31" t="inlineStr">
        <is>
          <t>Energy Star CE Most Eff 2026</t>
        </is>
      </c>
      <c r="J59" s="21" t="inlineStr">
        <is>
          <t>EA</t>
        </is>
      </c>
      <c r="K59" s="31" t="inlineStr">
        <is>
          <t>4200.00</t>
        </is>
      </c>
      <c r="L59" s="22" t="inlineStr">
        <is>
          <t>ROM Jun 2026</t>
        </is>
      </c>
      <c r="M59" s="22" t="inlineStr"/>
      <c r="N59" s="22" t="inlineStr"/>
      <c r="O59" s="23" t="inlineStr"/>
      <c r="P59" s="31" t="inlineStr"/>
      <c r="Q59" s="31" t="inlineStr">
        <is>
          <t>HSPF2 12; 100%@-5°F; 52dBA</t>
        </is>
      </c>
    </row>
    <row r="60" ht="16" customHeight="1">
      <c r="B60" s="30" t="inlineStr">
        <is>
          <t>ME-T3-001</t>
        </is>
      </c>
      <c r="C60" s="31" t="inlineStr">
        <is>
          <t>HVAC</t>
        </is>
      </c>
      <c r="D60" s="31" t="inlineStr">
        <is>
          <t>—</t>
        </is>
      </c>
      <c r="E60" s="31" t="inlineStr">
        <is>
          <t>Mitsubishi FX H2i sumo SEER2 29.9</t>
        </is>
      </c>
      <c r="F60" s="31" t="inlineStr">
        <is>
          <t>T3</t>
        </is>
      </c>
      <c r="G60" s="31" t="inlineStr">
        <is>
          <t>Mitsubishi Electric</t>
        </is>
      </c>
      <c r="H60" s="31" t="inlineStr">
        <is>
          <t>FX-Series H2i sumo</t>
        </is>
      </c>
      <c r="I60" s="31" t="inlineStr">
        <is>
          <t>Diamond Contractor</t>
        </is>
      </c>
      <c r="J60" s="21" t="inlineStr">
        <is>
          <t>EA</t>
        </is>
      </c>
      <c r="K60" s="31" t="inlineStr">
        <is>
          <t>6400.00</t>
        </is>
      </c>
      <c r="L60" s="22" t="inlineStr">
        <is>
          <t>ROM Jun 2026</t>
        </is>
      </c>
      <c r="M60" s="22" t="inlineStr"/>
      <c r="N60" s="22" t="inlineStr"/>
      <c r="O60" s="23" t="inlineStr"/>
      <c r="P60" s="31" t="inlineStr"/>
      <c r="Q60" s="31" t="inlineStr">
        <is>
          <t>HSPF2 ~12; R454B; 10-yr warranty</t>
        </is>
      </c>
    </row>
    <row r="61" ht="16" customHeight="1">
      <c r="B61" s="30" t="inlineStr">
        <is>
          <t>ME-T4-001</t>
        </is>
      </c>
      <c r="C61" s="31" t="inlineStr">
        <is>
          <t>HVAC</t>
        </is>
      </c>
      <c r="D61" s="31" t="inlineStr">
        <is>
          <t>—</t>
        </is>
      </c>
      <c r="E61" s="31" t="inlineStr">
        <is>
          <t>Quilt 3-zone battery-optimized</t>
        </is>
      </c>
      <c r="F61" s="31" t="inlineStr">
        <is>
          <t>T4</t>
        </is>
      </c>
      <c r="G61" s="31" t="inlineStr">
        <is>
          <t>Quilt</t>
        </is>
      </c>
      <c r="H61" s="31" t="inlineStr">
        <is>
          <t>3-Zone</t>
        </is>
      </c>
      <c r="I61" s="31" t="inlineStr">
        <is>
          <t>Energy Star CE Most Eff 2026</t>
        </is>
      </c>
      <c r="J61" s="21" t="inlineStr">
        <is>
          <t>EA</t>
        </is>
      </c>
      <c r="K61" s="31" t="inlineStr">
        <is>
          <t>4200.00</t>
        </is>
      </c>
      <c r="L61" s="22" t="inlineStr">
        <is>
          <t>ROM Jun 2026</t>
        </is>
      </c>
      <c r="M61" s="22" t="inlineStr"/>
      <c r="N61" s="22" t="inlineStr"/>
      <c r="O61" s="23" t="inlineStr"/>
      <c r="P61" s="31" t="inlineStr"/>
      <c r="Q61" s="31" t="inlineStr">
        <is>
          <t>OTA island-mode integration SPAN</t>
        </is>
      </c>
    </row>
    <row r="62" ht="16" customHeight="1">
      <c r="B62" s="30" t="inlineStr">
        <is>
          <t>ME-T2-010</t>
        </is>
      </c>
      <c r="C62" s="31" t="inlineStr">
        <is>
          <t>HVAC</t>
        </is>
      </c>
      <c r="D62" s="31" t="inlineStr">
        <is>
          <t>—</t>
        </is>
      </c>
      <c r="E62" s="31" t="inlineStr">
        <is>
          <t>Viessmann Vitoair FS-ERV</t>
        </is>
      </c>
      <c r="F62" s="31" t="inlineStr">
        <is>
          <t>T2</t>
        </is>
      </c>
      <c r="G62" s="31" t="inlineStr">
        <is>
          <t>Viessmann</t>
        </is>
      </c>
      <c r="H62" s="31" t="inlineStr">
        <is>
          <t>Vitoair FS-ERV</t>
        </is>
      </c>
      <c r="I62" s="31" t="inlineStr">
        <is>
          <t>ASHRAE 62.2</t>
        </is>
      </c>
      <c r="J62" s="21" t="inlineStr">
        <is>
          <t>EA</t>
        </is>
      </c>
      <c r="K62" s="31" t="inlineStr">
        <is>
          <t>2400.00</t>
        </is>
      </c>
      <c r="L62" s="22" t="inlineStr">
        <is>
          <t>ROM Jun 2026</t>
        </is>
      </c>
      <c r="M62" s="22" t="inlineStr"/>
      <c r="N62" s="22" t="inlineStr"/>
      <c r="O62" s="23" t="inlineStr"/>
      <c r="P62" s="31" t="inlineStr"/>
      <c r="Q62" s="31" t="inlineStr">
        <is>
          <t>85% SRE; MERV 13; CO₂-boost</t>
        </is>
      </c>
    </row>
    <row r="63" ht="16" customHeight="1">
      <c r="B63" s="30" t="inlineStr">
        <is>
          <t>ME-ALL-020</t>
        </is>
      </c>
      <c r="C63" s="31" t="inlineStr">
        <is>
          <t>HVAC</t>
        </is>
      </c>
      <c r="D63" s="31" t="inlineStr">
        <is>
          <t>—</t>
        </is>
      </c>
      <c r="E63" s="31" t="inlineStr">
        <is>
          <t>HPWH 50-gal UEF ≥3.5</t>
        </is>
      </c>
      <c r="F63" s="31" t="inlineStr">
        <is>
          <t>ALL</t>
        </is>
      </c>
      <c r="G63" s="31" t="inlineStr">
        <is>
          <t>A.O. Smith / Rheem</t>
        </is>
      </c>
      <c r="H63" s="31" t="inlineStr">
        <is>
          <t>ProLine XE series</t>
        </is>
      </c>
      <c r="I63" s="31" t="inlineStr">
        <is>
          <t>Energy Star</t>
        </is>
      </c>
      <c r="J63" s="21" t="inlineStr">
        <is>
          <t>EA</t>
        </is>
      </c>
      <c r="K63" s="31" t="inlineStr">
        <is>
          <t>1800.00</t>
        </is>
      </c>
      <c r="L63" s="22" t="inlineStr">
        <is>
          <t>ROM Jun 2026</t>
        </is>
      </c>
      <c r="M63" s="22" t="inlineStr"/>
      <c r="N63" s="22" t="inlineStr"/>
      <c r="O63" s="23" t="inlineStr"/>
      <c r="P63" s="31" t="inlineStr"/>
      <c r="Q63" s="31" t="inlineStr">
        <is>
          <t>All tiers base DHW</t>
        </is>
      </c>
    </row>
    <row r="64" ht="16" customHeight="1">
      <c r="B64" s="26" t="inlineStr">
        <is>
          <t>ME-T2-030</t>
        </is>
      </c>
      <c r="C64" s="27" t="inlineStr">
        <is>
          <t>Smart Energy</t>
        </is>
      </c>
      <c r="D64" s="27" t="inlineStr">
        <is>
          <t>—</t>
        </is>
      </c>
      <c r="E64" s="27" t="inlineStr">
        <is>
          <t>SPAN Main 40 smart panel</t>
        </is>
      </c>
      <c r="F64" s="27" t="inlineStr">
        <is>
          <t>T2</t>
        </is>
      </c>
      <c r="G64" s="27" t="inlineStr">
        <is>
          <t>SPAN</t>
        </is>
      </c>
      <c r="H64" s="27" t="inlineStr">
        <is>
          <t>SPAN Main 40</t>
        </is>
      </c>
      <c r="I64" s="27" t="inlineStr">
        <is>
          <t>UL 3141</t>
        </is>
      </c>
      <c r="J64" s="21" t="inlineStr">
        <is>
          <t>EA</t>
        </is>
      </c>
      <c r="K64" s="27" t="inlineStr">
        <is>
          <t>3800.00</t>
        </is>
      </c>
      <c r="L64" s="22" t="inlineStr">
        <is>
          <t>ROM Jun 2026</t>
        </is>
      </c>
      <c r="M64" s="22" t="inlineStr"/>
      <c r="N64" s="22" t="inlineStr"/>
      <c r="O64" s="23" t="inlineStr"/>
      <c r="P64" s="27" t="inlineStr"/>
      <c r="Q64" s="27" t="inlineStr">
        <is>
          <t>32 circuits; battery-aware; Eaton-backed</t>
        </is>
      </c>
    </row>
    <row r="65" ht="16" customHeight="1">
      <c r="B65" s="26" t="inlineStr">
        <is>
          <t>ME-T2-040</t>
        </is>
      </c>
      <c r="C65" s="27" t="inlineStr">
        <is>
          <t>Smart Energy</t>
        </is>
      </c>
      <c r="D65" s="27" t="inlineStr">
        <is>
          <t>—</t>
        </is>
      </c>
      <c r="E65" s="27" t="inlineStr">
        <is>
          <t>Enphase IQ8 microinverter PV 5.5kW</t>
        </is>
      </c>
      <c r="F65" s="27" t="inlineStr">
        <is>
          <t>T2</t>
        </is>
      </c>
      <c r="G65" s="27" t="inlineStr">
        <is>
          <t>Enphase</t>
        </is>
      </c>
      <c r="H65" s="27" t="inlineStr">
        <is>
          <t>IQ8A-72-2-US</t>
        </is>
      </c>
      <c r="I65" s="27" t="inlineStr">
        <is>
          <t>UL 1741</t>
        </is>
      </c>
      <c r="J65" s="21" t="inlineStr">
        <is>
          <t>LS</t>
        </is>
      </c>
      <c r="K65" s="27" t="inlineStr">
        <is>
          <t>15600.00</t>
        </is>
      </c>
      <c r="L65" s="22" t="inlineStr">
        <is>
          <t>ROM Jun 2026</t>
        </is>
      </c>
      <c r="M65" s="22" t="inlineStr"/>
      <c r="N65" s="22" t="inlineStr"/>
      <c r="O65" s="23" t="inlineStr"/>
      <c r="P65" s="27" t="inlineStr"/>
      <c r="Q65" s="27" t="inlineStr">
        <is>
          <t>5.5kW per unit; net metering</t>
        </is>
      </c>
    </row>
    <row r="66" ht="16" customHeight="1">
      <c r="B66" s="26" t="inlineStr">
        <is>
          <t>ME-T3-040</t>
        </is>
      </c>
      <c r="C66" s="27" t="inlineStr">
        <is>
          <t>Smart Energy</t>
        </is>
      </c>
      <c r="D66" s="27" t="inlineStr">
        <is>
          <t>—</t>
        </is>
      </c>
      <c r="E66" s="27" t="inlineStr">
        <is>
          <t>TOPCon/HJT PV 8.5kW + Enphase IQ8</t>
        </is>
      </c>
      <c r="F66" s="27" t="inlineStr">
        <is>
          <t>T3</t>
        </is>
      </c>
      <c r="G66" s="27" t="inlineStr">
        <is>
          <t>Enphase + panel</t>
        </is>
      </c>
      <c r="H66" s="27" t="inlineStr">
        <is>
          <t>IQ8A-72-2-US</t>
        </is>
      </c>
      <c r="I66" s="27" t="inlineStr">
        <is>
          <t>UL 1741</t>
        </is>
      </c>
      <c r="J66" s="21" t="inlineStr">
        <is>
          <t>LS</t>
        </is>
      </c>
      <c r="K66" s="27" t="inlineStr">
        <is>
          <t>24000.00</t>
        </is>
      </c>
      <c r="L66" s="22" t="inlineStr">
        <is>
          <t>ROM Jun 2026</t>
        </is>
      </c>
      <c r="M66" s="22" t="inlineStr"/>
      <c r="N66" s="22" t="inlineStr"/>
      <c r="O66" s="23" t="inlineStr"/>
      <c r="P66" s="27" t="inlineStr"/>
      <c r="Q66" s="27" t="inlineStr">
        <is>
          <t>≥22% efficiency panels</t>
        </is>
      </c>
    </row>
    <row r="67" ht="16" customHeight="1">
      <c r="B67" s="26" t="inlineStr">
        <is>
          <t>ME-T4-040</t>
        </is>
      </c>
      <c r="C67" s="27" t="inlineStr">
        <is>
          <t>Smart Energy</t>
        </is>
      </c>
      <c r="D67" s="27" t="inlineStr">
        <is>
          <t>—</t>
        </is>
      </c>
      <c r="E67" s="27" t="inlineStr">
        <is>
          <t>Agrivoltaic trellis PV 8.5–12kW bifacial</t>
        </is>
      </c>
      <c r="F67" s="27" t="inlineStr">
        <is>
          <t>T4</t>
        </is>
      </c>
      <c r="G67" s="27" t="inlineStr">
        <is>
          <t>TOPCon bifacial</t>
        </is>
      </c>
      <c r="H67" s="27" t="inlineStr">
        <is>
          <t>—</t>
        </is>
      </c>
      <c r="I67" s="27" t="inlineStr">
        <is>
          <t>UL 1741</t>
        </is>
      </c>
      <c r="J67" s="21" t="inlineStr">
        <is>
          <t>LS</t>
        </is>
      </c>
      <c r="K67" s="27" t="inlineStr">
        <is>
          <t>28000.00</t>
        </is>
      </c>
      <c r="L67" s="22" t="inlineStr">
        <is>
          <t>ROM Jun 2026</t>
        </is>
      </c>
      <c r="M67" s="22" t="inlineStr"/>
      <c r="N67" s="22" t="inlineStr"/>
      <c r="O67" s="23" t="inlineStr"/>
      <c r="P67" s="27" t="inlineStr"/>
      <c r="Q67" s="27" t="inlineStr">
        <is>
          <t>Elevated E/W trellis; Crop Circle below</t>
        </is>
      </c>
    </row>
    <row r="68" ht="16" customHeight="1">
      <c r="B68" s="26" t="inlineStr">
        <is>
          <t>ME-T2-050</t>
        </is>
      </c>
      <c r="C68" s="27" t="inlineStr">
        <is>
          <t>Storage</t>
        </is>
      </c>
      <c r="D68" s="27" t="inlineStr">
        <is>
          <t>—</t>
        </is>
      </c>
      <c r="E68" s="27" t="inlineStr">
        <is>
          <t>Enphase IQ Battery 5P — stackable</t>
        </is>
      </c>
      <c r="F68" s="27" t="inlineStr">
        <is>
          <t>T2</t>
        </is>
      </c>
      <c r="G68" s="27" t="inlineStr">
        <is>
          <t>Enphase</t>
        </is>
      </c>
      <c r="H68" s="27" t="inlineStr">
        <is>
          <t>IQ Battery 5P</t>
        </is>
      </c>
      <c r="I68" s="27" t="inlineStr">
        <is>
          <t>UL 9540</t>
        </is>
      </c>
      <c r="J68" s="21" t="inlineStr">
        <is>
          <t>EA</t>
        </is>
      </c>
      <c r="K68" s="27" t="inlineStr">
        <is>
          <t>9800.00</t>
        </is>
      </c>
      <c r="L68" s="22" t="inlineStr">
        <is>
          <t>ROM Jun 2026</t>
        </is>
      </c>
      <c r="M68" s="22" t="inlineStr"/>
      <c r="N68" s="22" t="inlineStr"/>
      <c r="O68" s="23" t="inlineStr"/>
      <c r="P68" s="27" t="inlineStr"/>
      <c r="Q68" s="27" t="inlineStr">
        <is>
          <t>15-yr warranty; NEMA 3R</t>
        </is>
      </c>
    </row>
    <row r="69" ht="16" customHeight="1">
      <c r="B69" s="26" t="inlineStr">
        <is>
          <t>ME-T3-050</t>
        </is>
      </c>
      <c r="C69" s="27" t="inlineStr">
        <is>
          <t>Storage</t>
        </is>
      </c>
      <c r="D69" s="27" t="inlineStr">
        <is>
          <t>—</t>
        </is>
      </c>
      <c r="E69" s="27" t="inlineStr">
        <is>
          <t>Tesla Powerwall 3 (alt)</t>
        </is>
      </c>
      <c r="F69" s="27" t="inlineStr">
        <is>
          <t>T3</t>
        </is>
      </c>
      <c r="G69" s="27" t="inlineStr">
        <is>
          <t>Tesla</t>
        </is>
      </c>
      <c r="H69" s="27" t="inlineStr">
        <is>
          <t>Powerwall 3</t>
        </is>
      </c>
      <c r="I69" s="27" t="inlineStr">
        <is>
          <t>UL 9540</t>
        </is>
      </c>
      <c r="J69" s="21" t="inlineStr">
        <is>
          <t>EA</t>
        </is>
      </c>
      <c r="K69" s="27" t="inlineStr">
        <is>
          <t>10800.00</t>
        </is>
      </c>
      <c r="L69" s="22" t="inlineStr">
        <is>
          <t>ROM Jun 2026</t>
        </is>
      </c>
      <c r="M69" s="22" t="inlineStr"/>
      <c r="N69" s="22" t="inlineStr"/>
      <c r="O69" s="23" t="inlineStr"/>
      <c r="P69" s="27" t="inlineStr"/>
      <c r="Q69" s="27" t="inlineStr">
        <is>
          <t>13.5kWh; built-in inverter; island-capable</t>
        </is>
      </c>
    </row>
    <row r="70" ht="16" customHeight="1">
      <c r="B70" s="26" t="inlineStr">
        <is>
          <t>ME-T4-050</t>
        </is>
      </c>
      <c r="C70" s="27" t="inlineStr">
        <is>
          <t>Storage</t>
        </is>
      </c>
      <c r="D70" s="27" t="inlineStr">
        <is>
          <t>—</t>
        </is>
      </c>
      <c r="E70" s="27" t="inlineStr">
        <is>
          <t>EcoFlow DELTA Pro Ultra + FranklinWH aPower 2</t>
        </is>
      </c>
      <c r="F70" s="27" t="inlineStr">
        <is>
          <t>T4</t>
        </is>
      </c>
      <c r="G70" s="27" t="inlineStr">
        <is>
          <t>EcoFlow / FranklinWH</t>
        </is>
      </c>
      <c r="H70" s="27" t="inlineStr">
        <is>
          <t>DELTA Pro Ultra</t>
        </is>
      </c>
      <c r="I70" s="27" t="inlineStr">
        <is>
          <t>UL listed</t>
        </is>
      </c>
      <c r="J70" s="21" t="inlineStr">
        <is>
          <t>LS</t>
        </is>
      </c>
      <c r="K70" s="27" t="inlineStr">
        <is>
          <t>18000.00</t>
        </is>
      </c>
      <c r="L70" s="22" t="inlineStr">
        <is>
          <t>ROM Jun 2026</t>
        </is>
      </c>
      <c r="M70" s="22" t="inlineStr"/>
      <c r="N70" s="22" t="inlineStr"/>
      <c r="O70" s="23" t="inlineStr"/>
      <c r="P70" s="27" t="inlineStr"/>
      <c r="Q70" s="27" t="inlineStr">
        <is>
          <t>19.2–90kWh expandable; true off-grid</t>
        </is>
      </c>
    </row>
    <row r="71" ht="16" customHeight="1">
      <c r="B71" s="30" t="inlineStr">
        <is>
          <t>FF-ALL-001</t>
        </is>
      </c>
      <c r="C71" s="31" t="inlineStr">
        <is>
          <t>Fixtures</t>
        </is>
      </c>
      <c r="D71" s="31" t="inlineStr">
        <is>
          <t>—</t>
        </is>
      </c>
      <c r="E71" s="31" t="inlineStr">
        <is>
          <t>Prefab wet wall module — PEX manifold + DWV</t>
        </is>
      </c>
      <c r="F71" s="31" t="inlineStr">
        <is>
          <t>ALL</t>
        </is>
      </c>
      <c r="G71" s="31" t="inlineStr">
        <is>
          <t>Hub fabricated</t>
        </is>
      </c>
      <c r="H71" s="31" t="inlineStr">
        <is>
          <t>PEX-a manifold</t>
        </is>
      </c>
      <c r="I71" s="31" t="inlineStr">
        <is>
          <t>IAPMO</t>
        </is>
      </c>
      <c r="J71" s="21" t="inlineStr">
        <is>
          <t>EA</t>
        </is>
      </c>
      <c r="K71" s="31" t="inlineStr">
        <is>
          <t>2400.00</t>
        </is>
      </c>
      <c r="L71" s="22" t="inlineStr">
        <is>
          <t>ROM Jun 2026</t>
        </is>
      </c>
      <c r="M71" s="22" t="inlineStr"/>
      <c r="N71" s="22" t="inlineStr"/>
      <c r="O71" s="23" t="inlineStr"/>
      <c r="P71" s="31" t="inlineStr"/>
      <c r="Q71" s="31" t="inlineStr">
        <is>
          <t>Factory assembled + pressure tested at hub</t>
        </is>
      </c>
    </row>
    <row r="72" ht="16" customHeight="1">
      <c r="B72" s="30" t="inlineStr">
        <is>
          <t>FF-ALL-002</t>
        </is>
      </c>
      <c r="C72" s="31" t="inlineStr">
        <is>
          <t>Fixtures</t>
        </is>
      </c>
      <c r="D72" s="31" t="inlineStr">
        <is>
          <t>—</t>
        </is>
      </c>
      <c r="E72" s="31" t="inlineStr">
        <is>
          <t>HPWH — positioned in pre-framed chase</t>
        </is>
      </c>
      <c r="F72" s="31" t="inlineStr">
        <is>
          <t>ALL</t>
        </is>
      </c>
      <c r="G72" s="31" t="inlineStr">
        <is>
          <t>A.O. Smith</t>
        </is>
      </c>
      <c r="H72" s="31" t="inlineStr">
        <is>
          <t>ProLine XE 50</t>
        </is>
      </c>
      <c r="I72" s="31" t="inlineStr">
        <is>
          <t>Energy Star</t>
        </is>
      </c>
      <c r="J72" s="21" t="inlineStr">
        <is>
          <t>EA</t>
        </is>
      </c>
      <c r="K72" s="31" t="inlineStr">
        <is>
          <t>1800.00</t>
        </is>
      </c>
      <c r="L72" s="22" t="inlineStr">
        <is>
          <t>ROM Jun 2026</t>
        </is>
      </c>
      <c r="M72" s="22" t="inlineStr"/>
      <c r="N72" s="22" t="inlineStr"/>
      <c r="O72" s="23" t="inlineStr"/>
      <c r="P72" s="31" t="inlineStr"/>
      <c r="Q72" s="31" t="inlineStr">
        <is>
          <t>Chase pre-framed at hub</t>
        </is>
      </c>
    </row>
    <row r="73" ht="16" customHeight="1">
      <c r="B73" s="30" t="inlineStr">
        <is>
          <t>FF-ALL-010</t>
        </is>
      </c>
      <c r="C73" s="31" t="inlineStr">
        <is>
          <t>Finishes</t>
        </is>
      </c>
      <c r="D73" s="31" t="inlineStr">
        <is>
          <t>—</t>
        </is>
      </c>
      <c r="E73" s="31" t="inlineStr">
        <is>
          <t>GWB ½" Type X — factory hung at hub</t>
        </is>
      </c>
      <c r="F73" s="31" t="inlineStr">
        <is>
          <t>ALL</t>
        </is>
      </c>
      <c r="G73" s="31" t="inlineStr">
        <is>
          <t>National Gypsum</t>
        </is>
      </c>
      <c r="H73" s="31" t="inlineStr">
        <is>
          <t>Hi-Abuse XP</t>
        </is>
      </c>
      <c r="I73" s="31" t="inlineStr">
        <is>
          <t>UL listed</t>
        </is>
      </c>
      <c r="J73" s="21" t="inlineStr">
        <is>
          <t>SF</t>
        </is>
      </c>
      <c r="K73" s="31" t="inlineStr">
        <is>
          <t>2.60</t>
        </is>
      </c>
      <c r="L73" s="22" t="inlineStr">
        <is>
          <t>ROM Jun 2026</t>
        </is>
      </c>
      <c r="M73" s="22" t="inlineStr"/>
      <c r="N73" s="22" t="inlineStr"/>
      <c r="O73" s="23" t="inlineStr"/>
      <c r="P73" s="31" t="inlineStr"/>
      <c r="Q73" s="31" t="inlineStr">
        <is>
          <t>Hub-hung; site: tape+mud+paint only</t>
        </is>
      </c>
    </row>
    <row r="74" ht="16" customHeight="1">
      <c r="B74" s="30" t="inlineStr">
        <is>
          <t>FF-ALL-011</t>
        </is>
      </c>
      <c r="C74" s="31" t="inlineStr">
        <is>
          <t>Finishes</t>
        </is>
      </c>
      <c r="D74" s="31" t="inlineStr">
        <is>
          <t>—</t>
        </is>
      </c>
      <c r="E74" s="31" t="inlineStr">
        <is>
          <t>LVT COREtec Plus Enhanced 6"×48"</t>
        </is>
      </c>
      <c r="F74" s="31" t="inlineStr">
        <is>
          <t>ALL</t>
        </is>
      </c>
      <c r="G74" s="31" t="inlineStr">
        <is>
          <t>COREtec</t>
        </is>
      </c>
      <c r="H74" s="31" t="inlineStr">
        <is>
          <t>Plus Enhanced</t>
        </is>
      </c>
      <c r="I74" s="31" t="inlineStr">
        <is>
          <t>ASTM F1700</t>
        </is>
      </c>
      <c r="J74" s="21" t="inlineStr">
        <is>
          <t>SF</t>
        </is>
      </c>
      <c r="K74" s="31" t="inlineStr">
        <is>
          <t>4.80</t>
        </is>
      </c>
      <c r="L74" s="22" t="inlineStr">
        <is>
          <t>ROM Jun 2026</t>
        </is>
      </c>
      <c r="M74" s="22" t="inlineStr"/>
      <c r="N74" s="22" t="inlineStr"/>
      <c r="O74" s="23" t="inlineStr"/>
      <c r="P74" s="31" t="inlineStr"/>
      <c r="Q74" s="31" t="inlineStr">
        <is>
          <t>Pre-cut per room at hub</t>
        </is>
      </c>
    </row>
    <row r="75" ht="16" customHeight="1">
      <c r="B75" s="30" t="inlineStr">
        <is>
          <t>FF-ALL-012</t>
        </is>
      </c>
      <c r="C75" s="31" t="inlineStr">
        <is>
          <t>Finishes</t>
        </is>
      </c>
      <c r="D75" s="31" t="inlineStr">
        <is>
          <t>—</t>
        </is>
      </c>
      <c r="E75" s="31" t="inlineStr">
        <is>
          <t>Schluter DITRA uncoupling mat — bath</t>
        </is>
      </c>
      <c r="F75" s="31" t="inlineStr">
        <is>
          <t>T2</t>
        </is>
      </c>
      <c r="G75" s="31" t="inlineStr">
        <is>
          <t>Schluter</t>
        </is>
      </c>
      <c r="H75" s="31" t="inlineStr">
        <is>
          <t>DITRA</t>
        </is>
      </c>
      <c r="I75" s="31" t="inlineStr">
        <is>
          <t>ANSI A118.10</t>
        </is>
      </c>
      <c r="J75" s="21" t="inlineStr">
        <is>
          <t>SF</t>
        </is>
      </c>
      <c r="K75" s="31" t="inlineStr">
        <is>
          <t>3.20</t>
        </is>
      </c>
      <c r="L75" s="22" t="inlineStr">
        <is>
          <t>ROM Jun 2026</t>
        </is>
      </c>
      <c r="M75" s="22" t="inlineStr"/>
      <c r="N75" s="22" t="inlineStr"/>
      <c r="O75" s="23" t="inlineStr"/>
      <c r="P75" s="31" t="inlineStr"/>
      <c r="Q75" s="31" t="inlineStr">
        <is>
          <t>Pre-cut at hub for bath module</t>
        </is>
      </c>
    </row>
    <row r="76" ht="16" customHeight="1">
      <c r="B76" s="30" t="inlineStr">
        <is>
          <t>FF-ALL-013</t>
        </is>
      </c>
      <c r="C76" s="31" t="inlineStr">
        <is>
          <t>Finishes</t>
        </is>
      </c>
      <c r="D76" s="31" t="inlineStr">
        <is>
          <t>—</t>
        </is>
      </c>
      <c r="E76" s="31" t="inlineStr">
        <is>
          <t>RTA kitchen cabinets — Fabuwood Allure Fusion</t>
        </is>
      </c>
      <c r="F76" s="31" t="inlineStr">
        <is>
          <t>ALL</t>
        </is>
      </c>
      <c r="G76" s="31" t="inlineStr">
        <is>
          <t>Fabuwood</t>
        </is>
      </c>
      <c r="H76" s="31" t="inlineStr">
        <is>
          <t>Allure Fusion</t>
        </is>
      </c>
      <c r="I76" s="31" t="inlineStr">
        <is>
          <t>KCMA A161.1</t>
        </is>
      </c>
      <c r="J76" s="21" t="inlineStr">
        <is>
          <t>LS</t>
        </is>
      </c>
      <c r="K76" s="31" t="inlineStr">
        <is>
          <t>6400.00</t>
        </is>
      </c>
      <c r="L76" s="22" t="inlineStr">
        <is>
          <t>ROM Jun 2026</t>
        </is>
      </c>
      <c r="M76" s="22" t="inlineStr"/>
      <c r="N76" s="22" t="inlineStr"/>
      <c r="O76" s="23" t="inlineStr"/>
      <c r="P76" s="31" t="inlineStr"/>
      <c r="Q76" s="31" t="inlineStr">
        <is>
          <t>Hub-assembled; Blum hinges pre-installed</t>
        </is>
      </c>
    </row>
    <row r="77" ht="16" customHeight="1">
      <c r="B77" s="30" t="inlineStr">
        <is>
          <t>FF-ALL-014</t>
        </is>
      </c>
      <c r="C77" s="31" t="inlineStr">
        <is>
          <t>Finishes</t>
        </is>
      </c>
      <c r="D77" s="31" t="inlineStr">
        <is>
          <t>—</t>
        </is>
      </c>
      <c r="E77" s="31" t="inlineStr">
        <is>
          <t>Quartz countertop — Silestone Eternal White 3cm</t>
        </is>
      </c>
      <c r="F77" s="31" t="inlineStr">
        <is>
          <t>ALL</t>
        </is>
      </c>
      <c r="G77" s="31" t="inlineStr">
        <is>
          <t>Silestone</t>
        </is>
      </c>
      <c r="H77" s="31" t="inlineStr">
        <is>
          <t>Eternal White 3cm</t>
        </is>
      </c>
      <c r="I77" s="31" t="inlineStr">
        <is>
          <t>NSF/ANSI 51</t>
        </is>
      </c>
      <c r="J77" s="21" t="inlineStr">
        <is>
          <t>LF</t>
        </is>
      </c>
      <c r="K77" s="31" t="inlineStr">
        <is>
          <t>88.00</t>
        </is>
      </c>
      <c r="L77" s="22" t="inlineStr">
        <is>
          <t>ROM Jun 2026</t>
        </is>
      </c>
      <c r="M77" s="22" t="inlineStr"/>
      <c r="N77" s="22" t="inlineStr"/>
      <c r="O77" s="23" t="inlineStr"/>
      <c r="P77" s="31" t="inlineStr"/>
      <c r="Q77" s="31" t="inlineStr">
        <is>
          <t>Fabricated to hub cabinet template</t>
        </is>
      </c>
    </row>
    <row r="78" ht="16" customHeight="1">
      <c r="B78" s="30" t="inlineStr">
        <is>
          <t>FF-ALL-015</t>
        </is>
      </c>
      <c r="C78" s="31" t="inlineStr">
        <is>
          <t>Finishes</t>
        </is>
      </c>
      <c r="D78" s="31" t="inlineStr">
        <is>
          <t>—</t>
        </is>
      </c>
      <c r="E78" s="31" t="inlineStr">
        <is>
          <t>Appliance bundle — Samsung builder account</t>
        </is>
      </c>
      <c r="F78" s="31" t="inlineStr">
        <is>
          <t>ALL</t>
        </is>
      </c>
      <c r="G78" s="31" t="inlineStr">
        <is>
          <t>Samsung</t>
        </is>
      </c>
      <c r="H78" s="31" t="inlineStr">
        <is>
          <t>Builder spec</t>
        </is>
      </c>
      <c r="I78" s="31" t="inlineStr">
        <is>
          <t>—</t>
        </is>
      </c>
      <c r="J78" s="21" t="inlineStr">
        <is>
          <t>LS</t>
        </is>
      </c>
      <c r="K78" s="31" t="inlineStr">
        <is>
          <t>2800.00</t>
        </is>
      </c>
      <c r="L78" s="22" t="inlineStr">
        <is>
          <t>ROM Jun 2026</t>
        </is>
      </c>
      <c r="M78" s="22" t="inlineStr"/>
      <c r="N78" s="22" t="inlineStr"/>
      <c r="O78" s="23" t="inlineStr"/>
      <c r="P78" s="31" t="inlineStr"/>
      <c r="Q78" s="31" t="inlineStr">
        <is>
          <t>Fridge + range + dishwasher; 18–24% below retail</t>
        </is>
      </c>
    </row>
    <row r="79" ht="16" customHeight="1">
      <c r="B79" s="30" t="inlineStr">
        <is>
          <t>FF-ALL-016</t>
        </is>
      </c>
      <c r="C79" s="31" t="inlineStr">
        <is>
          <t>Finishes</t>
        </is>
      </c>
      <c r="D79" s="31" t="inlineStr">
        <is>
          <t>—</t>
        </is>
      </c>
      <c r="E79" s="31" t="inlineStr">
        <is>
          <t>Exterior paint — Allura Spectrum pre-finished</t>
        </is>
      </c>
      <c r="F79" s="31" t="inlineStr">
        <is>
          <t>ALL</t>
        </is>
      </c>
      <c r="G79" s="31" t="inlineStr">
        <is>
          <t>Allura / Sherwin-Williams</t>
        </is>
      </c>
      <c r="H79" s="31" t="inlineStr">
        <is>
          <t>Spectrum</t>
        </is>
      </c>
      <c r="I79" s="31" t="inlineStr">
        <is>
          <t>—</t>
        </is>
      </c>
      <c r="J79" s="21" t="inlineStr">
        <is>
          <t>SF</t>
        </is>
      </c>
      <c r="K79" s="31" t="inlineStr">
        <is>
          <t>0.00</t>
        </is>
      </c>
      <c r="L79" s="22" t="inlineStr">
        <is>
          <t>ROM Jun 2026</t>
        </is>
      </c>
      <c r="M79" s="22" t="inlineStr"/>
      <c r="N79" s="22" t="inlineStr"/>
      <c r="O79" s="23" t="inlineStr"/>
      <c r="P79" s="31" t="inlineStr"/>
      <c r="Q79" s="31" t="inlineStr">
        <is>
          <t>Factory-finished; no field paint; $0 field cost</t>
        </is>
      </c>
    </row>
    <row r="80" ht="16" customHeight="1">
      <c r="B80" s="26" t="inlineStr">
        <is>
          <t>EX-EXP-001</t>
        </is>
      </c>
      <c r="C80" s="27" t="inlineStr">
        <is>
          <t>Export — 4WardCrete</t>
        </is>
      </c>
      <c r="D80" s="27" t="inlineStr">
        <is>
          <t>—</t>
        </is>
      </c>
      <c r="E80" s="27" t="inlineStr">
        <is>
          <t>AERCON AAC 100mm panel</t>
        </is>
      </c>
      <c r="F80" s="27" t="inlineStr">
        <is>
          <t>EXP</t>
        </is>
      </c>
      <c r="G80" s="27" t="inlineStr">
        <is>
          <t>AERCON</t>
        </is>
      </c>
      <c r="H80" s="27" t="inlineStr">
        <is>
          <t>AAC-100</t>
        </is>
      </c>
      <c r="I80" s="27" t="inlineStr">
        <is>
          <t>ESR-1652 / ASTM E119</t>
        </is>
      </c>
      <c r="J80" s="21" t="inlineStr">
        <is>
          <t>SF</t>
        </is>
      </c>
      <c r="K80" s="27" t="inlineStr">
        <is>
          <t>8.40</t>
        </is>
      </c>
      <c r="L80" s="22" t="inlineStr">
        <is>
          <t>ROM Jun 2026</t>
        </is>
      </c>
      <c r="M80" s="22" t="inlineStr"/>
      <c r="N80" s="22" t="inlineStr"/>
      <c r="O80" s="23" t="inlineStr"/>
      <c r="P80" s="27" t="inlineStr"/>
      <c r="Q80" s="27" t="inlineStr">
        <is>
          <t>3-hr fire; non-combustible; ASTM E136</t>
        </is>
      </c>
    </row>
    <row r="81" ht="16" customHeight="1">
      <c r="B81" s="26" t="inlineStr">
        <is>
          <t>EX-EXP-002</t>
        </is>
      </c>
      <c r="C81" s="27" t="inlineStr">
        <is>
          <t>Export — 4WardCrete</t>
        </is>
      </c>
      <c r="D81" s="27" t="inlineStr">
        <is>
          <t>—</t>
        </is>
      </c>
      <c r="E81" s="27" t="inlineStr">
        <is>
          <t>AERCON AAC 125mm panel</t>
        </is>
      </c>
      <c r="F81" s="27" t="inlineStr">
        <is>
          <t>EXP</t>
        </is>
      </c>
      <c r="G81" s="27" t="inlineStr">
        <is>
          <t>AERCON</t>
        </is>
      </c>
      <c r="H81" s="27" t="inlineStr">
        <is>
          <t>AAC-125</t>
        </is>
      </c>
      <c r="I81" s="27" t="inlineStr">
        <is>
          <t>ESR-1652</t>
        </is>
      </c>
      <c r="J81" s="21" t="inlineStr">
        <is>
          <t>SF</t>
        </is>
      </c>
      <c r="K81" s="27" t="inlineStr">
        <is>
          <t>10.20</t>
        </is>
      </c>
      <c r="L81" s="22" t="inlineStr">
        <is>
          <t>ROM Jun 2026</t>
        </is>
      </c>
      <c r="M81" s="22" t="inlineStr"/>
      <c r="N81" s="22" t="inlineStr"/>
      <c r="O81" s="23" t="inlineStr"/>
      <c r="P81" s="27" t="inlineStr"/>
      <c r="Q81" s="27" t="inlineStr">
        <is>
          <t>4-hr fire; party wall export option</t>
        </is>
      </c>
    </row>
    <row r="82" ht="16" customHeight="1">
      <c r="B82" s="26" t="inlineStr">
        <is>
          <t>EX-EXP-003</t>
        </is>
      </c>
      <c r="C82" s="27" t="inlineStr">
        <is>
          <t>Export — 4WardCrete</t>
        </is>
      </c>
      <c r="D82" s="27" t="inlineStr">
        <is>
          <t>—</t>
        </is>
      </c>
      <c r="E82" s="27" t="inlineStr">
        <is>
          <t>G235 LGS stud 600S162-54</t>
        </is>
      </c>
      <c r="F82" s="27" t="inlineStr">
        <is>
          <t>EXP</t>
        </is>
      </c>
      <c r="G82" s="27" t="inlineStr">
        <is>
          <t>ClarkDietrich / Marino\\WARE</t>
        </is>
      </c>
      <c r="H82" s="27" t="inlineStr">
        <is>
          <t>600S162-54 G235</t>
        </is>
      </c>
      <c r="I82" s="27" t="inlineStr">
        <is>
          <t>AISI S240 / ESR-4205</t>
        </is>
      </c>
      <c r="J82" s="21" t="inlineStr">
        <is>
          <t>LF</t>
        </is>
      </c>
      <c r="K82" s="27" t="inlineStr">
        <is>
          <t>3.60</t>
        </is>
      </c>
      <c r="L82" s="22" t="inlineStr">
        <is>
          <t>ROM Jun 2026</t>
        </is>
      </c>
      <c r="M82" s="22" t="inlineStr"/>
      <c r="N82" s="22" t="inlineStr"/>
      <c r="O82" s="23" t="inlineStr"/>
      <c r="P82" s="27" t="inlineStr"/>
      <c r="Q82" s="27" t="inlineStr">
        <is>
          <t>Caribbean HVHZ tropical coating</t>
        </is>
      </c>
    </row>
    <row r="83" ht="16" customHeight="1">
      <c r="B83" s="26" t="inlineStr">
        <is>
          <t>EX-EXP-004</t>
        </is>
      </c>
      <c r="C83" s="27" t="inlineStr">
        <is>
          <t>Export — 4WardCrete</t>
        </is>
      </c>
      <c r="D83" s="27" t="inlineStr">
        <is>
          <t>—</t>
        </is>
      </c>
      <c r="E83" s="27" t="inlineStr">
        <is>
          <t>G235 LGS track 600T125-54</t>
        </is>
      </c>
      <c r="F83" s="27" t="inlineStr">
        <is>
          <t>EXP</t>
        </is>
      </c>
      <c r="G83" s="27" t="inlineStr">
        <is>
          <t>ClarkDietrich / Marino\\WARE</t>
        </is>
      </c>
      <c r="H83" s="27" t="inlineStr">
        <is>
          <t>600T125-54 G235</t>
        </is>
      </c>
      <c r="I83" s="27" t="inlineStr">
        <is>
          <t>AISI S240</t>
        </is>
      </c>
      <c r="J83" s="21" t="inlineStr">
        <is>
          <t>LF</t>
        </is>
      </c>
      <c r="K83" s="27" t="inlineStr">
        <is>
          <t>2.80</t>
        </is>
      </c>
      <c r="L83" s="22" t="inlineStr">
        <is>
          <t>ROM Jun 2026</t>
        </is>
      </c>
      <c r="M83" s="22" t="inlineStr"/>
      <c r="N83" s="22" t="inlineStr"/>
      <c r="O83" s="23" t="inlineStr"/>
      <c r="P83" s="27" t="inlineStr"/>
      <c r="Q83" s="27" t="inlineStr">
        <is>
          <t>Caribbean HVHZ tropical coating</t>
        </is>
      </c>
    </row>
    <row r="84" ht="16" customHeight="1">
      <c r="B84" s="26" t="inlineStr">
        <is>
          <t>EX-EXP-005</t>
        </is>
      </c>
      <c r="C84" s="27" t="inlineStr">
        <is>
          <t>Export — 4WardCrete</t>
        </is>
      </c>
      <c r="D84" s="27" t="inlineStr">
        <is>
          <t>—</t>
        </is>
      </c>
      <c r="E84" s="27" t="inlineStr">
        <is>
          <t>#14 Self-drill SD screw G235</t>
        </is>
      </c>
      <c r="F84" s="27" t="inlineStr">
        <is>
          <t>EXP</t>
        </is>
      </c>
      <c r="G84" s="27" t="inlineStr">
        <is>
          <t>Simpson Strong-Tie</t>
        </is>
      </c>
      <c r="H84" s="27" t="inlineStr">
        <is>
          <t>#14 SD G235</t>
        </is>
      </c>
      <c r="I84" s="27" t="inlineStr">
        <is>
          <t>AISI S240 Table B4.2</t>
        </is>
      </c>
      <c r="J84" s="21" t="inlineStr">
        <is>
          <t>EA</t>
        </is>
      </c>
      <c r="K84" s="27" t="inlineStr">
        <is>
          <t>0.18</t>
        </is>
      </c>
      <c r="L84" s="22" t="inlineStr">
        <is>
          <t>ROM Jun 2026</t>
        </is>
      </c>
      <c r="M84" s="22" t="inlineStr"/>
      <c r="N84" s="22" t="inlineStr"/>
      <c r="O84" s="23" t="inlineStr"/>
      <c r="P84" s="27" t="inlineStr"/>
      <c r="Q84" s="27" t="inlineStr">
        <is>
          <t>LGS stud-to-AAC face; tropical coating</t>
        </is>
      </c>
    </row>
    <row r="85" ht="16" customHeight="1">
      <c r="B85" s="26" t="inlineStr">
        <is>
          <t>EX-EXP-006</t>
        </is>
      </c>
      <c r="C85" s="27" t="inlineStr">
        <is>
          <t>Export — 4WardCrete</t>
        </is>
      </c>
      <c r="D85" s="27" t="inlineStr">
        <is>
          <t>—</t>
        </is>
      </c>
      <c r="E85" s="27" t="inlineStr">
        <is>
          <t>Container logistics + ALDi QR kit label</t>
        </is>
      </c>
      <c r="F85" s="27" t="inlineStr">
        <is>
          <t>EXP</t>
        </is>
      </c>
      <c r="G85" s="27" t="inlineStr">
        <is>
          <t>Hub fabricated</t>
        </is>
      </c>
      <c r="H85" s="27" t="inlineStr">
        <is>
          <t>—</t>
        </is>
      </c>
      <c r="I85" s="27" t="inlineStr">
        <is>
          <t>—</t>
        </is>
      </c>
      <c r="J85" s="21" t="inlineStr">
        <is>
          <t>EA</t>
        </is>
      </c>
      <c r="K85" s="27" t="inlineStr">
        <is>
          <t>800.00</t>
        </is>
      </c>
      <c r="L85" s="22" t="inlineStr">
        <is>
          <t>ROM Jun 2026</t>
        </is>
      </c>
      <c r="M85" s="22" t="inlineStr"/>
      <c r="N85" s="22" t="inlineStr"/>
      <c r="O85" s="23" t="inlineStr"/>
      <c r="P85" s="27" t="inlineStr"/>
      <c r="Q85" s="27" t="inlineStr">
        <is>
          <t>Per unit container assembly + QR coding</t>
        </is>
      </c>
    </row>
    <row r="86" ht="18" customHeight="1">
      <c r="B86" s="19" t="inlineStr">
        <is>
          <t>WA-T2-ICF</t>
        </is>
      </c>
      <c r="C86" s="20" t="inlineStr">
        <is>
          <t>Wall Assembly</t>
        </is>
      </c>
      <c r="D86" s="20" t="inlineStr">
        <is>
          <t>1-Foundation</t>
        </is>
      </c>
      <c r="E86" s="20" t="inlineStr">
        <is>
          <t>Fox Blocks ICF 6" stem wall — urban infill primary spec</t>
        </is>
      </c>
      <c r="F86" s="20" t="inlineStr">
        <is>
          <t>T2</t>
        </is>
      </c>
      <c r="G86" s="20" t="inlineStr">
        <is>
          <t>Fox Blocks / Airlite Plastics</t>
        </is>
      </c>
      <c r="H86" s="20" t="inlineStr">
        <is>
          <t>Fox Blocks 6"</t>
        </is>
      </c>
      <c r="I86" s="20" t="inlineStr">
        <is>
          <t>ICC-ES ER-6163 / MEA 201-08-M</t>
        </is>
      </c>
      <c r="J86" s="21" t="inlineStr">
        <is>
          <t>SF</t>
        </is>
      </c>
      <c r="K86" s="20" t="inlineStr">
        <is>
          <t>24.00</t>
        </is>
      </c>
      <c r="L86" s="22" t="inlineStr">
        <is>
          <t>ROM Jun 2026</t>
        </is>
      </c>
      <c r="M86" s="22" t="inlineStr"/>
      <c r="N86" s="22" t="inlineStr"/>
      <c r="O86" s="23" t="inlineStr"/>
      <c r="P86" s="20" t="inlineStr"/>
      <c r="Q86" s="20" t="inlineStr">
        <is>
          <t>Urban infill primary T2–T4. No crane, no staging. L.E.E.P. crew trainable. R-22 continuous. No separate WRB/damp-proof. Concrete pump required for pour.</t>
        </is>
      </c>
    </row>
    <row r="87" ht="18" customHeight="1">
      <c r="B87" s="19" t="inlineStr">
        <is>
          <t>WA-T3-ICF</t>
        </is>
      </c>
      <c r="C87" s="20" t="inlineStr">
        <is>
          <t>Wall Assembly</t>
        </is>
      </c>
      <c r="D87" s="20" t="inlineStr">
        <is>
          <t>1-Foundation</t>
        </is>
      </c>
      <c r="E87" s="20" t="inlineStr">
        <is>
          <t>Fox Blocks ICF 6" stem wall — urban infill primary spec</t>
        </is>
      </c>
      <c r="F87" s="20" t="inlineStr">
        <is>
          <t>T3</t>
        </is>
      </c>
      <c r="G87" s="20" t="inlineStr">
        <is>
          <t>Fox Blocks / Airlite Plastics</t>
        </is>
      </c>
      <c r="H87" s="20" t="inlineStr">
        <is>
          <t>Fox Blocks 6"</t>
        </is>
      </c>
      <c r="I87" s="20" t="inlineStr">
        <is>
          <t>ICC-ES ER-6163</t>
        </is>
      </c>
      <c r="J87" s="21" t="inlineStr">
        <is>
          <t>SF</t>
        </is>
      </c>
      <c r="K87" s="20" t="inlineStr">
        <is>
          <t>24.00</t>
        </is>
      </c>
      <c r="L87" s="22" t="inlineStr">
        <is>
          <t>ROM Jun 2026</t>
        </is>
      </c>
      <c r="M87" s="22" t="inlineStr"/>
      <c r="N87" s="22" t="inlineStr"/>
      <c r="O87" s="23" t="inlineStr"/>
      <c r="P87" s="20" t="inlineStr"/>
      <c r="Q87" s="20" t="inlineStr">
        <is>
          <t>Same as T2. No thermal bridge at sill. Continuous EPS from below-grade through sill. NUDURA ER-6163 acceptable alternate.</t>
        </is>
      </c>
    </row>
    <row r="88" ht="18" customHeight="1">
      <c r="B88" s="19" t="inlineStr">
        <is>
          <t>WA-T4-ICF</t>
        </is>
      </c>
      <c r="C88" s="20" t="inlineStr">
        <is>
          <t>Wall Assembly</t>
        </is>
      </c>
      <c r="D88" s="20" t="inlineStr">
        <is>
          <t>1-Foundation</t>
        </is>
      </c>
      <c r="E88" s="20" t="inlineStr">
        <is>
          <t>Fox Blocks ICF 8" stem wall — T4 max performance</t>
        </is>
      </c>
      <c r="F88" s="20" t="inlineStr">
        <is>
          <t>T4</t>
        </is>
      </c>
      <c r="G88" s="20" t="inlineStr">
        <is>
          <t>Fox Blocks / Airlite Plastics</t>
        </is>
      </c>
      <c r="H88" s="20" t="inlineStr">
        <is>
          <t>Fox Blocks 8"</t>
        </is>
      </c>
      <c r="I88" s="20" t="inlineStr">
        <is>
          <t>ICC-ES ER-6163</t>
        </is>
      </c>
      <c r="J88" s="21" t="inlineStr">
        <is>
          <t>SF</t>
        </is>
      </c>
      <c r="K88" s="20" t="inlineStr">
        <is>
          <t>28.00</t>
        </is>
      </c>
      <c r="L88" s="22" t="inlineStr">
        <is>
          <t>ROM Jun 2026</t>
        </is>
      </c>
      <c r="M88" s="22" t="inlineStr"/>
      <c r="N88" s="22" t="inlineStr"/>
      <c r="O88" s="23" t="inlineStr"/>
      <c r="P88" s="20" t="inlineStr"/>
      <c r="Q88" s="20" t="inlineStr">
        <is>
          <t>8" core for T4 off-grid — R-25+ continuous. 4-hr ASTM E119 fire rating. No separate insulation, WRB, or damp-proofing trades.</t>
        </is>
      </c>
    </row>
    <row r="89" ht="18" customHeight="1">
      <c r="B89" s="19" t="inlineStr">
        <is>
          <t>WA-T1-ICF</t>
        </is>
      </c>
      <c r="C89" s="20" t="inlineStr">
        <is>
          <t>Wall Assembly</t>
        </is>
      </c>
      <c r="D89" s="20" t="inlineStr">
        <is>
          <t>1-Foundation</t>
        </is>
      </c>
      <c r="E89" s="20" t="inlineStr">
        <is>
          <t>LiteForm FPSF LiteFoot insulated footing form — T1 + tight sites</t>
        </is>
      </c>
      <c r="F89" s="20" t="inlineStr">
        <is>
          <t>T1</t>
        </is>
      </c>
      <c r="G89" s="20" t="inlineStr">
        <is>
          <t>LiteForm Technologies</t>
        </is>
      </c>
      <c r="H89" s="20" t="inlineStr">
        <is>
          <t>LiteFoot FPSF</t>
        </is>
      </c>
      <c r="I89" s="20" t="inlineStr">
        <is>
          <t>IRC R403.3 FPSF tables</t>
        </is>
      </c>
      <c r="J89" s="21" t="inlineStr">
        <is>
          <t>SF</t>
        </is>
      </c>
      <c r="K89" s="20" t="inlineStr">
        <is>
          <t>18.00</t>
        </is>
      </c>
      <c r="L89" s="22" t="inlineStr">
        <is>
          <t>ROM Jun 2026</t>
        </is>
      </c>
      <c r="M89" s="22" t="inlineStr"/>
      <c r="N89" s="22" t="inlineStr"/>
      <c r="O89" s="23" t="inlineStr"/>
      <c r="P89" s="20" t="inlineStr"/>
      <c r="Q89" s="20" t="inlineStr">
        <is>
          <t>T1 budget path and tight-site alternative all tiers. Frost-protected shallow foundation. Less excavation, less concrete, faster. EPS stay-in-place footing form. No strip formwork.</t>
        </is>
      </c>
    </row>
    <row r="90" ht="18" customHeight="1">
      <c r="B90" s="19" t="inlineStr">
        <is>
          <t>WA-ALL-ICF</t>
        </is>
      </c>
      <c r="C90" s="20" t="inlineStr">
        <is>
          <t>Wall Assembly</t>
        </is>
      </c>
      <c r="D90" s="20" t="inlineStr">
        <is>
          <t>1-Foundation</t>
        </is>
      </c>
      <c r="E90" s="20" t="inlineStr">
        <is>
          <t>NUDURA ICF stem wall — alternate to Fox Blocks</t>
        </is>
      </c>
      <c r="F90" s="20" t="inlineStr">
        <is>
          <t>ALL</t>
        </is>
      </c>
      <c r="G90" s="20" t="inlineStr">
        <is>
          <t>NUDURA / Nudura Inc.</t>
        </is>
      </c>
      <c r="H90" s="20" t="inlineStr">
        <is>
          <t>NUDURA 6" / 8"</t>
        </is>
      </c>
      <c r="I90" s="20" t="inlineStr">
        <is>
          <t>CCMC 13063-R / ER-6163</t>
        </is>
      </c>
      <c r="J90" s="21" t="inlineStr">
        <is>
          <t>SF</t>
        </is>
      </c>
      <c r="K90" s="20" t="inlineStr">
        <is>
          <t>24.00</t>
        </is>
      </c>
      <c r="L90" s="22" t="inlineStr">
        <is>
          <t>ROM Jun 2026</t>
        </is>
      </c>
      <c r="M90" s="22" t="inlineStr"/>
      <c r="N90" s="22" t="inlineStr"/>
      <c r="O90" s="23" t="inlineStr"/>
      <c r="P90" s="20" t="inlineStr"/>
      <c r="Q90" s="20" t="inlineStr">
        <is>
          <t>Acceptable alternate to Fox Blocks. Same performance. NUDURA folds flat for transport — advantage on tight urban delivery. NYC MEA 201-08-M also applicable.</t>
        </is>
      </c>
    </row>
  </sheetData>
  <autoFilter ref="B6:P85"/>
  <mergeCells count="2">
    <mergeCell ref="B3:P3"/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/>
    <row r="2">
      <c r="B2" s="32" t="inlineStr">
        <is>
          <t>Wall Assembly Cost Tracker — $/SF by Tier</t>
        </is>
      </c>
    </row>
    <row r="3">
      <c r="B3" s="3" t="inlineStr">
        <is>
          <t>ROM figures = blue. Verified figures = black formula. G4 actuals = gold. Enter supplier quotes in QUOTE_RETAIL column on ALDDB_SCHEMA tab.</t>
        </is>
      </c>
    </row>
    <row r="4"/>
    <row r="5" ht="30" customHeight="1">
      <c r="B5" s="33" t="inlineStr">
        <is>
          <t>Layer / Component</t>
        </is>
      </c>
      <c r="C5" s="34" t="inlineStr">
        <is>
          <t>T1 Code+
$/SF</t>
        </is>
      </c>
      <c r="D5" s="35" t="inlineStr">
        <is>
          <t>T2 Zero
$/SF</t>
        </is>
      </c>
      <c r="E5" s="36" t="inlineStr">
        <is>
          <t>T3 Positive
$/SF</t>
        </is>
      </c>
      <c r="F5" s="33" t="inlineStr">
        <is>
          <t>T4 Harvest
$/SF</t>
        </is>
      </c>
      <c r="G5" s="37" t="inlineStr">
        <is>
          <t>Export
$/SF</t>
        </is>
      </c>
      <c r="H5" s="38" t="inlineStr">
        <is>
          <t>Notes</t>
        </is>
      </c>
    </row>
    <row r="6" ht="16" customHeight="1">
      <c r="B6" s="39" t="inlineStr">
        <is>
          <t>── ZONE 1 — FOUNDATION INTERFACE</t>
        </is>
      </c>
      <c r="C6" s="69" t="n"/>
      <c r="D6" s="69" t="n"/>
      <c r="E6" s="69" t="n"/>
      <c r="F6" s="69" t="n"/>
      <c r="G6" s="69" t="n"/>
      <c r="H6" s="70" t="n"/>
    </row>
    <row r="7" ht="16" customHeight="1">
      <c r="B7" s="40" t="inlineStr">
        <is>
          <t>CMU / poured foundation base</t>
        </is>
      </c>
      <c r="C7" s="41" t="n">
        <v>14.2</v>
      </c>
      <c r="D7" s="42" t="inlineStr">
        <is>
          <t>—</t>
        </is>
      </c>
      <c r="E7" s="42" t="inlineStr">
        <is>
          <t>—</t>
        </is>
      </c>
      <c r="F7" s="42" t="inlineStr">
        <is>
          <t>—</t>
        </is>
      </c>
      <c r="G7" s="41" t="n">
        <v>6.4</v>
      </c>
      <c r="H7" s="43" t="inlineStr">
        <is>
          <t>T1 base; EXP = concrete slab</t>
        </is>
      </c>
    </row>
    <row r="8" ht="16" customHeight="1">
      <c r="B8" s="46" t="inlineStr">
        <is>
          <t>Superior Walls Xi Plus — suburban/rural only</t>
        </is>
      </c>
      <c r="C8" s="45" t="inlineStr">
        <is>
          <t>—</t>
        </is>
      </c>
      <c r="D8" s="41" t="n">
        <v>28.4</v>
      </c>
      <c r="E8" s="41" t="n">
        <v>28.4</v>
      </c>
      <c r="F8" s="41" t="n">
        <v>28.4</v>
      </c>
      <c r="G8" s="45" t="inlineStr">
        <is>
          <t>—</t>
        </is>
      </c>
      <c r="H8" s="72" t="inlineStr">
        <is>
          <t>SUBURBAN/RURAL ONLY — crane + staging req. Not for urban infill. See ICF rows below.</t>
        </is>
      </c>
    </row>
    <row r="9" ht="16" customHeight="1">
      <c r="B9" s="40" t="inlineStr">
        <is>
          <t>Sill anchor — Simpson MASOZ</t>
        </is>
      </c>
      <c r="C9" s="41" t="n">
        <v>0.6</v>
      </c>
      <c r="D9" s="41" t="n">
        <v>0.6</v>
      </c>
      <c r="E9" s="41" t="n">
        <v>0.6</v>
      </c>
      <c r="F9" s="41" t="n">
        <v>0.6</v>
      </c>
      <c r="G9" s="41" t="n">
        <v>0.64</v>
      </c>
      <c r="H9" s="43" t="inlineStr">
        <is>
          <t>$/SF wall; G185 tropical for export</t>
        </is>
      </c>
    </row>
    <row r="10" ht="16" customHeight="1">
      <c r="B10" s="44" t="inlineStr">
        <is>
          <t>SIGA TEAKstrip capillary break</t>
        </is>
      </c>
      <c r="C10" s="45" t="inlineStr">
        <is>
          <t>—</t>
        </is>
      </c>
      <c r="D10" s="41" t="n">
        <v>0.18</v>
      </c>
      <c r="E10" s="41" t="n">
        <v>0.18</v>
      </c>
      <c r="F10" s="41" t="n">
        <v>0.18</v>
      </c>
      <c r="G10" s="41" t="n">
        <v>0.18</v>
      </c>
      <c r="H10" s="46" t="inlineStr">
        <is>
          <t>LF converted to $/SF wall est.</t>
        </is>
      </c>
    </row>
    <row r="11" ht="16" customHeight="1">
      <c r="B11" s="39" t="inlineStr">
        <is>
          <t>── ZONE 2 — WALL PANEL ASSEMBLY</t>
        </is>
      </c>
      <c r="C11" s="69" t="n"/>
      <c r="D11" s="69" t="n"/>
      <c r="E11" s="69" t="n"/>
      <c r="F11" s="69" t="n"/>
      <c r="G11" s="69" t="n"/>
      <c r="H11" s="70" t="n"/>
    </row>
    <row r="12" ht="16" customHeight="1">
      <c r="B12" s="44" t="inlineStr">
        <is>
          <t>½" Type X GWB — factory hung at hub</t>
        </is>
      </c>
      <c r="C12" s="41" t="n">
        <v>2.6</v>
      </c>
      <c r="D12" s="41" t="n">
        <v>2.6</v>
      </c>
      <c r="E12" s="41" t="n">
        <v>2.6</v>
      </c>
      <c r="F12" s="41" t="n">
        <v>2.6</v>
      </c>
      <c r="G12" s="41" t="n">
        <v>1.8</v>
      </c>
      <c r="H12" s="46" t="inlineStr">
        <is>
          <t>EXP = lime wash direct to AAC</t>
        </is>
      </c>
    </row>
    <row r="13" ht="16" customHeight="1">
      <c r="B13" s="40" t="inlineStr">
        <is>
          <t>ACME 6.5" SIP Neopor GPS core</t>
        </is>
      </c>
      <c r="C13" s="41" t="n">
        <v>9.800000000000001</v>
      </c>
      <c r="D13" s="41" t="n">
        <v>9.800000000000001</v>
      </c>
      <c r="E13" s="41" t="n">
        <v>9.800000000000001</v>
      </c>
      <c r="F13" s="41" t="n">
        <v>9.800000000000001</v>
      </c>
      <c r="G13" s="42" t="inlineStr">
        <is>
          <t>—</t>
        </is>
      </c>
      <c r="H13" s="43" t="inlineStr">
        <is>
          <t>ROM — update at G4 closeout</t>
        </is>
      </c>
    </row>
    <row r="14" ht="16" customHeight="1">
      <c r="B14" s="44" t="inlineStr">
        <is>
          <t>CLT structural spine (Type C/D)</t>
        </is>
      </c>
      <c r="C14" s="41" t="n">
        <v>3.2</v>
      </c>
      <c r="D14" s="41" t="n">
        <v>3.2</v>
      </c>
      <c r="E14" s="41" t="n">
        <v>3.2</v>
      </c>
      <c r="F14" s="41" t="n">
        <v>3.2</v>
      </c>
      <c r="G14" s="45" t="inlineStr">
        <is>
          <t>—</t>
        </is>
      </c>
      <c r="H14" s="46" t="inlineStr">
        <is>
          <t>Allocated $/SF wall</t>
        </is>
      </c>
    </row>
    <row r="15" ht="16" customHeight="1">
      <c r="B15" s="40" t="inlineStr">
        <is>
          <t>AERCON AAC 100mm panel (Export)</t>
        </is>
      </c>
      <c r="C15" s="42" t="inlineStr">
        <is>
          <t>—</t>
        </is>
      </c>
      <c r="D15" s="42" t="inlineStr">
        <is>
          <t>—</t>
        </is>
      </c>
      <c r="E15" s="42" t="inlineStr">
        <is>
          <t>—</t>
        </is>
      </c>
      <c r="F15" s="42" t="inlineStr">
        <is>
          <t>—</t>
        </is>
      </c>
      <c r="G15" s="41" t="n">
        <v>8.4</v>
      </c>
      <c r="H15" s="43" t="inlineStr">
        <is>
          <t>ESR-1652; 3-hr ASTM E119</t>
        </is>
      </c>
    </row>
    <row r="16" ht="16" customHeight="1">
      <c r="B16" s="44" t="inlineStr">
        <is>
          <t>G235 LGS structural frame (Export)</t>
        </is>
      </c>
      <c r="C16" s="45" t="inlineStr">
        <is>
          <t>—</t>
        </is>
      </c>
      <c r="D16" s="45" t="inlineStr">
        <is>
          <t>—</t>
        </is>
      </c>
      <c r="E16" s="45" t="inlineStr">
        <is>
          <t>—</t>
        </is>
      </c>
      <c r="F16" s="45" t="inlineStr">
        <is>
          <t>—</t>
        </is>
      </c>
      <c r="G16" s="41" t="n">
        <v>7.2</v>
      </c>
      <c r="H16" s="46" t="inlineStr">
        <is>
          <t>AISI S240; CUBiC recognized</t>
        </is>
      </c>
    </row>
    <row r="17" ht="16" customHeight="1">
      <c r="B17" s="40" t="inlineStr">
        <is>
          <t>Cavity insulation (batt / mineral wool)</t>
        </is>
      </c>
      <c r="C17" s="41" t="n">
        <v>2.1</v>
      </c>
      <c r="D17" s="41" t="n">
        <v>3.2</v>
      </c>
      <c r="E17" s="41" t="n">
        <v>3.2</v>
      </c>
      <c r="F17" s="41" t="n">
        <v>3.2</v>
      </c>
      <c r="G17" s="42" t="inlineStr">
        <is>
          <t>—</t>
        </is>
      </c>
      <c r="H17" s="43" t="inlineStr">
        <is>
          <t>T1 = fiberglass; T2+ = Rockwool</t>
        </is>
      </c>
    </row>
    <row r="18" ht="16" customHeight="1">
      <c r="B18" s="44" t="inlineStr">
        <is>
          <t>Barricade Thermo-Brace SIB R-5</t>
        </is>
      </c>
      <c r="C18" s="41" t="n">
        <v>3.2</v>
      </c>
      <c r="D18" s="41" t="n">
        <v>3.8</v>
      </c>
      <c r="E18" s="41" t="n">
        <v>3.8</v>
      </c>
      <c r="F18" s="41" t="n">
        <v>3.8</v>
      </c>
      <c r="G18" s="45" t="inlineStr">
        <is>
          <t>—</t>
        </is>
      </c>
      <c r="H18" s="46" t="inlineStr">
        <is>
          <t>TER 1507-09; verify renewal</t>
        </is>
      </c>
    </row>
    <row r="19" ht="16" customHeight="1">
      <c r="B19" s="40" t="inlineStr">
        <is>
          <t>ArmorWall Plus FR SIS 2¾" R-15 (T3)</t>
        </is>
      </c>
      <c r="C19" s="42" t="inlineStr">
        <is>
          <t>—</t>
        </is>
      </c>
      <c r="D19" s="42" t="inlineStr">
        <is>
          <t>—</t>
        </is>
      </c>
      <c r="E19" s="41" t="n">
        <v>11.4</v>
      </c>
      <c r="F19" s="42" t="inlineStr">
        <is>
          <t>—</t>
        </is>
      </c>
      <c r="G19" s="42" t="inlineStr">
        <is>
          <t>—</t>
        </is>
      </c>
      <c r="H19" s="43" t="inlineStr">
        <is>
          <t>ESL-1302+1442; NFPA 285</t>
        </is>
      </c>
    </row>
    <row r="20" ht="16" customHeight="1">
      <c r="B20" s="44" t="inlineStr">
        <is>
          <t>ArmorWall Plus FR SIS 3¾" R-21 (T4)</t>
        </is>
      </c>
      <c r="C20" s="45" t="inlineStr">
        <is>
          <t>—</t>
        </is>
      </c>
      <c r="D20" s="45" t="inlineStr">
        <is>
          <t>—</t>
        </is>
      </c>
      <c r="E20" s="45" t="inlineStr">
        <is>
          <t>—</t>
        </is>
      </c>
      <c r="F20" s="41" t="n">
        <v>14.2</v>
      </c>
      <c r="G20" s="45" t="inlineStr">
        <is>
          <t>—</t>
        </is>
      </c>
      <c r="H20" s="46" t="inlineStr">
        <is>
          <t>ESL-1302; max CI tier</t>
        </is>
      </c>
    </row>
    <row r="21" ht="16" customHeight="1">
      <c r="B21" s="40" t="inlineStr">
        <is>
          <t>Pro Clima Intello+ air barrier (T3+)</t>
        </is>
      </c>
      <c r="C21" s="42" t="inlineStr">
        <is>
          <t>—</t>
        </is>
      </c>
      <c r="D21" s="42" t="inlineStr">
        <is>
          <t>—</t>
        </is>
      </c>
      <c r="E21" s="41" t="n">
        <v>1.8</v>
      </c>
      <c r="F21" s="41" t="n">
        <v>1.8</v>
      </c>
      <c r="G21" s="42" t="inlineStr">
        <is>
          <t>—</t>
        </is>
      </c>
      <c r="H21" s="43" t="inlineStr">
        <is>
          <t>Airtight junctions</t>
        </is>
      </c>
    </row>
    <row r="22" ht="16" customHeight="1">
      <c r="B22" s="44" t="inlineStr">
        <is>
          <t>8" CMU party wall (all tiers)</t>
        </is>
      </c>
      <c r="C22" s="41" t="n">
        <v>2.8</v>
      </c>
      <c r="D22" s="41" t="n">
        <v>2.8</v>
      </c>
      <c r="E22" s="41" t="n">
        <v>2.8</v>
      </c>
      <c r="F22" s="41" t="n">
        <v>2.8</v>
      </c>
      <c r="G22" s="45" t="inlineStr">
        <is>
          <t>—</t>
        </is>
      </c>
      <c r="H22" s="46" t="inlineStr">
        <is>
          <t>Allocated $/SF ext wall</t>
        </is>
      </c>
    </row>
    <row r="23" ht="16" customHeight="1">
      <c r="B23" s="39" t="inlineStr">
        <is>
          <t>── ZONE 3 — CLADDING</t>
        </is>
      </c>
      <c r="C23" s="69" t="n"/>
      <c r="D23" s="69" t="n"/>
      <c r="E23" s="69" t="n"/>
      <c r="F23" s="69" t="n"/>
      <c r="G23" s="69" t="n"/>
      <c r="H23" s="70" t="n"/>
    </row>
    <row r="24" ht="16" customHeight="1">
      <c r="B24" s="44" t="inlineStr">
        <is>
          <t>Allura Lap (T1) / Panel (T2) / Panel+Shakes (T3+)</t>
        </is>
      </c>
      <c r="C24" s="41" t="n">
        <v>7.5</v>
      </c>
      <c r="D24" s="41" t="n">
        <v>9.199999999999999</v>
      </c>
      <c r="E24" s="41" t="n">
        <v>11.8</v>
      </c>
      <c r="F24" s="41" t="n">
        <v>13.2</v>
      </c>
      <c r="G24" s="41" t="n">
        <v>6.8</v>
      </c>
      <c r="H24" s="46" t="inlineStr">
        <is>
          <t>Pre-finished Spectrum no field paint</t>
        </is>
      </c>
    </row>
    <row r="25" ht="16" customHeight="1">
      <c r="B25" s="40" t="inlineStr">
        <is>
          <t>Allura Trim + Soffit</t>
        </is>
      </c>
      <c r="C25" s="41" t="n">
        <v>1.2</v>
      </c>
      <c r="D25" s="41" t="n">
        <v>1.8</v>
      </c>
      <c r="E25" s="41" t="n">
        <v>1.8</v>
      </c>
      <c r="F25" s="41" t="n">
        <v>1.8</v>
      </c>
      <c r="G25" s="41" t="n">
        <v>1.8</v>
      </c>
      <c r="H25" s="43" t="inlineStr">
        <is>
          <t>All tiers; EXP = tropical spec</t>
        </is>
      </c>
    </row>
    <row r="26" ht="16" customHeight="1">
      <c r="B26" s="39" t="inlineStr">
        <is>
          <t>── ZONE 4 — SAPK CONNECTORS</t>
        </is>
      </c>
      <c r="C26" s="69" t="n"/>
      <c r="D26" s="69" t="n"/>
      <c r="E26" s="69" t="n"/>
      <c r="F26" s="69" t="n"/>
      <c r="G26" s="69" t="n"/>
      <c r="H26" s="70" t="n"/>
    </row>
    <row r="27" ht="16" customHeight="1">
      <c r="B27" s="40" t="inlineStr">
        <is>
          <t>Rothoblaas ALUMEGA + HBS PLATE</t>
        </is>
      </c>
      <c r="C27" s="41" t="n">
        <v>0.9</v>
      </c>
      <c r="D27" s="41" t="n">
        <v>0.9</v>
      </c>
      <c r="E27" s="41" t="n">
        <v>1.1</v>
      </c>
      <c r="F27" s="41" t="n">
        <v>1.4</v>
      </c>
      <c r="G27" s="41" t="n">
        <v>1.4</v>
      </c>
      <c r="H27" s="43" t="inlineStr">
        <is>
          <t>A4 SS for T4 + EXP</t>
        </is>
      </c>
    </row>
    <row r="28" ht="16" customHeight="1">
      <c r="B28" s="44" t="inlineStr">
        <is>
          <t>Simpson HTT hold-down (per tier)</t>
        </is>
      </c>
      <c r="C28" s="41" t="n">
        <v>0.28</v>
      </c>
      <c r="D28" s="41" t="n">
        <v>0.34</v>
      </c>
      <c r="E28" s="41" t="n">
        <v>0.34</v>
      </c>
      <c r="F28" s="41" t="n">
        <v>0.48</v>
      </c>
      <c r="G28" s="41" t="n">
        <v>0.28</v>
      </c>
      <c r="H28" s="46" t="inlineStr">
        <is>
          <t>HTT4/5/22 by tier</t>
        </is>
      </c>
    </row>
    <row r="29" ht="16" customHeight="1">
      <c r="B29" s="40" t="inlineStr">
        <is>
          <t>Airtight tape system (Rtb SIGA)</t>
        </is>
      </c>
      <c r="C29" s="41" t="n">
        <v>0.22</v>
      </c>
      <c r="D29" s="41" t="n">
        <v>0.34</v>
      </c>
      <c r="E29" s="41" t="n">
        <v>0.42</v>
      </c>
      <c r="F29" s="41" t="n">
        <v>0.42</v>
      </c>
      <c r="G29" s="41" t="n">
        <v>0.32</v>
      </c>
      <c r="H29" s="43" t="inlineStr">
        <is>
          <t>FENTRIM IS + Rissan by tier</t>
        </is>
      </c>
    </row>
    <row r="30" ht="16" customHeight="1">
      <c r="B30" s="44" t="inlineStr">
        <is>
          <t>Simpson SCLC stair cassette</t>
        </is>
      </c>
      <c r="C30" s="41" t="n">
        <v>0.18</v>
      </c>
      <c r="D30" s="41" t="n">
        <v>0.18</v>
      </c>
      <c r="E30" s="41" t="n">
        <v>0.18</v>
      </c>
      <c r="F30" s="41" t="n">
        <v>0.18</v>
      </c>
      <c r="G30" s="41" t="n">
        <v>0.18</v>
      </c>
      <c r="H30" s="46" t="inlineStr">
        <is>
          <t>Hub-built; site: lower onto connector</t>
        </is>
      </c>
    </row>
    <row r="31" ht="16" customHeight="1">
      <c r="B31" s="39" t="inlineStr">
        <is>
          <t>── ZONE 5 — FACTORY + LABOR</t>
        </is>
      </c>
      <c r="C31" s="69" t="n"/>
      <c r="D31" s="69" t="n"/>
      <c r="E31" s="69" t="n"/>
      <c r="F31" s="69" t="n"/>
      <c r="G31" s="69" t="n"/>
      <c r="H31" s="70" t="n"/>
    </row>
    <row r="32" ht="16" customHeight="1">
      <c r="B32" s="44" t="inlineStr">
        <is>
          <t>Hub panel assembly (partial factory credit)</t>
        </is>
      </c>
      <c r="C32" s="41" t="n">
        <v>6</v>
      </c>
      <c r="D32" s="41" t="n">
        <v>7.2</v>
      </c>
      <c r="E32" s="41" t="n">
        <v>8.4</v>
      </c>
      <c r="F32" s="41" t="n">
        <v>9.199999999999999</v>
      </c>
      <c r="G32" s="41" t="n">
        <v>5.2</v>
      </c>
      <c r="H32" s="46" t="inlineStr">
        <is>
          <t>Allocated hub assembly cost/SF</t>
        </is>
      </c>
    </row>
    <row r="33" ht="16" customHeight="1">
      <c r="B33" s="40" t="inlineStr">
        <is>
          <t>Site installation labor</t>
        </is>
      </c>
      <c r="C33" s="41" t="n">
        <v>5.7</v>
      </c>
      <c r="D33" s="41" t="n">
        <v>5.4</v>
      </c>
      <c r="E33" s="41" t="n">
        <v>7.4</v>
      </c>
      <c r="F33" s="41" t="n">
        <v>8.800000000000001</v>
      </c>
      <c r="G33" s="41" t="n">
        <v>6.2</v>
      </c>
      <c r="H33" s="43" t="inlineStr">
        <is>
          <t>Crane set + site connections</t>
        </is>
      </c>
    </row>
    <row r="34" ht="16" customHeight="1">
      <c r="B34" s="44" t="inlineStr">
        <is>
          <t>Modular MEP factory credit (deduct)</t>
        </is>
      </c>
      <c r="C34" s="47" t="n">
        <v>-2.8</v>
      </c>
      <c r="D34" s="47" t="n">
        <v>-5.4</v>
      </c>
      <c r="E34" s="47" t="n">
        <v>-7.2</v>
      </c>
      <c r="F34" s="47" t="n">
        <v>-9.800000000000001</v>
      </c>
      <c r="G34" s="47" t="n">
        <v>-4.2</v>
      </c>
      <c r="H34" s="46" t="inlineStr">
        <is>
          <t>SIPA prefab labor data</t>
        </is>
      </c>
    </row>
    <row r="35" ht="20" customHeight="1">
      <c r="B35" s="48" t="inlineStr">
        <is>
          <t>TOTAL INSTALLED $/SF WALL</t>
        </is>
      </c>
      <c r="C35" s="48" t="inlineStr">
        <is>
          <t>$36.20</t>
        </is>
      </c>
      <c r="D35" s="49" t="inlineStr">
        <is>
          <t>$44.60</t>
        </is>
      </c>
      <c r="E35" s="50" t="inlineStr">
        <is>
          <t>$55.80</t>
        </is>
      </c>
      <c r="F35" s="51" t="inlineStr">
        <is>
          <t>$62.40</t>
        </is>
      </c>
      <c r="G35" s="52" t="inlineStr">
        <is>
          <t>$39.80</t>
        </is>
      </c>
    </row>
    <row r="36" ht="20" customHeight="1">
      <c r="B36" s="53" t="inlineStr">
        <is>
          <t>STICK-FRAME EQUIVALENT</t>
        </is>
      </c>
      <c r="C36" s="53" t="inlineStr">
        <is>
          <t>$38.50</t>
        </is>
      </c>
      <c r="D36" s="53" t="inlineStr">
        <is>
          <t>$52.80</t>
        </is>
      </c>
      <c r="E36" s="53" t="inlineStr">
        <is>
          <t>$71.40</t>
        </is>
      </c>
      <c r="F36" s="53" t="inlineStr">
        <is>
          <t>$84.60</t>
        </is>
      </c>
      <c r="G36" s="53" t="inlineStr">
        <is>
          <t>$48.20</t>
        </is>
      </c>
    </row>
    <row r="37" ht="20" customHeight="1">
      <c r="B37" s="54" t="inlineStr">
        <is>
          <t>SAVINGS VS STICK (with MEP credit)</t>
        </is>
      </c>
      <c r="C37" s="54" t="inlineStr">
        <is>
          <t>$5.10 (13%)</t>
        </is>
      </c>
      <c r="D37" s="54" t="inlineStr">
        <is>
          <t>$13.60 (26%)</t>
        </is>
      </c>
      <c r="E37" s="54" t="inlineStr">
        <is>
          <t>$22.80 (32%)</t>
        </is>
      </c>
      <c r="F37" s="54" t="inlineStr">
        <is>
          <t>$32.00 (38%)</t>
        </is>
      </c>
      <c r="G37" s="54" t="inlineStr">
        <is>
          <t>$8.40 (17%)</t>
        </is>
      </c>
    </row>
    <row r="38" ht="16" customHeight="1">
      <c r="B38" s="39" t="inlineStr">
        <is>
          <t>── ICF FOUNDATION — urban infill primary spec (replaces Superior Walls on tight sites)</t>
        </is>
      </c>
    </row>
    <row r="39" ht="16" customHeight="1">
      <c r="B39" s="73" t="inlineStr">
        <is>
          <t>Fox Blocks 6" ICF stem wall (T2–T4 urban primary)</t>
        </is>
      </c>
      <c r="C39" s="74" t="inlineStr">
        <is>
          <t>—</t>
        </is>
      </c>
      <c r="D39" s="75" t="n">
        <v>24</v>
      </c>
      <c r="E39" s="75" t="n">
        <v>24</v>
      </c>
      <c r="F39" s="74" t="inlineStr">
        <is>
          <t>—</t>
        </is>
      </c>
      <c r="G39" s="74" t="inlineStr">
        <is>
          <t>—</t>
        </is>
      </c>
      <c r="H39" s="76" t="inlineStr">
        <is>
          <t>ER-6163. No crane. No WRB/damp-proof trade. R-22 cont. Concrete pump for pour.</t>
        </is>
      </c>
    </row>
    <row r="40" ht="16" customHeight="1">
      <c r="B40" s="77" t="inlineStr">
        <is>
          <t>Fox Blocks 8" ICF stem wall (T4 max)</t>
        </is>
      </c>
      <c r="C40" s="78" t="inlineStr">
        <is>
          <t>—</t>
        </is>
      </c>
      <c r="D40" s="78" t="inlineStr">
        <is>
          <t>—</t>
        </is>
      </c>
      <c r="E40" s="78" t="inlineStr">
        <is>
          <t>—</t>
        </is>
      </c>
      <c r="F40" s="75" t="n">
        <v>28</v>
      </c>
      <c r="G40" s="78" t="inlineStr">
        <is>
          <t>—</t>
        </is>
      </c>
      <c r="H40" s="79" t="inlineStr">
        <is>
          <t>8" core = R-25+, 4-hr E119. T4 off-grid preferred.</t>
        </is>
      </c>
    </row>
    <row r="41" ht="16" customHeight="1">
      <c r="B41" s="73" t="inlineStr">
        <is>
          <t>LiteForm FPSF LiteFoot footing form (T1 + all tight sites)</t>
        </is>
      </c>
      <c r="C41" s="75" t="n">
        <v>18</v>
      </c>
      <c r="D41" s="75" t="n">
        <v>18</v>
      </c>
      <c r="E41" s="75" t="n">
        <v>18</v>
      </c>
      <c r="F41" s="75" t="n">
        <v>18</v>
      </c>
      <c r="G41" s="74" t="inlineStr">
        <is>
          <t>—</t>
        </is>
      </c>
      <c r="H41" s="76" t="inlineStr">
        <is>
          <t>IRC R403.3 FPSF. Less excavation, less concrete, faster. Stay-in-place EPS.</t>
        </is>
      </c>
    </row>
    <row r="42" ht="16" customHeight="1">
      <c r="B42" s="77" t="inlineStr">
        <is>
          <t>ICF separate WRB / damp-proof</t>
        </is>
      </c>
      <c r="C42" s="78" t="inlineStr">
        <is>
          <t>—</t>
        </is>
      </c>
      <c r="D42" s="80" t="inlineStr">
        <is>
          <t>$0.00</t>
        </is>
      </c>
      <c r="E42" s="80" t="inlineStr">
        <is>
          <t>$0.00</t>
        </is>
      </c>
      <c r="F42" s="80" t="inlineStr">
        <is>
          <t>$0.00</t>
        </is>
      </c>
      <c r="G42" s="78" t="inlineStr">
        <is>
          <t>—</t>
        </is>
      </c>
      <c r="H42" s="79" t="inlineStr">
        <is>
          <t>Not required — EPS faces serve as damp-proof layer. $0 vs ~$2.40/SF for CMU.</t>
        </is>
      </c>
    </row>
    <row r="43" ht="16" customHeight="1">
      <c r="B43" s="73" t="inlineStr">
        <is>
          <t>ICF separate insulation</t>
        </is>
      </c>
      <c r="C43" s="74" t="inlineStr">
        <is>
          <t>—</t>
        </is>
      </c>
      <c r="D43" s="80" t="inlineStr">
        <is>
          <t>$0.00</t>
        </is>
      </c>
      <c r="E43" s="80" t="inlineStr">
        <is>
          <t>$0.00</t>
        </is>
      </c>
      <c r="F43" s="80" t="inlineStr">
        <is>
          <t>$0.00</t>
        </is>
      </c>
      <c r="G43" s="74" t="inlineStr">
        <is>
          <t>—</t>
        </is>
      </c>
      <c r="H43" s="76" t="inlineStr">
        <is>
          <t>Not required — R-22 continuous in Fox Blocks form.</t>
        </is>
      </c>
    </row>
  </sheetData>
  <mergeCells count="8">
    <mergeCell ref="B26:H26"/>
    <mergeCell ref="B6:H6"/>
    <mergeCell ref="B38:H38"/>
    <mergeCell ref="B2:H2"/>
    <mergeCell ref="B11:H11"/>
    <mergeCell ref="B3:H3"/>
    <mergeCell ref="B31:H31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18" customWidth="1" min="5" max="5"/>
    <col width="18" customWidth="1" min="6" max="6"/>
    <col width="22" customWidth="1" min="7" max="7"/>
    <col width="20" customWidth="1" min="8" max="8"/>
    <col width="16" customWidth="1" min="9" max="9"/>
  </cols>
  <sheetData>
    <row r="1"/>
    <row r="2">
      <c r="B2" s="55" t="inlineStr">
        <is>
          <t>Supplier Contact Directory — Forward Home Building System</t>
        </is>
      </c>
    </row>
    <row r="3"/>
    <row r="4" ht="28" customHeight="1">
      <c r="B4" s="51" t="inlineStr">
        <is>
          <t>Supplier</t>
        </is>
      </c>
      <c r="C4" s="51" t="inlineStr">
        <is>
          <t>Category</t>
        </is>
      </c>
      <c r="D4" s="51" t="inlineStr">
        <is>
          <t>Products</t>
        </is>
      </c>
      <c r="E4" s="51" t="inlineStr">
        <is>
          <t>Contact / Rep</t>
        </is>
      </c>
      <c r="F4" s="51" t="inlineStr">
        <is>
          <t>Phone / Email</t>
        </is>
      </c>
      <c r="G4" s="51" t="inlineStr">
        <is>
          <t>Website</t>
        </is>
      </c>
      <c r="H4" s="51" t="inlineStr">
        <is>
          <t>Account #</t>
        </is>
      </c>
      <c r="I4" s="51" t="inlineStr">
        <is>
          <t>Quote Status</t>
        </is>
      </c>
    </row>
    <row r="5" ht="18" customHeight="1">
      <c r="B5" s="56" t="inlineStr">
        <is>
          <t>ACME Panel</t>
        </is>
      </c>
      <c r="C5" s="31" t="inlineStr">
        <is>
          <t>Wall Assembly</t>
        </is>
      </c>
      <c r="D5" s="31" t="inlineStr">
        <is>
          <t>SIP 6.5" Neopor GPS · ESR-4689</t>
        </is>
      </c>
      <c r="E5" s="31" t="inlineStr">
        <is>
          <t>—</t>
        </is>
      </c>
      <c r="F5" s="31" t="inlineStr">
        <is>
          <t>—</t>
        </is>
      </c>
      <c r="G5" s="31" t="inlineStr">
        <is>
          <t>acmepanel.com</t>
        </is>
      </c>
      <c r="H5" s="31" t="inlineStr">
        <is>
          <t>—</t>
        </is>
      </c>
      <c r="I5" s="57" t="inlineStr">
        <is>
          <t>QUOTE NEEDED</t>
        </is>
      </c>
    </row>
    <row r="6" ht="18" customHeight="1">
      <c r="B6" s="58" t="inlineStr">
        <is>
          <t>Barricade Building Products / INDEVCO</t>
        </is>
      </c>
      <c r="C6" s="59" t="inlineStr">
        <is>
          <t>Wall Assembly</t>
        </is>
      </c>
      <c r="D6" s="59" t="inlineStr">
        <is>
          <t>Thermo-Brace Blue SIB · TER 1507-09</t>
        </is>
      </c>
      <c r="E6" s="59" t="inlineStr">
        <is>
          <t>—</t>
        </is>
      </c>
      <c r="F6" s="59" t="inlineStr">
        <is>
          <t>—</t>
        </is>
      </c>
      <c r="G6" s="59" t="inlineStr">
        <is>
          <t>barricadebp.com</t>
        </is>
      </c>
      <c r="H6" s="59" t="inlineStr">
        <is>
          <t>—</t>
        </is>
      </c>
      <c r="I6" s="57" t="inlineStr">
        <is>
          <t>QUOTE NEEDED</t>
        </is>
      </c>
    </row>
    <row r="7" ht="18" customHeight="1">
      <c r="B7" s="56" t="inlineStr">
        <is>
          <t>Superior Walls of America</t>
        </is>
      </c>
      <c r="C7" s="31" t="inlineStr">
        <is>
          <t>Foundation</t>
        </is>
      </c>
      <c r="D7" s="31" t="inlineStr">
        <is>
          <t>Xi Plus · TER 2211-02</t>
        </is>
      </c>
      <c r="E7" s="31" t="inlineStr">
        <is>
          <t>—</t>
        </is>
      </c>
      <c r="F7" s="31" t="inlineStr">
        <is>
          <t>—</t>
        </is>
      </c>
      <c r="G7" s="31" t="inlineStr">
        <is>
          <t>superiorwalls.com</t>
        </is>
      </c>
      <c r="H7" s="31" t="inlineStr">
        <is>
          <t>—</t>
        </is>
      </c>
      <c r="I7" s="57" t="inlineStr">
        <is>
          <t>QUOTE NEEDED</t>
        </is>
      </c>
    </row>
    <row r="8" ht="18" customHeight="1">
      <c r="B8" s="58" t="inlineStr">
        <is>
          <t>DuPont Building Solutions</t>
        </is>
      </c>
      <c r="C8" s="59" t="inlineStr">
        <is>
          <t>CI + WRB</t>
        </is>
      </c>
      <c r="D8" s="59" t="inlineStr">
        <is>
          <t>ArmorWall Plus FR SIS 2¾"+3¾" · ESL-1302</t>
        </is>
      </c>
      <c r="E8" s="59" t="inlineStr">
        <is>
          <t>—</t>
        </is>
      </c>
      <c r="F8" s="59" t="inlineStr">
        <is>
          <t>—</t>
        </is>
      </c>
      <c r="G8" s="59" t="inlineStr">
        <is>
          <t>dupont.com/building</t>
        </is>
      </c>
      <c r="H8" s="59" t="inlineStr">
        <is>
          <t>—</t>
        </is>
      </c>
      <c r="I8" s="57" t="inlineStr">
        <is>
          <t>QUOTE NEEDED</t>
        </is>
      </c>
    </row>
    <row r="9" ht="18" customHeight="1">
      <c r="B9" s="56" t="inlineStr">
        <is>
          <t>Allura USA</t>
        </is>
      </c>
      <c r="C9" s="31" t="inlineStr">
        <is>
          <t>Cladding</t>
        </is>
      </c>
      <c r="D9" s="31" t="inlineStr">
        <is>
          <t>Lap / Panel / Shakes / Trim / Soffit · Spectrum</t>
        </is>
      </c>
      <c r="E9" s="31" t="inlineStr">
        <is>
          <t>—</t>
        </is>
      </c>
      <c r="F9" s="31" t="inlineStr">
        <is>
          <t>—</t>
        </is>
      </c>
      <c r="G9" s="31" t="inlineStr">
        <is>
          <t>allurausa.com</t>
        </is>
      </c>
      <c r="H9" s="31" t="inlineStr">
        <is>
          <t>—</t>
        </is>
      </c>
      <c r="I9" s="57" t="inlineStr">
        <is>
          <t>QUOTE NEEDED</t>
        </is>
      </c>
    </row>
    <row r="10" ht="18" customHeight="1">
      <c r="B10" s="58" t="inlineStr">
        <is>
          <t>Crystal Window &amp; Door Systems</t>
        </is>
      </c>
      <c r="C10" s="59" t="inlineStr">
        <is>
          <t>Fenestration</t>
        </is>
      </c>
      <c r="D10" s="59" t="inlineStr">
        <is>
          <t>Magnus 4500 + 4700 · NFRC · HVHZ</t>
        </is>
      </c>
      <c r="E10" s="59" t="inlineStr">
        <is>
          <t>—</t>
        </is>
      </c>
      <c r="F10" s="59" t="inlineStr">
        <is>
          <t>(800) 472-9988</t>
        </is>
      </c>
      <c r="G10" s="59" t="inlineStr">
        <is>
          <t>crystalwindows.com</t>
        </is>
      </c>
      <c r="H10" s="59" t="inlineStr">
        <is>
          <t>—</t>
        </is>
      </c>
      <c r="I10" s="57" t="inlineStr">
        <is>
          <t>QUOTE NEEDED</t>
        </is>
      </c>
    </row>
    <row r="11" ht="18" customHeight="1">
      <c r="B11" s="56" t="inlineStr">
        <is>
          <t>Simpson Strong-Tie</t>
        </is>
      </c>
      <c r="C11" s="31" t="inlineStr">
        <is>
          <t>SAPK Connectors</t>
        </is>
      </c>
      <c r="D11" s="31" t="inlineStr">
        <is>
          <t>MASOZ · HTT · SCLC · SDWS · SDS · ESR-2555+1188</t>
        </is>
      </c>
      <c r="E11" s="31" t="inlineStr">
        <is>
          <t>—</t>
        </is>
      </c>
      <c r="F11" s="31" t="inlineStr">
        <is>
          <t>—</t>
        </is>
      </c>
      <c r="G11" s="31" t="inlineStr">
        <is>
          <t>strongtie.com</t>
        </is>
      </c>
      <c r="H11" s="31" t="inlineStr">
        <is>
          <t>—</t>
        </is>
      </c>
      <c r="I11" s="57" t="inlineStr">
        <is>
          <t>QUOTE NEEDED</t>
        </is>
      </c>
    </row>
    <row r="12" ht="18" customHeight="1">
      <c r="B12" s="58" t="inlineStr">
        <is>
          <t>Rothoblaas</t>
        </is>
      </c>
      <c r="C12" s="59" t="inlineStr">
        <is>
          <t>SAPK Connectors</t>
        </is>
      </c>
      <c r="D12" s="59" t="inlineStr">
        <is>
          <t>ALUMEGA · HBS PLATE · SIGA Rissan · FENTRIM IS · INFI</t>
        </is>
      </c>
      <c r="E12" s="59" t="inlineStr">
        <is>
          <t>—</t>
        </is>
      </c>
      <c r="F12" s="59" t="inlineStr">
        <is>
          <t>—</t>
        </is>
      </c>
      <c r="G12" s="59" t="inlineStr">
        <is>
          <t>rothoblaas.com</t>
        </is>
      </c>
      <c r="H12" s="59" t="inlineStr">
        <is>
          <t>—</t>
        </is>
      </c>
      <c r="I12" s="57" t="inlineStr">
        <is>
          <t>QUOTE NEEDED</t>
        </is>
      </c>
    </row>
    <row r="13" ht="18" customHeight="1">
      <c r="B13" s="56" t="inlineStr">
        <is>
          <t>TerraLam</t>
        </is>
      </c>
      <c r="C13" s="31" t="inlineStr">
        <is>
          <t>CLT Structural</t>
        </is>
      </c>
      <c r="D13" s="31" t="inlineStr">
        <is>
          <t>TL500S 5-ply CLT · ESR-5053</t>
        </is>
      </c>
      <c r="E13" s="31" t="inlineStr">
        <is>
          <t>—</t>
        </is>
      </c>
      <c r="F13" s="31" t="inlineStr">
        <is>
          <t>—</t>
        </is>
      </c>
      <c r="G13" s="31" t="inlineStr">
        <is>
          <t>terralaminc.com</t>
        </is>
      </c>
      <c r="H13" s="31" t="inlineStr">
        <is>
          <t>—</t>
        </is>
      </c>
      <c r="I13" s="57" t="inlineStr">
        <is>
          <t>QUOTE NEEDED</t>
        </is>
      </c>
    </row>
    <row r="14" ht="18" customHeight="1">
      <c r="B14" s="58" t="inlineStr">
        <is>
          <t>Quilt</t>
        </is>
      </c>
      <c r="C14" s="59" t="inlineStr">
        <is>
          <t>HVAC</t>
        </is>
      </c>
      <c r="D14" s="59" t="inlineStr">
        <is>
          <t>3-Zone SEER2 25.3 · HSPF2 12 · T2+T4</t>
        </is>
      </c>
      <c r="E14" s="59" t="inlineStr">
        <is>
          <t>—</t>
        </is>
      </c>
      <c r="F14" s="59" t="inlineStr">
        <is>
          <t>—</t>
        </is>
      </c>
      <c r="G14" s="59" t="inlineStr">
        <is>
          <t>quilt.com</t>
        </is>
      </c>
      <c r="H14" s="59" t="inlineStr">
        <is>
          <t>—</t>
        </is>
      </c>
      <c r="I14" s="57" t="inlineStr">
        <is>
          <t>QUOTE NEEDED</t>
        </is>
      </c>
    </row>
    <row r="15" ht="18" customHeight="1">
      <c r="B15" s="56" t="inlineStr">
        <is>
          <t>Mitsubishi Electric Comfort</t>
        </is>
      </c>
      <c r="C15" s="31" t="inlineStr">
        <is>
          <t>HVAC</t>
        </is>
      </c>
      <c r="D15" s="31" t="inlineStr">
        <is>
          <t>FX-Series H2i sumo · T3 · Diamond Contractor req.</t>
        </is>
      </c>
      <c r="E15" s="31" t="inlineStr">
        <is>
          <t>—</t>
        </is>
      </c>
      <c r="F15" s="31" t="inlineStr">
        <is>
          <t>—</t>
        </is>
      </c>
      <c r="G15" s="31" t="inlineStr">
        <is>
          <t>mitsubishicomfort.com</t>
        </is>
      </c>
      <c r="H15" s="31" t="inlineStr">
        <is>
          <t>—</t>
        </is>
      </c>
      <c r="I15" s="57" t="inlineStr">
        <is>
          <t>QUOTE NEEDED</t>
        </is>
      </c>
    </row>
    <row r="16" ht="18" customHeight="1">
      <c r="B16" s="58" t="inlineStr">
        <is>
          <t>Viessmann</t>
        </is>
      </c>
      <c r="C16" s="59" t="inlineStr">
        <is>
          <t>HVAC + DHW</t>
        </is>
      </c>
      <c r="D16" s="59" t="inlineStr">
        <is>
          <t>Vitoair FS-ERV · Vitocal 222-S · T2–T4</t>
        </is>
      </c>
      <c r="E16" s="59" t="inlineStr">
        <is>
          <t>—</t>
        </is>
      </c>
      <c r="F16" s="59" t="inlineStr">
        <is>
          <t>—</t>
        </is>
      </c>
      <c r="G16" s="59" t="inlineStr">
        <is>
          <t>viessmann.com/us</t>
        </is>
      </c>
      <c r="H16" s="59" t="inlineStr">
        <is>
          <t>—</t>
        </is>
      </c>
      <c r="I16" s="57" t="inlineStr">
        <is>
          <t>QUOTE NEEDED</t>
        </is>
      </c>
    </row>
    <row r="17" ht="18" customHeight="1">
      <c r="B17" s="56" t="inlineStr">
        <is>
          <t>SPAN</t>
        </is>
      </c>
      <c r="C17" s="31" t="inlineStr">
        <is>
          <t>Smart Panel</t>
        </is>
      </c>
      <c r="D17" s="31" t="inlineStr">
        <is>
          <t>SPAN Main 40 · UL 3141 · T2–T4</t>
        </is>
      </c>
      <c r="E17" s="31" t="inlineStr">
        <is>
          <t>—</t>
        </is>
      </c>
      <c r="F17" s="31" t="inlineStr">
        <is>
          <t>—</t>
        </is>
      </c>
      <c r="G17" s="31" t="inlineStr">
        <is>
          <t>span.io</t>
        </is>
      </c>
      <c r="H17" s="31" t="inlineStr">
        <is>
          <t>—</t>
        </is>
      </c>
      <c r="I17" s="57" t="inlineStr">
        <is>
          <t>QUOTE NEEDED</t>
        </is>
      </c>
    </row>
    <row r="18" ht="18" customHeight="1">
      <c r="B18" s="58" t="inlineStr">
        <is>
          <t>Enphase Energy</t>
        </is>
      </c>
      <c r="C18" s="59" t="inlineStr">
        <is>
          <t>PV + Storage</t>
        </is>
      </c>
      <c r="D18" s="59" t="inlineStr">
        <is>
          <t>IQ8 microinverters · IQ Battery 5P · T2–T3</t>
        </is>
      </c>
      <c r="E18" s="59" t="inlineStr">
        <is>
          <t>—</t>
        </is>
      </c>
      <c r="F18" s="59" t="inlineStr">
        <is>
          <t>—</t>
        </is>
      </c>
      <c r="G18" s="59" t="inlineStr">
        <is>
          <t>enphase.com</t>
        </is>
      </c>
      <c r="H18" s="59" t="inlineStr">
        <is>
          <t>—</t>
        </is>
      </c>
      <c r="I18" s="57" t="inlineStr">
        <is>
          <t>QUOTE NEEDED</t>
        </is>
      </c>
    </row>
    <row r="19" ht="18" customHeight="1">
      <c r="B19" s="56" t="inlineStr">
        <is>
          <t>Tesla Energy</t>
        </is>
      </c>
      <c r="C19" s="31" t="inlineStr">
        <is>
          <t>Storage</t>
        </is>
      </c>
      <c r="D19" s="31" t="inlineStr">
        <is>
          <t>Powerwall 3 · T3 alt</t>
        </is>
      </c>
      <c r="E19" s="31" t="inlineStr">
        <is>
          <t>—</t>
        </is>
      </c>
      <c r="F19" s="31" t="inlineStr">
        <is>
          <t>—</t>
        </is>
      </c>
      <c r="G19" s="31" t="inlineStr">
        <is>
          <t>tesla.com/energy</t>
        </is>
      </c>
      <c r="H19" s="31" t="inlineStr">
        <is>
          <t>—</t>
        </is>
      </c>
      <c r="I19" s="57" t="inlineStr">
        <is>
          <t>QUOTE NEEDED</t>
        </is>
      </c>
    </row>
    <row r="20" ht="18" customHeight="1">
      <c r="B20" s="58" t="inlineStr">
        <is>
          <t>EcoFlow</t>
        </is>
      </c>
      <c r="C20" s="59" t="inlineStr">
        <is>
          <t>Storage</t>
        </is>
      </c>
      <c r="D20" s="59" t="inlineStr">
        <is>
          <t>DELTA Pro Ultra · T4 off-grid</t>
        </is>
      </c>
      <c r="E20" s="59" t="inlineStr">
        <is>
          <t>—</t>
        </is>
      </c>
      <c r="F20" s="59" t="inlineStr">
        <is>
          <t>—</t>
        </is>
      </c>
      <c r="G20" s="59" t="inlineStr">
        <is>
          <t>ecoflow.com</t>
        </is>
      </c>
      <c r="H20" s="59" t="inlineStr">
        <is>
          <t>—</t>
        </is>
      </c>
      <c r="I20" s="57" t="inlineStr">
        <is>
          <t>QUOTE NEEDED</t>
        </is>
      </c>
    </row>
    <row r="21" ht="18" customHeight="1">
      <c r="B21" s="56" t="inlineStr">
        <is>
          <t>FranklinWH</t>
        </is>
      </c>
      <c r="C21" s="31" t="inlineStr">
        <is>
          <t>Storage</t>
        </is>
      </c>
      <c r="D21" s="31" t="inlineStr">
        <is>
          <t>aPower 2 · T4 off-grid · pairs with EcoFlow</t>
        </is>
      </c>
      <c r="E21" s="31" t="inlineStr">
        <is>
          <t>—</t>
        </is>
      </c>
      <c r="F21" s="31" t="inlineStr">
        <is>
          <t>—</t>
        </is>
      </c>
      <c r="G21" s="31" t="inlineStr">
        <is>
          <t>franklinwh.com</t>
        </is>
      </c>
      <c r="H21" s="31" t="inlineStr">
        <is>
          <t>—</t>
        </is>
      </c>
      <c r="I21" s="57" t="inlineStr">
        <is>
          <t>QUOTE NEEDED</t>
        </is>
      </c>
    </row>
    <row r="22" ht="18" customHeight="1">
      <c r="B22" s="58" t="inlineStr">
        <is>
          <t>AERCON Florida</t>
        </is>
      </c>
      <c r="C22" s="59" t="inlineStr">
        <is>
          <t>Export — AAC</t>
        </is>
      </c>
      <c r="D22" s="59" t="inlineStr">
        <is>
          <t>AAC 100mm+125mm panels · ESR-1652 · Caribbean export</t>
        </is>
      </c>
      <c r="E22" s="59" t="inlineStr">
        <is>
          <t>—</t>
        </is>
      </c>
      <c r="F22" s="59" t="inlineStr">
        <is>
          <t>—</t>
        </is>
      </c>
      <c r="G22" s="59" t="inlineStr">
        <is>
          <t>aerconfl.com</t>
        </is>
      </c>
      <c r="H22" s="59" t="inlineStr">
        <is>
          <t>—</t>
        </is>
      </c>
      <c r="I22" s="57" t="inlineStr">
        <is>
          <t>QUOTE NEEDED</t>
        </is>
      </c>
    </row>
    <row r="23" ht="18" customHeight="1">
      <c r="B23" s="56" t="inlineStr">
        <is>
          <t>ClarkDietrich / Marino\WARE</t>
        </is>
      </c>
      <c r="C23" s="31" t="inlineStr">
        <is>
          <t>Export — LGS</t>
        </is>
      </c>
      <c r="D23" s="31" t="inlineStr">
        <is>
          <t>G235 CFS stud+track · AISI S240 · Caribbean</t>
        </is>
      </c>
      <c r="E23" s="31" t="inlineStr">
        <is>
          <t>—</t>
        </is>
      </c>
      <c r="F23" s="31" t="inlineStr">
        <is>
          <t>—</t>
        </is>
      </c>
      <c r="G23" s="31" t="inlineStr">
        <is>
          <t>clarkdietrich.com</t>
        </is>
      </c>
      <c r="H23" s="31" t="inlineStr">
        <is>
          <t>—</t>
        </is>
      </c>
      <c r="I23" s="57" t="inlineStr">
        <is>
          <t>QUOTE NEEDED</t>
        </is>
      </c>
    </row>
    <row r="24" ht="18" customHeight="1">
      <c r="B24" s="58" t="inlineStr">
        <is>
          <t>LiveRoof</t>
        </is>
      </c>
      <c r="C24" s="59" t="inlineStr">
        <is>
          <t>Rooftop</t>
        </is>
      </c>
      <c r="D24" s="59" t="inlineStr">
        <is>
          <t>Standard + MAXX · T2–T3</t>
        </is>
      </c>
      <c r="E24" s="59" t="inlineStr">
        <is>
          <t>—</t>
        </is>
      </c>
      <c r="F24" s="59" t="inlineStr">
        <is>
          <t>—</t>
        </is>
      </c>
      <c r="G24" s="59" t="inlineStr">
        <is>
          <t>liveroof.com</t>
        </is>
      </c>
      <c r="H24" s="59" t="inlineStr">
        <is>
          <t>—</t>
        </is>
      </c>
      <c r="I24" s="57" t="inlineStr">
        <is>
          <t>QUOTE NEEDED</t>
        </is>
      </c>
    </row>
    <row r="25" ht="18" customHeight="1">
      <c r="B25" s="56" t="inlineStr">
        <is>
          <t>Crop Circle Farms</t>
        </is>
      </c>
      <c r="C25" s="31" t="inlineStr">
        <is>
          <t>Rooftop</t>
        </is>
      </c>
      <c r="D25" s="31" t="inlineStr">
        <is>
          <t>Modular food system · T4</t>
        </is>
      </c>
      <c r="E25" s="31" t="inlineStr">
        <is>
          <t>—</t>
        </is>
      </c>
      <c r="F25" s="31" t="inlineStr">
        <is>
          <t>—</t>
        </is>
      </c>
      <c r="G25" s="31" t="inlineStr">
        <is>
          <t>cropcirclefarms.com</t>
        </is>
      </c>
      <c r="H25" s="31" t="inlineStr">
        <is>
          <t>—</t>
        </is>
      </c>
      <c r="I25" s="57" t="inlineStr">
        <is>
          <t>QUOTE NEEDED</t>
        </is>
      </c>
    </row>
    <row r="26" ht="18" customHeight="1">
      <c r="B26" s="58" t="inlineStr">
        <is>
          <t>Fabuwood</t>
        </is>
      </c>
      <c r="C26" s="59" t="inlineStr">
        <is>
          <t>Cabinets</t>
        </is>
      </c>
      <c r="D26" s="59" t="inlineStr">
        <is>
          <t>Allure Fusion RTA · all tiers</t>
        </is>
      </c>
      <c r="E26" s="59" t="inlineStr">
        <is>
          <t>—</t>
        </is>
      </c>
      <c r="F26" s="59" t="inlineStr">
        <is>
          <t>—</t>
        </is>
      </c>
      <c r="G26" s="59" t="inlineStr">
        <is>
          <t>fabuwood.com</t>
        </is>
      </c>
      <c r="H26" s="59" t="inlineStr">
        <is>
          <t>—</t>
        </is>
      </c>
      <c r="I26" s="57" t="inlineStr">
        <is>
          <t>QUOTE NEEDED</t>
        </is>
      </c>
    </row>
    <row r="27" ht="18" customHeight="1">
      <c r="B27" s="56" t="inlineStr">
        <is>
          <t>Silestone / Cosentino</t>
        </is>
      </c>
      <c r="C27" s="31" t="inlineStr">
        <is>
          <t>Countertops</t>
        </is>
      </c>
      <c r="D27" s="31" t="inlineStr">
        <is>
          <t>Eternal White 3cm quartz · all tiers</t>
        </is>
      </c>
      <c r="E27" s="31" t="inlineStr">
        <is>
          <t>—</t>
        </is>
      </c>
      <c r="F27" s="31" t="inlineStr">
        <is>
          <t>—</t>
        </is>
      </c>
      <c r="G27" s="31" t="inlineStr">
        <is>
          <t>silestone.com</t>
        </is>
      </c>
      <c r="H27" s="31" t="inlineStr">
        <is>
          <t>—</t>
        </is>
      </c>
      <c r="I27" s="57" t="inlineStr">
        <is>
          <t>QUOTE NEEDED</t>
        </is>
      </c>
    </row>
    <row r="28" ht="18" customHeight="1">
      <c r="B28" s="58" t="inlineStr">
        <is>
          <t>COREtec</t>
        </is>
      </c>
      <c r="C28" s="59" t="inlineStr">
        <is>
          <t>Flooring</t>
        </is>
      </c>
      <c r="D28" s="59" t="inlineStr">
        <is>
          <t>Plus Enhanced LVT 6"×48" · all tiers</t>
        </is>
      </c>
      <c r="E28" s="59" t="inlineStr">
        <is>
          <t>—</t>
        </is>
      </c>
      <c r="F28" s="59" t="inlineStr">
        <is>
          <t>—</t>
        </is>
      </c>
      <c r="G28" s="59" t="inlineStr">
        <is>
          <t>coretecfloors.com</t>
        </is>
      </c>
      <c r="H28" s="59" t="inlineStr">
        <is>
          <t>—</t>
        </is>
      </c>
      <c r="I28" s="57" t="inlineStr">
        <is>
          <t>QUOTE NEEDED</t>
        </is>
      </c>
    </row>
    <row r="29" ht="18" customHeight="1">
      <c r="B29" s="56" t="inlineStr">
        <is>
          <t>Schlage / Allegion</t>
        </is>
      </c>
      <c r="C29" s="31" t="inlineStr">
        <is>
          <t>Hardware</t>
        </is>
      </c>
      <c r="D29" s="31" t="inlineStr">
        <is>
          <t>B60N + Encode Plus · all tiers</t>
        </is>
      </c>
      <c r="E29" s="31" t="inlineStr">
        <is>
          <t>—</t>
        </is>
      </c>
      <c r="F29" s="31" t="inlineStr">
        <is>
          <t>—</t>
        </is>
      </c>
      <c r="G29" s="31" t="inlineStr">
        <is>
          <t>schlage.com</t>
        </is>
      </c>
      <c r="H29" s="31" t="inlineStr">
        <is>
          <t>—</t>
        </is>
      </c>
      <c r="I29" s="57" t="inlineStr">
        <is>
          <t>QUOTE NEEDED</t>
        </is>
      </c>
    </row>
    <row r="30" ht="18" customHeight="1">
      <c r="B30" s="58" t="inlineStr">
        <is>
          <t>Samsung Builder Program</t>
        </is>
      </c>
      <c r="C30" s="59" t="inlineStr">
        <is>
          <t>Appliances</t>
        </is>
      </c>
      <c r="D30" s="59" t="inlineStr">
        <is>
          <t>Refrigerator + range + dishwasher · 18–24% off retail</t>
        </is>
      </c>
      <c r="E30" s="59" t="inlineStr">
        <is>
          <t>—</t>
        </is>
      </c>
      <c r="F30" s="59" t="inlineStr">
        <is>
          <t>—</t>
        </is>
      </c>
      <c r="G30" s="59" t="inlineStr">
        <is>
          <t>samsung.com/us/business</t>
        </is>
      </c>
      <c r="H30" s="59" t="inlineStr">
        <is>
          <t>—</t>
        </is>
      </c>
      <c r="I30" s="57" t="inlineStr">
        <is>
          <t>ACCOUNT NEEDED</t>
        </is>
      </c>
    </row>
    <row r="31" ht="18" customHeight="1">
      <c r="B31" s="56" t="inlineStr">
        <is>
          <t>Pro Clima / SIGA</t>
        </is>
      </c>
      <c r="C31" s="31" t="inlineStr">
        <is>
          <t>Air Barriers</t>
        </is>
      </c>
      <c r="D31" s="31" t="inlineStr">
        <is>
          <t>Intello+ · MAJREX 200 · T3+</t>
        </is>
      </c>
      <c r="E31" s="31" t="inlineStr">
        <is>
          <t>—</t>
        </is>
      </c>
      <c r="F31" s="31" t="inlineStr">
        <is>
          <t>—</t>
        </is>
      </c>
      <c r="G31" s="31" t="inlineStr">
        <is>
          <t>proclima.com</t>
        </is>
      </c>
      <c r="H31" s="31" t="inlineStr">
        <is>
          <t>—</t>
        </is>
      </c>
      <c r="I31" s="57" t="inlineStr">
        <is>
          <t>QUOTE NEEDED</t>
        </is>
      </c>
    </row>
    <row r="32" ht="18" customHeight="1">
      <c r="B32" s="58" t="inlineStr">
        <is>
          <t>Huber Engineered Woods</t>
        </is>
      </c>
      <c r="C32" s="59" t="inlineStr">
        <is>
          <t>Fire Panel</t>
        </is>
      </c>
      <c r="D32" s="59" t="inlineStr">
        <is>
          <t>EXACOR MGO · ESR-4635 · party wall</t>
        </is>
      </c>
      <c r="E32" s="59" t="inlineStr">
        <is>
          <t>—</t>
        </is>
      </c>
      <c r="F32" s="59" t="inlineStr">
        <is>
          <t>—</t>
        </is>
      </c>
      <c r="G32" s="59" t="inlineStr">
        <is>
          <t>huberwood.com</t>
        </is>
      </c>
      <c r="H32" s="59" t="inlineStr">
        <is>
          <t>—</t>
        </is>
      </c>
      <c r="I32" s="57" t="inlineStr">
        <is>
          <t>QUOTE NEEDED</t>
        </is>
      </c>
    </row>
    <row r="33" ht="18" customHeight="1">
      <c r="B33" s="56" t="inlineStr">
        <is>
          <t>Rockwool</t>
        </is>
      </c>
      <c r="C33" s="31" t="inlineStr">
        <is>
          <t>Insulation</t>
        </is>
      </c>
      <c r="D33" s="31" t="inlineStr">
        <is>
          <t>Comfortbatt R-23 mineral wool · T2+</t>
        </is>
      </c>
      <c r="E33" s="31" t="inlineStr">
        <is>
          <t>—</t>
        </is>
      </c>
      <c r="F33" s="31" t="inlineStr">
        <is>
          <t>—</t>
        </is>
      </c>
      <c r="G33" s="31" t="inlineStr">
        <is>
          <t>rockwool.com/us</t>
        </is>
      </c>
      <c r="H33" s="31" t="inlineStr">
        <is>
          <t>—</t>
        </is>
      </c>
      <c r="I33" s="57" t="inlineStr">
        <is>
          <t>QUOTE NEEDED</t>
        </is>
      </c>
    </row>
    <row r="34" ht="18" customHeight="1">
      <c r="B34" s="58" t="inlineStr">
        <is>
          <t>Rain Bird</t>
        </is>
      </c>
      <c r="C34" s="59" t="inlineStr">
        <is>
          <t>Irrigation</t>
        </is>
      </c>
      <c r="D34" s="59" t="inlineStr">
        <is>
          <t>XFS-CV subsurface drip · T3–T4</t>
        </is>
      </c>
      <c r="E34" s="59" t="inlineStr">
        <is>
          <t>—</t>
        </is>
      </c>
      <c r="F34" s="59" t="inlineStr">
        <is>
          <t>—</t>
        </is>
      </c>
      <c r="G34" s="59" t="inlineStr">
        <is>
          <t>rainbird.com</t>
        </is>
      </c>
      <c r="H34" s="59" t="inlineStr">
        <is>
          <t>—</t>
        </is>
      </c>
      <c r="I34" s="57" t="inlineStr">
        <is>
          <t>QUOTE NEEDED</t>
        </is>
      </c>
    </row>
    <row r="35" ht="18" customHeight="1">
      <c r="B35" s="56" t="inlineStr">
        <is>
          <t>Fox Blocks / Airlite Plastics</t>
        </is>
      </c>
      <c r="C35" s="31" t="inlineStr">
        <is>
          <t>Foundation — ICF</t>
        </is>
      </c>
      <c r="D35" s="31" t="inlineStr">
        <is>
          <t>Fox Blocks 6"+8" ICF forms · ICC-ES ER-6163 · MEA 201-08-M (NYC) · fire-rated</t>
        </is>
      </c>
      <c r="E35" s="31" t="inlineStr">
        <is>
          <t>—</t>
        </is>
      </c>
      <c r="F35" s="31" t="inlineStr">
        <is>
          <t>(800) 369-9162</t>
        </is>
      </c>
      <c r="G35" s="31" t="inlineStr">
        <is>
          <t>foxblocks.com</t>
        </is>
      </c>
      <c r="H35" s="31" t="inlineStr">
        <is>
          <t>—</t>
        </is>
      </c>
      <c r="I35" s="57" t="inlineStr">
        <is>
          <t>QUOTE NEEDED</t>
        </is>
      </c>
    </row>
    <row r="36" ht="18" customHeight="1">
      <c r="B36" s="58" t="inlineStr">
        <is>
          <t>NUDURA / Nudura Inc.</t>
        </is>
      </c>
      <c r="C36" s="59" t="inlineStr">
        <is>
          <t>Foundation — ICF</t>
        </is>
      </c>
      <c r="D36" s="59" t="inlineStr">
        <is>
          <t>NUDURA 4"–12" foldable ICF · CCMC 13063-R · ER-6163 · folds flat for tight delivery</t>
        </is>
      </c>
      <c r="E36" s="59" t="inlineStr">
        <is>
          <t>—</t>
        </is>
      </c>
      <c r="F36" s="59" t="inlineStr">
        <is>
          <t>(866) 468-6832</t>
        </is>
      </c>
      <c r="G36" s="59" t="inlineStr">
        <is>
          <t>nudura.com</t>
        </is>
      </c>
      <c r="H36" s="59" t="inlineStr">
        <is>
          <t>—</t>
        </is>
      </c>
      <c r="I36" s="57" t="inlineStr">
        <is>
          <t>QUOTE NEEDED</t>
        </is>
      </c>
    </row>
    <row r="37" ht="18" customHeight="1">
      <c r="B37" s="56" t="inlineStr">
        <is>
          <t>LiteForm Technologies</t>
        </is>
      </c>
      <c r="C37" s="31" t="inlineStr">
        <is>
          <t>Foundation — FPSF</t>
        </is>
      </c>
      <c r="D37" s="31" t="inlineStr">
        <is>
          <t>LiteFoot FPSF footing form · IRC R403.3 · stay-in-place EPS · T1 + tight sites</t>
        </is>
      </c>
      <c r="E37" s="31" t="inlineStr">
        <is>
          <t>—</t>
        </is>
      </c>
      <c r="F37" s="31" t="inlineStr">
        <is>
          <t>(402) 345-4380</t>
        </is>
      </c>
      <c r="G37" s="31" t="inlineStr">
        <is>
          <t>liteform.com</t>
        </is>
      </c>
      <c r="H37" s="31" t="inlineStr">
        <is>
          <t>—</t>
        </is>
      </c>
      <c r="I37" s="57" t="inlineStr">
        <is>
          <t>QUOTE NEEDED</t>
        </is>
      </c>
    </row>
    <row r="38" ht="18" customHeight="1">
      <c r="B38" s="58" t="inlineStr">
        <is>
          <t>BuildBlock ICF</t>
        </is>
      </c>
      <c r="C38" s="59" t="inlineStr">
        <is>
          <t>Foundation — ICF alternate</t>
        </is>
      </c>
      <c r="D38" s="59" t="inlineStr">
        <is>
          <t>BuildBlock 6"+8" ICF · ICC-ES listed · reversible block · alternate to Fox/NUDURA</t>
        </is>
      </c>
      <c r="E38" s="59" t="inlineStr">
        <is>
          <t>—</t>
        </is>
      </c>
      <c r="F38" s="59" t="inlineStr">
        <is>
          <t>(405) 840-3386</t>
        </is>
      </c>
      <c r="G38" s="59" t="inlineStr">
        <is>
          <t>buildblock.com</t>
        </is>
      </c>
      <c r="H38" s="59" t="inlineStr">
        <is>
          <t>—</t>
        </is>
      </c>
      <c r="I38" s="57" t="inlineStr">
        <is>
          <t>QUOTE NEEDED</t>
        </is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/>
    <row r="2">
      <c r="B2" s="55" t="inlineStr">
        <is>
          <t>Volume Purchasing Analysis — Wilmington Hub Warehouse Program</t>
        </is>
      </c>
    </row>
    <row r="3">
      <c r="B3" s="3" t="inlineStr">
        <is>
          <t>Enter annual unit count in cell D5 (blue). All discount percentages and savings update automatically.</t>
        </is>
      </c>
    </row>
    <row r="4"/>
    <row r="5" ht="22" customHeight="1">
      <c r="B5" s="60" t="inlineStr">
        <is>
          <t>ANNUAL UNIT VOLUME →</t>
        </is>
      </c>
      <c r="D5" s="61" t="n">
        <v>10</v>
      </c>
      <c r="E5" s="62" t="inlineStr">
        <is>
          <t>← change this</t>
        </is>
      </c>
    </row>
    <row r="6"/>
    <row r="7" ht="28" customHeight="1">
      <c r="B7" s="33" t="inlineStr">
        <is>
          <t>Material / Category</t>
        </is>
      </c>
      <c r="C7" s="33" t="inlineStr">
        <is>
          <t>Retail $/unit</t>
        </is>
      </c>
      <c r="D7" s="33" t="inlineStr">
        <is>
          <t>4–9 units
discount</t>
        </is>
      </c>
      <c r="E7" s="33" t="inlineStr">
        <is>
          <t>10–19 units
discount</t>
        </is>
      </c>
      <c r="F7" s="33" t="inlineStr">
        <is>
          <t>20–39 units
discount</t>
        </is>
      </c>
      <c r="G7" s="33" t="inlineStr">
        <is>
          <t>40+ units
discount</t>
        </is>
      </c>
      <c r="H7" s="33" t="inlineStr">
        <is>
          <t>At your volume
savings/unit</t>
        </is>
      </c>
    </row>
    <row r="8" ht="16" customHeight="1">
      <c r="B8" s="63" t="inlineStr">
        <is>
          <t>ACME SIP panels (per SF)</t>
        </is>
      </c>
      <c r="C8" s="41" t="n">
        <v>9.800000000000001</v>
      </c>
      <c r="D8" s="64" t="n">
        <v>0.07000000000000001</v>
      </c>
      <c r="E8" s="64" t="n">
        <v>0.1</v>
      </c>
      <c r="F8" s="64" t="n">
        <v>0.12</v>
      </c>
      <c r="G8" s="64" t="n">
        <v>0.15</v>
      </c>
      <c r="H8" s="65">
        <f>IF(D5&gt;=40,C8*G8,IF(D5&gt;=20,C8*F8,IF(D5&gt;=10,C8*E8,C8*D8)))</f>
        <v/>
      </c>
    </row>
    <row r="9" ht="16" customHeight="1">
      <c r="B9" s="66" t="inlineStr">
        <is>
          <t>Barricade Thermo-Brace SIB (SF)</t>
        </is>
      </c>
      <c r="C9" s="41" t="n">
        <v>3.2</v>
      </c>
      <c r="D9" s="67" t="n">
        <v>0.06</v>
      </c>
      <c r="E9" s="67" t="n">
        <v>0.08</v>
      </c>
      <c r="F9" s="67" t="n">
        <v>0.1</v>
      </c>
      <c r="G9" s="67" t="n">
        <v>0.12</v>
      </c>
      <c r="H9" s="65">
        <f>IF(D5&gt;=40,C9*G9,IF(D5&gt;=20,C9*F9,IF(D5&gt;=10,C9*E9,C9*D9)))</f>
        <v/>
      </c>
    </row>
    <row r="10" ht="16" customHeight="1">
      <c r="B10" s="63" t="inlineStr">
        <is>
          <t>Allura fiber cement cladding (SF)</t>
        </is>
      </c>
      <c r="C10" s="41" t="n">
        <v>7.5</v>
      </c>
      <c r="D10" s="64" t="n">
        <v>0.18</v>
      </c>
      <c r="E10" s="64" t="n">
        <v>0.22</v>
      </c>
      <c r="F10" s="64" t="n">
        <v>0.28</v>
      </c>
      <c r="G10" s="64" t="n">
        <v>0.35</v>
      </c>
      <c r="H10" s="65">
        <f>IF(D5&gt;=40,C10*G10,IF(D5&gt;=20,C10*F10,IF(D5&gt;=10,C10*E10,C10*D10)))</f>
        <v/>
      </c>
    </row>
    <row r="11" ht="16" customHeight="1">
      <c r="B11" s="66" t="inlineStr">
        <is>
          <t>Allura Spectrum pre-finished (SF)</t>
        </is>
      </c>
      <c r="C11" s="41" t="n">
        <v>9.199999999999999</v>
      </c>
      <c r="D11" s="67" t="n">
        <v>0.16</v>
      </c>
      <c r="E11" s="67" t="n">
        <v>0.2</v>
      </c>
      <c r="F11" s="67" t="n">
        <v>0.25</v>
      </c>
      <c r="G11" s="67" t="n">
        <v>0.32</v>
      </c>
      <c r="H11" s="65">
        <f>IF(D5&gt;=40,C11*G11,IF(D5&gt;=20,C11*F11,IF(D5&gt;=10,C11*E11,C11*D11)))</f>
        <v/>
      </c>
    </row>
    <row r="12" ht="16" customHeight="1">
      <c r="B12" s="63" t="inlineStr">
        <is>
          <t>Crystal Magnus 4500 window (EA)</t>
        </is>
      </c>
      <c r="C12" s="41" t="n">
        <v>420</v>
      </c>
      <c r="D12" s="64" t="n">
        <v>0.1</v>
      </c>
      <c r="E12" s="64" t="n">
        <v>0.14</v>
      </c>
      <c r="F12" s="64" t="n">
        <v>0.16</v>
      </c>
      <c r="G12" s="64" t="n">
        <v>0.2</v>
      </c>
      <c r="H12" s="65">
        <f>IF(D5&gt;=40,C12*G12,IF(D5&gt;=20,C12*F12,IF(D5&gt;=10,C12*E12,C12*D12)))</f>
        <v/>
      </c>
    </row>
    <row r="13" ht="16" customHeight="1">
      <c r="B13" s="66" t="inlineStr">
        <is>
          <t>Crystal Magnus 4700 PH (EA)</t>
        </is>
      </c>
      <c r="C13" s="41" t="n">
        <v>720</v>
      </c>
      <c r="D13" s="67" t="n">
        <v>0.1</v>
      </c>
      <c r="E13" s="67" t="n">
        <v>0.13</v>
      </c>
      <c r="F13" s="67" t="n">
        <v>0.16</v>
      </c>
      <c r="G13" s="67" t="n">
        <v>0.2</v>
      </c>
      <c r="H13" s="65">
        <f>IF(D5&gt;=40,C13*G13,IF(D5&gt;=20,C13*F13,IF(D5&gt;=10,C13*E13,C13*D13)))</f>
        <v/>
      </c>
    </row>
    <row r="14" ht="16" customHeight="1">
      <c r="B14" s="63" t="inlineStr">
        <is>
          <t>Simpson Strong-Tie SAPK kit (SF)</t>
        </is>
      </c>
      <c r="C14" s="41" t="n">
        <v>1.4</v>
      </c>
      <c r="D14" s="64" t="n">
        <v>0.08</v>
      </c>
      <c r="E14" s="64" t="n">
        <v>0.11</v>
      </c>
      <c r="F14" s="64" t="n">
        <v>0.14</v>
      </c>
      <c r="G14" s="64" t="n">
        <v>0.18</v>
      </c>
      <c r="H14" s="65">
        <f>IF(D5&gt;=40,C14*G14,IF(D5&gt;=20,C14*F14,IF(D5&gt;=10,C14*E14,C14*D14)))</f>
        <v/>
      </c>
    </row>
    <row r="15" ht="16" customHeight="1">
      <c r="B15" s="66" t="inlineStr">
        <is>
          <t>Rothoblaas connectors + tape (SF)</t>
        </is>
      </c>
      <c r="C15" s="41" t="n">
        <v>0.85</v>
      </c>
      <c r="D15" s="67" t="n">
        <v>0.07000000000000001</v>
      </c>
      <c r="E15" s="67" t="n">
        <v>0.1</v>
      </c>
      <c r="F15" s="67" t="n">
        <v>0.12</v>
      </c>
      <c r="G15" s="67" t="n">
        <v>0.15</v>
      </c>
      <c r="H15" s="65">
        <f>IF(D5&gt;=40,C15*G15,IF(D5&gt;=20,C15*F15,IF(D5&gt;=10,C15*E15,C15*D15)))</f>
        <v/>
      </c>
    </row>
    <row r="16" ht="16" customHeight="1">
      <c r="B16" s="63" t="inlineStr">
        <is>
          <t>Quilt 3-zone HVAC (EA)</t>
        </is>
      </c>
      <c r="C16" s="41" t="n">
        <v>4200</v>
      </c>
      <c r="D16" s="64" t="n">
        <v>0.06</v>
      </c>
      <c r="E16" s="64" t="n">
        <v>0.1</v>
      </c>
      <c r="F16" s="64" t="n">
        <v>0.13</v>
      </c>
      <c r="G16" s="64" t="n">
        <v>0.16</v>
      </c>
      <c r="H16" s="65">
        <f>IF(D5&gt;=40,C16*G16,IF(D5&gt;=20,C16*F16,IF(D5&gt;=10,C16*E16,C16*D16)))</f>
        <v/>
      </c>
    </row>
    <row r="17" ht="16" customHeight="1">
      <c r="B17" s="66" t="inlineStr">
        <is>
          <t>Mitsubishi H2i sumo (EA)</t>
        </is>
      </c>
      <c r="C17" s="41" t="n">
        <v>6400</v>
      </c>
      <c r="D17" s="67" t="n">
        <v>0.06</v>
      </c>
      <c r="E17" s="67" t="n">
        <v>0.1</v>
      </c>
      <c r="F17" s="67" t="n">
        <v>0.14</v>
      </c>
      <c r="G17" s="67" t="n">
        <v>0.18</v>
      </c>
      <c r="H17" s="65">
        <f>IF(D5&gt;=40,C17*G17,IF(D5&gt;=20,C17*F17,IF(D5&gt;=10,C17*E17,C17*D17)))</f>
        <v/>
      </c>
    </row>
    <row r="18" ht="16" customHeight="1">
      <c r="B18" s="63" t="inlineStr">
        <is>
          <t>SPAN Main 40 (EA)</t>
        </is>
      </c>
      <c r="C18" s="41" t="n">
        <v>3800</v>
      </c>
      <c r="D18" s="64" t="n">
        <v>0.05</v>
      </c>
      <c r="E18" s="64" t="n">
        <v>0.08</v>
      </c>
      <c r="F18" s="64" t="n">
        <v>0.11</v>
      </c>
      <c r="G18" s="64" t="n">
        <v>0.14</v>
      </c>
      <c r="H18" s="65">
        <f>IF(D5&gt;=40,C18*G18,IF(D5&gt;=20,C18*F18,IF(D5&gt;=10,C18*E18,C18*D18)))</f>
        <v/>
      </c>
    </row>
    <row r="19" ht="16" customHeight="1">
      <c r="B19" s="66" t="inlineStr">
        <is>
          <t>Pre-hung interior door bundle (EA)</t>
        </is>
      </c>
      <c r="C19" s="41" t="n">
        <v>280</v>
      </c>
      <c r="D19" s="67" t="n">
        <v>0.1</v>
      </c>
      <c r="E19" s="67" t="n">
        <v>0.14</v>
      </c>
      <c r="F19" s="67" t="n">
        <v>0.18</v>
      </c>
      <c r="G19" s="67" t="n">
        <v>0.22</v>
      </c>
      <c r="H19" s="65">
        <f>IF(D5&gt;=40,C19*G19,IF(D5&gt;=20,C19*F19,IF(D5&gt;=10,C19*E19,C19*D19)))</f>
        <v/>
      </c>
    </row>
    <row r="20" ht="16" customHeight="1">
      <c r="B20" s="63" t="inlineStr">
        <is>
          <t>Schlage Encode Plus lock (EA)</t>
        </is>
      </c>
      <c r="C20" s="41" t="n">
        <v>240</v>
      </c>
      <c r="D20" s="64" t="n">
        <v>0.1</v>
      </c>
      <c r="E20" s="64" t="n">
        <v>0.14</v>
      </c>
      <c r="F20" s="64" t="n">
        <v>0.16</v>
      </c>
      <c r="G20" s="64" t="n">
        <v>0.2</v>
      </c>
      <c r="H20" s="65">
        <f>IF(D5&gt;=40,C20*G20,IF(D5&gt;=20,C20*F20,IF(D5&gt;=10,C20*E20,C20*D20)))</f>
        <v/>
      </c>
    </row>
    <row r="21" ht="16" customHeight="1">
      <c r="B21" s="66" t="inlineStr">
        <is>
          <t>Fabuwood RTA cabinets (LS/unit)</t>
        </is>
      </c>
      <c r="C21" s="41" t="n">
        <v>6400</v>
      </c>
      <c r="D21" s="67" t="n">
        <v>0.08</v>
      </c>
      <c r="E21" s="67" t="n">
        <v>0.12</v>
      </c>
      <c r="F21" s="67" t="n">
        <v>0.18</v>
      </c>
      <c r="G21" s="67" t="n">
        <v>0.24</v>
      </c>
      <c r="H21" s="65">
        <f>IF(D5&gt;=40,C21*G21,IF(D5&gt;=20,C21*F21,IF(D5&gt;=10,C21*E21,C21*D21)))</f>
        <v/>
      </c>
    </row>
    <row r="22" ht="16" customHeight="1">
      <c r="B22" s="63" t="inlineStr">
        <is>
          <t>Samsung appliance bundle (LS)</t>
        </is>
      </c>
      <c r="C22" s="41" t="n">
        <v>2800</v>
      </c>
      <c r="D22" s="64" t="n">
        <v>0.12</v>
      </c>
      <c r="E22" s="64" t="n">
        <v>0.16</v>
      </c>
      <c r="F22" s="64" t="n">
        <v>0.2</v>
      </c>
      <c r="G22" s="64" t="n">
        <v>0.24</v>
      </c>
      <c r="H22" s="65">
        <f>IF(D5&gt;=40,C22*G22,IF(D5&gt;=20,C22*F22,IF(D5&gt;=10,C22*E22,C22*D22)))</f>
        <v/>
      </c>
    </row>
    <row r="23" ht="16" customHeight="1">
      <c r="B23" s="66" t="inlineStr">
        <is>
          <t>LVT COREtec Plus (SF)</t>
        </is>
      </c>
      <c r="C23" s="41" t="n">
        <v>4.8</v>
      </c>
      <c r="D23" s="67" t="n">
        <v>0.06</v>
      </c>
      <c r="E23" s="67" t="n">
        <v>0.08</v>
      </c>
      <c r="F23" s="67" t="n">
        <v>0.12</v>
      </c>
      <c r="G23" s="67" t="n">
        <v>0.16</v>
      </c>
      <c r="H23" s="65">
        <f>IF(D5&gt;=40,C23*G23,IF(D5&gt;=20,C23*F23,IF(D5&gt;=10,C23*E23,C23*D23)))</f>
        <v/>
      </c>
    </row>
    <row r="24" ht="16" customHeight="1">
      <c r="B24" s="63" t="inlineStr">
        <is>
          <t>AERCON AAC 100mm (SF) — Export</t>
        </is>
      </c>
      <c r="C24" s="41" t="n">
        <v>8.4</v>
      </c>
      <c r="D24" s="64" t="n">
        <v>0.08</v>
      </c>
      <c r="E24" s="64" t="n">
        <v>0.12</v>
      </c>
      <c r="F24" s="64" t="n">
        <v>0.14</v>
      </c>
      <c r="G24" s="64" t="n">
        <v>0.18</v>
      </c>
      <c r="H24" s="65">
        <f>IF(D5&gt;=40,C24*G24,IF(D5&gt;=20,C24*F24,IF(D5&gt;=10,C24*E24,C24*D24)))</f>
        <v/>
      </c>
    </row>
    <row r="25" ht="16" customHeight="1">
      <c r="B25" s="66" t="inlineStr">
        <is>
          <t>G235 LGS coil stock (SF) — Export</t>
        </is>
      </c>
      <c r="C25" s="41" t="n">
        <v>7.2</v>
      </c>
      <c r="D25" s="67" t="n">
        <v>0.08</v>
      </c>
      <c r="E25" s="67" t="n">
        <v>0.12</v>
      </c>
      <c r="F25" s="67" t="n">
        <v>0.16</v>
      </c>
      <c r="G25" s="67" t="n">
        <v>0.2</v>
      </c>
      <c r="H25" s="65">
        <f>IF(D5&gt;=40,C25*G25,IF(D5&gt;=20,C25*F25,IF(D5&gt;=10,C25*E25,C25*D25)))</f>
        <v/>
      </c>
    </row>
    <row r="26" ht="16" customHeight="1">
      <c r="B26" s="73" t="inlineStr">
        <is>
          <t>Fox Blocks ICF 6" forms (SF)</t>
        </is>
      </c>
      <c r="C26" s="75" t="n">
        <v>7.2</v>
      </c>
      <c r="D26" s="81" t="n">
        <v>0.06</v>
      </c>
      <c r="E26" s="81" t="n">
        <v>0.09</v>
      </c>
      <c r="F26" s="81" t="n">
        <v>0.12</v>
      </c>
      <c r="G26" s="81" t="n">
        <v>0.15</v>
      </c>
      <c r="H26" s="82">
        <f>IF(D5&gt;=40,C26*G26,IF(D5&gt;=20,C26*F26,IF(D5&gt;=10,C26*E26,C26*D26)))</f>
        <v/>
      </c>
    </row>
    <row r="27" ht="16" customHeight="1">
      <c r="B27" s="77" t="inlineStr">
        <is>
          <t>Fox Blocks ICF 8" forms (SF)</t>
        </is>
      </c>
      <c r="C27" s="75" t="n">
        <v>9.4</v>
      </c>
      <c r="D27" s="83" t="n">
        <v>0.06</v>
      </c>
      <c r="E27" s="83" t="n">
        <v>0.09</v>
      </c>
      <c r="F27" s="83" t="n">
        <v>0.12</v>
      </c>
      <c r="G27" s="83" t="n">
        <v>0.15</v>
      </c>
      <c r="H27" s="82">
        <f>IF(D5&gt;=40,C27*G27,IF(D5&gt;=20,C27*F27,IF(D5&gt;=10,C27*E27,C27*D27)))</f>
        <v/>
      </c>
    </row>
    <row r="28" ht="16" customHeight="1">
      <c r="B28" s="73" t="inlineStr">
        <is>
          <t>LiteForm FPSF LiteFoot (LF)</t>
        </is>
      </c>
      <c r="C28" s="75" t="n">
        <v>4.8</v>
      </c>
      <c r="D28" s="81" t="n">
        <v>0.05</v>
      </c>
      <c r="E28" s="81" t="n">
        <v>0.08</v>
      </c>
      <c r="F28" s="81" t="n">
        <v>0.1</v>
      </c>
      <c r="G28" s="81" t="n">
        <v>0.13</v>
      </c>
      <c r="H28" s="82">
        <f>IF(D5&gt;=40,C28*G28,IF(D5&gt;=20,C28*F28,IF(D5&gt;=10,C28*E28,C28*D28)))</f>
        <v/>
      </c>
    </row>
    <row r="29" ht="16" customHeight="1">
      <c r="B29" s="77" t="inlineStr">
        <is>
          <t>Concrete pump (per pour/unit)</t>
        </is>
      </c>
      <c r="C29" s="75" t="n">
        <v>800</v>
      </c>
      <c r="D29" s="83" t="n">
        <v>0</v>
      </c>
      <c r="E29" s="83" t="n">
        <v>0.05</v>
      </c>
      <c r="F29" s="83" t="n">
        <v>0.08</v>
      </c>
      <c r="G29" s="83" t="n">
        <v>0.1</v>
      </c>
      <c r="H29" s="82">
        <f>IF(D5&gt;=40,C29*G29,IF(D5&gt;=20,C29*F29,IF(D5&gt;=10,C29*E29,C29*D29)))</f>
        <v/>
      </c>
    </row>
    <row r="30" ht="16" customHeight="1">
      <c r="B30" s="73" t="inlineStr">
        <is>
          <t>Rebar — #4 @ 24" OC (LB)</t>
        </is>
      </c>
      <c r="C30" s="75" t="n">
        <v>0.95</v>
      </c>
      <c r="D30" s="81" t="n">
        <v>0.04</v>
      </c>
      <c r="E30" s="81" t="n">
        <v>0.06</v>
      </c>
      <c r="F30" s="81" t="n">
        <v>0.08</v>
      </c>
      <c r="G30" s="81" t="n">
        <v>0.1</v>
      </c>
      <c r="H30" s="82">
        <f>IF(D5&gt;=40,C30*G30,IF(D5&gt;=20,C30*F30,IF(D5&gt;=10,C30*E30,C30*D30)))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68" t="inlineStr">
        <is>
          <t>CONNECTORS — expand from ALDDB_SCHEMA tab
SAPK connector kit — expand from ALDDB_SCHEMA rows where CATEGORY = SAPK Connector
Filter ALDDB_SCHEMA by CATEGORY column to populate this tab.</t>
        </is>
      </c>
    </row>
    <row r="3"/>
  </sheetData>
  <mergeCells count="1">
    <mergeCell ref="B2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68" t="inlineStr">
        <is>
          <t>FENESTRATION — expand from ALDDB_SCHEMA tab
Windows + doors — expand from ALDDB_SCHEMA rows where CATEGORY = Fenestration
Filter ALDDB_SCHEMA by CATEGORY column to populate this tab.</t>
        </is>
      </c>
    </row>
    <row r="3"/>
  </sheetData>
  <mergeCells count="1">
    <mergeCell ref="B2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68" t="inlineStr">
        <is>
          <t>CLADDING — expand from ALDDB_SCHEMA tab
Allura fiber cement — expand from ALDDB_SCHEMA rows where CATEGORY = Cladding
Filter ALDDB_SCHEMA by CATEGORY column to populate this tab.</t>
        </is>
      </c>
    </row>
    <row r="3"/>
  </sheetData>
  <mergeCells count="1">
    <mergeCell ref="B2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68" t="inlineStr">
        <is>
          <t>HVAC_ENERGY — expand from ALDDB_SCHEMA tab
HVAC, ERV, smart panel, PV, battery — expand from ALDDB_SCHEMA HVAC + Smart Energy rows
Filter ALDDB_SCHEMA by CATEGORY column to populate this tab.</t>
        </is>
      </c>
    </row>
    <row r="3"/>
  </sheetData>
  <mergeCells count="1">
    <mergeCell ref="B2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68" t="inlineStr">
        <is>
          <t>FIXTURES_FIN — expand from ALDDB_SCHEMA tab
Fixtures + finishes — expand from ALDDB_SCHEMA Fixtures + Finishes rows
Filter ALDDB_SCHEMA by CATEGORY column to populate this tab.</t>
        </is>
      </c>
    </row>
    <row r="3"/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2026-06-18T13:32:13Z</dcterms:created>
  <dcterms:modified xmlns:dcterms="http://purl.org/dc/terms/" xmlns:xsi="http://www.w3.org/2001/XMLSchema-instance" xsi:type="dcterms:W3CDTF">2026-06-19T02:21:40Z</dcterms:modified>
</cp:coreProperties>
</file>