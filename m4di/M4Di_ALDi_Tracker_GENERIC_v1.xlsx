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GitHub_Local\werm4d\m4di\"/>
    </mc:Choice>
  </mc:AlternateContent>
  <xr:revisionPtr revIDLastSave="0" documentId="13_ncr:1_{A6204464-1DBA-45F1-A5A4-5C72BEADDCA2}" xr6:coauthVersionLast="47" xr6:coauthVersionMax="47" xr10:uidLastSave="{00000000-0000-0000-0000-000000000000}"/>
  <bookViews>
    <workbookView xWindow="-27855" yWindow="435" windowWidth="26490" windowHeight="14760" tabRatio="642" xr2:uid="{00000000-000D-0000-FFFF-FFFF00000000}"/>
  </bookViews>
  <sheets>
    <sheet name="COVER" sheetId="1" r:id="rId1"/>
    <sheet name="BUDGET TRACKER" sheetId="2" r:id="rId2"/>
    <sheet name="VARIANCE LOG" sheetId="3" r:id="rId3"/>
    <sheet name="CHANGE ORDER LOG" sheetId="4" r:id="rId4"/>
    <sheet name="DRAW SCHEDULE" sheetId="5" r:id="rId5"/>
    <sheet name="GATE DASHBOARD" sheetId="6" r:id="rId6"/>
    <sheet name="STRATEGY MEMO"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6" l="1"/>
  <c r="C12" i="6"/>
  <c r="C11" i="6"/>
  <c r="C10" i="6"/>
  <c r="C9" i="6"/>
  <c r="C8" i="6"/>
  <c r="C7" i="6"/>
  <c r="C6" i="6"/>
  <c r="C5" i="6"/>
  <c r="C4" i="6"/>
  <c r="H11" i="5"/>
  <c r="G11" i="5"/>
  <c r="F11" i="5"/>
  <c r="E11" i="5"/>
  <c r="D11" i="5"/>
  <c r="C11" i="5"/>
  <c r="K10" i="5"/>
  <c r="J10" i="5"/>
  <c r="I10" i="5"/>
  <c r="I9" i="5"/>
  <c r="K9" i="5" s="1"/>
  <c r="I8" i="5"/>
  <c r="K8" i="5" s="1"/>
  <c r="I7" i="5"/>
  <c r="K7" i="5" s="1"/>
  <c r="K6" i="5"/>
  <c r="I6" i="5"/>
  <c r="J6" i="5" s="1"/>
  <c r="I5" i="5"/>
  <c r="I11" i="5" s="1"/>
  <c r="E9" i="4"/>
  <c r="G176" i="2"/>
  <c r="F176" i="2"/>
  <c r="E176" i="2"/>
  <c r="E175" i="2"/>
  <c r="K170" i="2"/>
  <c r="J170" i="2"/>
  <c r="I170" i="2"/>
  <c r="H170" i="2"/>
  <c r="G170" i="2"/>
  <c r="F170" i="2"/>
  <c r="E170" i="2"/>
  <c r="D170" i="2"/>
  <c r="K169" i="2"/>
  <c r="H169" i="2"/>
  <c r="K168" i="2"/>
  <c r="H168" i="2"/>
  <c r="K167" i="2"/>
  <c r="H167" i="2"/>
  <c r="K166" i="2"/>
  <c r="H166" i="2"/>
  <c r="K165" i="2"/>
  <c r="H165" i="2"/>
  <c r="K164" i="2"/>
  <c r="H164" i="2"/>
  <c r="K163" i="2"/>
  <c r="H163" i="2"/>
  <c r="K161" i="2"/>
  <c r="J161" i="2"/>
  <c r="I161" i="2"/>
  <c r="H161" i="2"/>
  <c r="G161" i="2"/>
  <c r="F161" i="2"/>
  <c r="E161" i="2"/>
  <c r="D161" i="2"/>
  <c r="D176" i="2" s="1"/>
  <c r="K160" i="2"/>
  <c r="H160" i="2"/>
  <c r="K159" i="2"/>
  <c r="H159" i="2"/>
  <c r="K158" i="2"/>
  <c r="H158" i="2"/>
  <c r="K157" i="2"/>
  <c r="H157" i="2"/>
  <c r="K156" i="2"/>
  <c r="H156" i="2"/>
  <c r="K155" i="2"/>
  <c r="H155" i="2"/>
  <c r="K154" i="2"/>
  <c r="H154" i="2"/>
  <c r="K153" i="2"/>
  <c r="H153" i="2"/>
  <c r="K152" i="2"/>
  <c r="H152" i="2"/>
  <c r="K150" i="2"/>
  <c r="H150" i="2"/>
  <c r="K149" i="2"/>
  <c r="H149" i="2"/>
  <c r="K148" i="2"/>
  <c r="H148" i="2"/>
  <c r="K147" i="2"/>
  <c r="H147" i="2"/>
  <c r="K146" i="2"/>
  <c r="H146" i="2"/>
  <c r="K145" i="2"/>
  <c r="H145" i="2"/>
  <c r="K144" i="2"/>
  <c r="H144" i="2"/>
  <c r="K143" i="2"/>
  <c r="H143" i="2"/>
  <c r="K142" i="2"/>
  <c r="H142" i="2"/>
  <c r="K141" i="2"/>
  <c r="H141" i="2"/>
  <c r="K140" i="2"/>
  <c r="H140" i="2"/>
  <c r="K139" i="2"/>
  <c r="H139" i="2"/>
  <c r="K136" i="2"/>
  <c r="J136" i="2"/>
  <c r="J171" i="2" s="1"/>
  <c r="I136" i="2"/>
  <c r="I171" i="2" s="1"/>
  <c r="H136" i="2"/>
  <c r="G136" i="2"/>
  <c r="G177" i="2" s="1"/>
  <c r="F136" i="2"/>
  <c r="F177" i="2" s="1"/>
  <c r="E136" i="2"/>
  <c r="E177" i="2" s="1"/>
  <c r="D136" i="2"/>
  <c r="D177" i="2" s="1"/>
  <c r="K135" i="2"/>
  <c r="H135" i="2"/>
  <c r="K134" i="2"/>
  <c r="H134" i="2"/>
  <c r="K133" i="2"/>
  <c r="H133" i="2"/>
  <c r="K132" i="2"/>
  <c r="H132" i="2"/>
  <c r="K130" i="2"/>
  <c r="H130" i="2"/>
  <c r="K129" i="2"/>
  <c r="H129" i="2"/>
  <c r="K128" i="2"/>
  <c r="H128" i="2"/>
  <c r="K127" i="2"/>
  <c r="H127" i="2"/>
  <c r="K126" i="2"/>
  <c r="H126" i="2"/>
  <c r="K124" i="2"/>
  <c r="H124" i="2"/>
  <c r="K123" i="2"/>
  <c r="H123" i="2"/>
  <c r="K122" i="2"/>
  <c r="H122" i="2"/>
  <c r="K121" i="2"/>
  <c r="H121" i="2"/>
  <c r="K120" i="2"/>
  <c r="H120" i="2"/>
  <c r="K119" i="2"/>
  <c r="H119" i="2"/>
  <c r="K117" i="2"/>
  <c r="H117" i="2"/>
  <c r="K116" i="2"/>
  <c r="H116" i="2"/>
  <c r="K115" i="2"/>
  <c r="H115" i="2"/>
  <c r="K114" i="2"/>
  <c r="H114" i="2"/>
  <c r="K113" i="2"/>
  <c r="H113" i="2"/>
  <c r="K112" i="2"/>
  <c r="H112" i="2"/>
  <c r="K111" i="2"/>
  <c r="H111" i="2"/>
  <c r="K109" i="2"/>
  <c r="H109" i="2"/>
  <c r="K108" i="2"/>
  <c r="H108" i="2"/>
  <c r="K107" i="2"/>
  <c r="H107" i="2"/>
  <c r="K106" i="2"/>
  <c r="H106" i="2"/>
  <c r="K105" i="2"/>
  <c r="H105" i="2"/>
  <c r="K104" i="2"/>
  <c r="H104" i="2"/>
  <c r="K102" i="2"/>
  <c r="H102" i="2"/>
  <c r="K101" i="2"/>
  <c r="H101" i="2"/>
  <c r="K100" i="2"/>
  <c r="H100" i="2"/>
  <c r="K99" i="2"/>
  <c r="H99" i="2"/>
  <c r="K98" i="2"/>
  <c r="H98" i="2"/>
  <c r="K96" i="2"/>
  <c r="H96" i="2"/>
  <c r="K95" i="2"/>
  <c r="H95" i="2"/>
  <c r="K94" i="2"/>
  <c r="H94" i="2"/>
  <c r="K92" i="2"/>
  <c r="H92" i="2"/>
  <c r="K91" i="2"/>
  <c r="H91" i="2"/>
  <c r="K90" i="2"/>
  <c r="H90" i="2"/>
  <c r="K88" i="2"/>
  <c r="H88" i="2"/>
  <c r="K86" i="2"/>
  <c r="H86" i="2"/>
  <c r="K85" i="2"/>
  <c r="H85" i="2"/>
  <c r="K84" i="2"/>
  <c r="H84" i="2"/>
  <c r="K82" i="2"/>
  <c r="H82" i="2"/>
  <c r="K81" i="2"/>
  <c r="H81" i="2"/>
  <c r="M80" i="2"/>
  <c r="L80" i="2"/>
  <c r="K80" i="2"/>
  <c r="H80" i="2"/>
  <c r="K79" i="2"/>
  <c r="H79" i="2"/>
  <c r="K78" i="2"/>
  <c r="H78" i="2"/>
  <c r="M77" i="2"/>
  <c r="L77" i="2"/>
  <c r="K77" i="2"/>
  <c r="H77" i="2"/>
  <c r="M76" i="2"/>
  <c r="L76" i="2"/>
  <c r="M75" i="2"/>
  <c r="L75" i="2"/>
  <c r="K75" i="2"/>
  <c r="H75" i="2"/>
  <c r="M74" i="2"/>
  <c r="L74" i="2"/>
  <c r="K74" i="2"/>
  <c r="H74" i="2"/>
  <c r="M73" i="2"/>
  <c r="L73" i="2"/>
  <c r="K73" i="2"/>
  <c r="H73" i="2"/>
  <c r="M72" i="2"/>
  <c r="L72" i="2"/>
  <c r="K72" i="2"/>
  <c r="H72" i="2"/>
  <c r="M71" i="2"/>
  <c r="L71" i="2"/>
  <c r="K71" i="2"/>
  <c r="H71" i="2"/>
  <c r="M70" i="2"/>
  <c r="L70" i="2"/>
  <c r="K70" i="2"/>
  <c r="H70" i="2"/>
  <c r="K69" i="2"/>
  <c r="H69" i="2"/>
  <c r="K68" i="2"/>
  <c r="H68" i="2"/>
  <c r="M67" i="2"/>
  <c r="L67" i="2"/>
  <c r="M66" i="2"/>
  <c r="L66" i="2"/>
  <c r="K66" i="2"/>
  <c r="H66" i="2"/>
  <c r="M65" i="2"/>
  <c r="L65" i="2"/>
  <c r="K65" i="2"/>
  <c r="H65" i="2"/>
  <c r="M64" i="2"/>
  <c r="L64" i="2"/>
  <c r="K64" i="2"/>
  <c r="H64" i="2"/>
  <c r="M63" i="2"/>
  <c r="L63" i="2"/>
  <c r="K63" i="2"/>
  <c r="H63" i="2"/>
  <c r="M62" i="2"/>
  <c r="L62" i="2"/>
  <c r="K62" i="2"/>
  <c r="H62" i="2"/>
  <c r="M61" i="2"/>
  <c r="L61" i="2"/>
  <c r="K61" i="2"/>
  <c r="H61" i="2"/>
  <c r="M60" i="2"/>
  <c r="L60" i="2"/>
  <c r="K60" i="2"/>
  <c r="H60" i="2"/>
  <c r="M59" i="2"/>
  <c r="L59" i="2"/>
  <c r="K59" i="2"/>
  <c r="H59" i="2"/>
  <c r="M58" i="2"/>
  <c r="L58" i="2"/>
  <c r="K58" i="2"/>
  <c r="H58" i="2"/>
  <c r="K57" i="2"/>
  <c r="H57" i="2"/>
  <c r="M56" i="2"/>
  <c r="L56" i="2"/>
  <c r="K56" i="2"/>
  <c r="H56" i="2"/>
  <c r="M55" i="2"/>
  <c r="L55" i="2"/>
  <c r="K55" i="2"/>
  <c r="H55" i="2"/>
  <c r="M54" i="2"/>
  <c r="L54" i="2"/>
  <c r="K54" i="2"/>
  <c r="H54" i="2"/>
  <c r="M53" i="2"/>
  <c r="L53" i="2"/>
  <c r="M52" i="2"/>
  <c r="L52" i="2"/>
  <c r="K52" i="2"/>
  <c r="H52" i="2"/>
  <c r="M51" i="2"/>
  <c r="L51" i="2"/>
  <c r="K51" i="2"/>
  <c r="H51" i="2"/>
  <c r="M50" i="2"/>
  <c r="L50" i="2"/>
  <c r="K50" i="2"/>
  <c r="H50" i="2"/>
  <c r="M49" i="2"/>
  <c r="L49" i="2"/>
  <c r="K49" i="2"/>
  <c r="H49" i="2"/>
  <c r="M48" i="2"/>
  <c r="L48" i="2"/>
  <c r="K48" i="2"/>
  <c r="H48" i="2"/>
  <c r="M47" i="2"/>
  <c r="L47" i="2"/>
  <c r="K47" i="2"/>
  <c r="H47" i="2"/>
  <c r="M46" i="2"/>
  <c r="L46" i="2"/>
  <c r="K45" i="2"/>
  <c r="H45" i="2"/>
  <c r="K44" i="2"/>
  <c r="H44" i="2"/>
  <c r="K43" i="2"/>
  <c r="H43" i="2"/>
  <c r="M42" i="2"/>
  <c r="L42" i="2"/>
  <c r="K42" i="2"/>
  <c r="H42" i="2"/>
  <c r="M41" i="2"/>
  <c r="L41" i="2"/>
  <c r="K41" i="2"/>
  <c r="H41" i="2"/>
  <c r="M40" i="2"/>
  <c r="L40" i="2"/>
  <c r="K40" i="2"/>
  <c r="H40" i="2"/>
  <c r="M39" i="2"/>
  <c r="L39" i="2"/>
  <c r="K39" i="2"/>
  <c r="H39" i="2"/>
  <c r="M38" i="2"/>
  <c r="L38" i="2"/>
  <c r="M37" i="2"/>
  <c r="L37" i="2"/>
  <c r="K37" i="2"/>
  <c r="H37" i="2"/>
  <c r="M36" i="2"/>
  <c r="L36" i="2"/>
  <c r="K36" i="2"/>
  <c r="H36" i="2"/>
  <c r="K35" i="2"/>
  <c r="H35" i="2"/>
  <c r="M34" i="2"/>
  <c r="L34" i="2"/>
  <c r="M33" i="2"/>
  <c r="L33" i="2"/>
  <c r="K33" i="2"/>
  <c r="H33" i="2"/>
  <c r="M32" i="2"/>
  <c r="L32" i="2"/>
  <c r="K32" i="2"/>
  <c r="H32" i="2"/>
  <c r="M31" i="2"/>
  <c r="L31" i="2"/>
  <c r="K31" i="2"/>
  <c r="H31" i="2"/>
  <c r="M30" i="2"/>
  <c r="L30" i="2"/>
  <c r="K30" i="2"/>
  <c r="H30" i="2"/>
  <c r="M29" i="2"/>
  <c r="L29" i="2"/>
  <c r="K28" i="2"/>
  <c r="H28" i="2"/>
  <c r="M27" i="2"/>
  <c r="L27" i="2"/>
  <c r="K27" i="2"/>
  <c r="H27" i="2"/>
  <c r="M26" i="2"/>
  <c r="L26" i="2"/>
  <c r="M25" i="2"/>
  <c r="L25" i="2"/>
  <c r="K25" i="2"/>
  <c r="H25" i="2"/>
  <c r="M24" i="2"/>
  <c r="L24" i="2"/>
  <c r="K24" i="2"/>
  <c r="H24" i="2"/>
  <c r="M23" i="2"/>
  <c r="L23" i="2"/>
  <c r="K23" i="2"/>
  <c r="H23" i="2"/>
  <c r="M22" i="2"/>
  <c r="L22" i="2"/>
  <c r="M21" i="2"/>
  <c r="L21" i="2"/>
  <c r="K21" i="2"/>
  <c r="H21" i="2"/>
  <c r="K20" i="2"/>
  <c r="H20" i="2"/>
  <c r="M19" i="2"/>
  <c r="L19" i="2"/>
  <c r="K19" i="2"/>
  <c r="H19" i="2"/>
  <c r="M18" i="2"/>
  <c r="L18" i="2"/>
  <c r="K18" i="2"/>
  <c r="H18" i="2"/>
  <c r="M17" i="2"/>
  <c r="L17" i="2"/>
  <c r="K17" i="2"/>
  <c r="H17" i="2"/>
  <c r="M16" i="2"/>
  <c r="L16" i="2"/>
  <c r="M15" i="2"/>
  <c r="L15" i="2"/>
  <c r="K15" i="2"/>
  <c r="H15" i="2"/>
  <c r="M14" i="2"/>
  <c r="L14" i="2"/>
  <c r="K14" i="2"/>
  <c r="H14" i="2"/>
  <c r="M13" i="2"/>
  <c r="L13" i="2"/>
  <c r="K13" i="2"/>
  <c r="H13" i="2"/>
  <c r="M12" i="2"/>
  <c r="L12" i="2"/>
  <c r="K12" i="2"/>
  <c r="H12" i="2"/>
  <c r="M11" i="2"/>
  <c r="L11" i="2"/>
  <c r="K11" i="2"/>
  <c r="H11" i="2"/>
  <c r="M10" i="2"/>
  <c r="L10" i="2"/>
  <c r="K10" i="2"/>
  <c r="H10" i="2"/>
  <c r="K9" i="2"/>
  <c r="H9" i="2"/>
  <c r="B2" i="2"/>
  <c r="K171" i="2" l="1"/>
  <c r="C16" i="6" s="1"/>
  <c r="D180" i="2"/>
  <c r="C14" i="6"/>
  <c r="G178" i="2"/>
  <c r="C15" i="6"/>
  <c r="G179" i="2"/>
  <c r="J5" i="5"/>
  <c r="K5" i="5"/>
  <c r="K11" i="5" s="1"/>
  <c r="D175" i="2"/>
  <c r="F175" i="2"/>
  <c r="G175" i="2"/>
  <c r="J7" i="5"/>
  <c r="J8" i="5"/>
  <c r="D171" i="2"/>
  <c r="D174" i="2" s="1"/>
  <c r="E171" i="2"/>
  <c r="J9" i="5"/>
  <c r="F171" i="2"/>
  <c r="F174" i="2" s="1"/>
  <c r="G171" i="2"/>
  <c r="G174" i="2" s="1"/>
  <c r="H171" i="2" l="1"/>
  <c r="E174" i="2"/>
  <c r="J11" i="5"/>
</calcChain>
</file>

<file path=xl/sharedStrings.xml><?xml version="1.0" encoding="utf-8"?>
<sst xmlns="http://schemas.openxmlformats.org/spreadsheetml/2006/main" count="600" uniqueCount="569">
  <si>
    <t>M4Di  |  ALDi Design &amp; Construction Budget Tracker</t>
  </si>
  <si>
    <t>Project Cost Control from ROM Estimate Through Construction Closeout</t>
  </si>
  <si>
    <t>Project Name:</t>
  </si>
  <si>
    <t>Enter the official M4Di project code</t>
  </si>
  <si>
    <t>Project Address:</t>
  </si>
  <si>
    <t>Full site address</t>
  </si>
  <si>
    <t>Owner / Client:</t>
  </si>
  <si>
    <t>Legal entity name</t>
  </si>
  <si>
    <t>Architect of Record:</t>
  </si>
  <si>
    <t>e.g., M4D / Aubyn Architecture</t>
  </si>
  <si>
    <t>M4Di Project Lead:</t>
  </si>
  <si>
    <t>Gross Area (SF):</t>
  </si>
  <si>
    <t>Total building SF in scope</t>
  </si>
  <si>
    <t>ALDi Start Date:</t>
  </si>
  <si>
    <t>Date M4Di ALDi engagement begins</t>
  </si>
  <si>
    <t>ROM Estimate Date:</t>
  </si>
  <si>
    <t>Date of M4Di P3 ROM (v1)</t>
  </si>
  <si>
    <t>COLUMN GUIDE — Four Estimate Stages</t>
  </si>
  <si>
    <t>Column</t>
  </si>
  <si>
    <t>Stage</t>
  </si>
  <si>
    <t>When Populated</t>
  </si>
  <si>
    <t>Purpose / Notes</t>
  </si>
  <si>
    <t>Column D
M4Di ROM</t>
  </si>
  <si>
    <t>Rough Order of Magnitude</t>
  </si>
  <si>
    <t>At ALDi engagement start
(P3 deliverable)</t>
  </si>
  <si>
    <t>The locked baseline. Never changes after ALDi Gate 0. All variances measured against this column.</t>
  </si>
  <si>
    <t>Column E
75% DD Estimate</t>
  </si>
  <si>
    <t>Design Development (75%)</t>
  </si>
  <si>
    <t>At ALDi Gate 2
(DD milestone)</t>
  </si>
  <si>
    <t>First major design-informed reality check. Should be within ±15% of ROM. Flag and explain if not.</t>
  </si>
  <si>
    <t>Column F
100% CD / Contractor SOV</t>
  </si>
  <si>
    <t>Construction Documents / GMP</t>
  </si>
  <si>
    <t>At ALDi Gate 3
(GMP execution)</t>
  </si>
  <si>
    <t>The contracted number. All future change orders are additions to this column. Defines the budget baseline.</t>
  </si>
  <si>
    <t>Column G
Actual Cost</t>
  </si>
  <si>
    <t>Construction Closeout</t>
  </si>
  <si>
    <t>Updated monthly
during construction</t>
  </si>
  <si>
    <t>Running total of all committed costs: executed SOV + approved COs + owner direct costs.</t>
  </si>
  <si>
    <t>CORE RULES FOR THIS WORKBOOK</t>
  </si>
  <si>
    <t>1.</t>
  </si>
  <si>
    <t>Column D (M4Di ROM) is LOCKED after ALDi Gate 0. It never changes. It is the reference baseline for every downstream comparison.</t>
  </si>
  <si>
    <t>2.</t>
  </si>
  <si>
    <t>Column E (75% DD) is entered at Gate 2. If the DD estimate exceeds Column D by more than 15%, a written explanation is required in the VARIANCE LOG before the gate is cleared.</t>
  </si>
  <si>
    <t>3.</t>
  </si>
  <si>
    <t>Column F (100% CD / SOV) is entered at Gate 3 from the executed Contractor Schedule of Values. This is the contracted hard cost. Soft costs in this column come from executed consultant agreements.</t>
  </si>
  <si>
    <t>4.</t>
  </si>
  <si>
    <t>Column G (Actual Cost) is updated monthly. It equals Column F plus all approved change orders plus all owner direct costs incurred to date. It is never projected — only committed costs.</t>
  </si>
  <si>
    <t>5.</t>
  </si>
  <si>
    <t>Every line item in this tracker maps to a line item in the M4Di OI Tool (BID SUMMARY, SOFT COSTS, or TOTAL PROJECT BUDGET). The M4Di project lead maintains both files in sync.</t>
  </si>
  <si>
    <t>6.</t>
  </si>
  <si>
    <t>This workbook is an M4Di ALDi deliverable. It is issued to the Owner and AE at Gate 0 setup. The Owner and AE receive read-only PDF exports monthly. The live Excel file is M4Di-controlled.</t>
  </si>
  <si>
    <t>Budget Item</t>
  </si>
  <si>
    <t>CSI / Ref</t>
  </si>
  <si>
    <t>M4Di ROM
(LOCKED BASELINE)</t>
  </si>
  <si>
    <t>75% DD ESTIMATE
(Gate 2)</t>
  </si>
  <si>
    <t>100% CD / SOV
(Gate 3 — Contracted)</t>
  </si>
  <si>
    <t>ACTUAL COST
(Running Total)</t>
  </si>
  <si>
    <t>ROM vs. DD
Variance</t>
  </si>
  <si>
    <t>GC QUOTE / PROPOSAL
(Pre-SOV)</t>
  </si>
  <si>
    <t>GC ACTUALS
(Running Total)</t>
  </si>
  <si>
    <t>ROM vs. GC Quote
Variance</t>
  </si>
  <si>
    <t>CD vs. Actual
Variance</t>
  </si>
  <si>
    <t>Notes / Status</t>
  </si>
  <si>
    <t>$ Amount</t>
  </si>
  <si>
    <t>$ Variance</t>
  </si>
  <si>
    <t>% Var</t>
  </si>
  <si>
    <t>Notes / Flag</t>
  </si>
  <si>
    <t>► Col D: M4Di ROM (locked Gate 0)     ► Col E: Enter at Gate 2 (75% DD)     ► Col F: Enter at Gate 3 from GMP/SOV     ► Col G: Update monthly     ► Col I: GC Quote/Proposal (pre-SOV)     ► Col J: GC Actuals (monthly)</t>
  </si>
  <si>
    <t>SECTION 1 — HARD COSTS (Construction)</t>
  </si>
  <si>
    <t>1A — Procurement &amp; General Requirements</t>
  </si>
  <si>
    <t>General Conditions (GC Time &amp; Overhead)</t>
  </si>
  <si>
    <t>DIV 00/01</t>
  </si>
  <si>
    <t>Temporary Facilities, Utilities &amp; Hoarding</t>
  </si>
  <si>
    <t>DIV 01-TF</t>
  </si>
  <si>
    <t>Per takeoff; hazmat TBD pending survey</t>
  </si>
  <si>
    <t>Site Safety, Security &amp; Signage</t>
  </si>
  <si>
    <t>DIV 01-SS</t>
  </si>
  <si>
    <t>Housekeeping pads; structural repairs</t>
  </si>
  <si>
    <t>Dumpsters / Debris Removal</t>
  </si>
  <si>
    <t>DIV 01-DR</t>
  </si>
  <si>
    <t>Misc. metals; stair rails; lintels</t>
  </si>
  <si>
    <t>Payment &amp; Performance Bond</t>
  </si>
  <si>
    <t>DIV 00-BD</t>
  </si>
  <si>
    <t>Interior partition framing</t>
  </si>
  <si>
    <t>Builder's Risk Insurance</t>
  </si>
  <si>
    <t>DIV 00-BR</t>
  </si>
  <si>
    <t>Roof repairs; waterproofing; sealants</t>
  </si>
  <si>
    <t>GC Fee / Overhead &amp; Profit</t>
  </si>
  <si>
    <t>DIV 00-OH</t>
  </si>
  <si>
    <t>Anti-ligature hardware; ADA entries</t>
  </si>
  <si>
    <t>1B — Existing Conditions</t>
  </si>
  <si>
    <t>Rubber athletic; resilient; carpet tile</t>
  </si>
  <si>
    <t>Selective Demolition — Interior</t>
  </si>
  <si>
    <t>DIV 02-DI</t>
  </si>
  <si>
    <t>High-perf coatings + standard paint</t>
  </si>
  <si>
    <t>Selective Demolition — Exterior / Site</t>
  </si>
  <si>
    <t>DIV 02-DE</t>
  </si>
  <si>
    <t>ACT; GWB ceilings; soffits</t>
  </si>
  <si>
    <t>Hazardous Materials Survey / Testing</t>
  </si>
  <si>
    <t>DIV 02-HT</t>
  </si>
  <si>
    <t>Bathroom accessories; millwork</t>
  </si>
  <si>
    <t>Hazardous Materials Abatement (ACM/Lead/Mold)</t>
  </si>
  <si>
    <t>DIV 02-HA</t>
  </si>
  <si>
    <t>Dewatering / Site Preparation</t>
  </si>
  <si>
    <t>DIV 02-SP</t>
  </si>
  <si>
    <t>Full building in Phase 1A per Program Guide</t>
  </si>
  <si>
    <t>1C — Concrete</t>
  </si>
  <si>
    <t>Full building; NFPA 72 compliant</t>
  </si>
  <si>
    <t>Cast-in-Place Concrete — Foundations / Slabs</t>
  </si>
  <si>
    <t>DIV 03-CF</t>
  </si>
  <si>
    <t>Sized for full building future build-out</t>
  </si>
  <si>
    <t>Concrete Repair / Patching</t>
  </si>
  <si>
    <t>DIV 03-CR</t>
  </si>
  <si>
    <t>Partial area; backbone for Phase 1B tie-in</t>
  </si>
  <si>
    <t>Precast Concrete Elements</t>
  </si>
  <si>
    <t>DIV 03-PC</t>
  </si>
  <si>
    <t>Scalable panels; risers; branch circuits</t>
  </si>
  <si>
    <t>1D — Masonry</t>
  </si>
  <si>
    <t>Staff monitoring; access control; data</t>
  </si>
  <si>
    <t>Masonry — New CMU / Brick</t>
  </si>
  <si>
    <t>DIV 04-NM</t>
  </si>
  <si>
    <t>Structural + enclosure allowance; no cab</t>
  </si>
  <si>
    <t>Masonry Repair / Repointing</t>
  </si>
  <si>
    <t>DIV 04-MR</t>
  </si>
  <si>
    <t>1E — Metals</t>
  </si>
  <si>
    <t>Backstops, bleachers, scoreboard — PENDING</t>
  </si>
  <si>
    <t>Structural Steel — Framing &amp; Connections</t>
  </si>
  <si>
    <t>DIV 05-SS</t>
  </si>
  <si>
    <t>Wall padding, boxing ring, bag systems</t>
  </si>
  <si>
    <t>Stairs — Structural Steel / Metal Pan</t>
  </si>
  <si>
    <t>DIV 05-ST</t>
  </si>
  <si>
    <t>OT/PT; sensory room; de-escalation rooms</t>
  </si>
  <si>
    <t>Miscellaneous Metals — Rails, Lintels, Angles</t>
  </si>
  <si>
    <t>DIV 05-MM</t>
  </si>
  <si>
    <t>Commercial kitchen package — PENDING</t>
  </si>
  <si>
    <t>Metal Decking</t>
  </si>
  <si>
    <t>DIV 05-MD</t>
  </si>
  <si>
    <t>PA, cameras, access control hardware</t>
  </si>
  <si>
    <t>1F — Wood, Plastics &amp; Composites</t>
  </si>
  <si>
    <t>Rough Carpentry — Blocking, Nailers, Backing</t>
  </si>
  <si>
    <t>DIV 06-RC</t>
  </si>
  <si>
    <t>Finish Carpentry — Millwork &amp; Casework</t>
  </si>
  <si>
    <t>DIV 06-FC</t>
  </si>
  <si>
    <t>8.0% of base</t>
  </si>
  <si>
    <t>Architectural Woodwork / Custom Millwork</t>
  </si>
  <si>
    <t>DIV 06-AW</t>
  </si>
  <si>
    <t>10.0% of base + GC</t>
  </si>
  <si>
    <t>1G — Thermal &amp; Moisture Protection</t>
  </si>
  <si>
    <t>12.0% — reduce at SD, DD, GMP</t>
  </si>
  <si>
    <t>Roofing — Membrane System (TPO/EPDM/BUR)</t>
  </si>
  <si>
    <t>DIV 07-RF</t>
  </si>
  <si>
    <t>12.0% — pre-1980 building; reduce after hazmat survey</t>
  </si>
  <si>
    <t>Roof Insulation &amp; Cover Board</t>
  </si>
  <si>
    <t>DIV 07-RI</t>
  </si>
  <si>
    <t>5.0% — reduce as equipment selections confirmed</t>
  </si>
  <si>
    <t>Wall Insulation (Batt / Rigid / Spray)</t>
  </si>
  <si>
    <t>DIV 07-WI</t>
  </si>
  <si>
    <t>2.0% of total</t>
  </si>
  <si>
    <t>Acoustic Insulation (STC / NRC Assemblies)</t>
  </si>
  <si>
    <t>DIV 07-AI</t>
  </si>
  <si>
    <t>Air Barrier / Vapor Retarder</t>
  </si>
  <si>
    <t>DIV 07-AB</t>
  </si>
  <si>
    <t>Waterproofing — Below Grade / Foundation</t>
  </si>
  <si>
    <t>DIV 07-WP</t>
  </si>
  <si>
    <t>Caulking, Sealants &amp; Joint Fillers</t>
  </si>
  <si>
    <t>DIV 07-JS</t>
  </si>
  <si>
    <t>1H — Openings</t>
  </si>
  <si>
    <t>Per AIA fee schedule, Type C renovation + premium</t>
  </si>
  <si>
    <t>Hollow Metal Doors, Frames &amp; Hardware</t>
  </si>
  <si>
    <t>DIV 08-HM</t>
  </si>
  <si>
    <t>Project Management per fee agreement</t>
  </si>
  <si>
    <t>Wood Doors &amp; Frames</t>
  </si>
  <si>
    <t>DIV 08-WD</t>
  </si>
  <si>
    <t>1.5% of hard cost</t>
  </si>
  <si>
    <t>Storefront / Curtain Wall / Aluminum Glazing</t>
  </si>
  <si>
    <t>DIV 08-CW</t>
  </si>
  <si>
    <t>1.8% of hard cost</t>
  </si>
  <si>
    <t>Windows — New / Replacement</t>
  </si>
  <si>
    <t>DIV 08-WN</t>
  </si>
  <si>
    <t>Overhead / Coiling Doors</t>
  </si>
  <si>
    <t>DIV 08-OD</t>
  </si>
  <si>
    <t>1.0% of hard cost</t>
  </si>
  <si>
    <t>Accessible Entry — Operators, Ramp, Hardware</t>
  </si>
  <si>
    <t>DIV 08-AE</t>
  </si>
  <si>
    <t>0.8% of hard cost</t>
  </si>
  <si>
    <t>1I — Finishes</t>
  </si>
  <si>
    <t>Limited site coordination only</t>
  </si>
  <si>
    <t>Drywall — Partitions, Shafts &amp; Soffits</t>
  </si>
  <si>
    <t>DIV 09-DW</t>
  </si>
  <si>
    <t>Fixed fee — required before Phase 1A foundation work</t>
  </si>
  <si>
    <t>Drywall — Acoustic / STC Assemblies</t>
  </si>
  <si>
    <t>DIV 09-AC</t>
  </si>
  <si>
    <t>0.5% — required for HUD/CDFI-funded projects</t>
  </si>
  <si>
    <t>Plaster / Stucco / EIFS</t>
  </si>
  <si>
    <t>DIV 09-PL</t>
  </si>
  <si>
    <t>Gates 0–4 + monthly reporting through closeout</t>
  </si>
  <si>
    <t>Tile — Ceramic / Porcelain (Floors &amp; Walls)</t>
  </si>
  <si>
    <t>DIV 09-TL</t>
  </si>
  <si>
    <t>Flooring — LVT / VCT / Vinyl Sheet</t>
  </si>
  <si>
    <t>DIV 09-FV</t>
  </si>
  <si>
    <t>2.0% of hard cost — NCC + state agencies</t>
  </si>
  <si>
    <t>Flooring — Carpet / Carpet Tile</t>
  </si>
  <si>
    <t>DIV 09-FC</t>
  </si>
  <si>
    <t>0.8% — confirm with owner’s insurance agent</t>
  </si>
  <si>
    <t>Flooring — Wood / Bamboo / Specialty</t>
  </si>
  <si>
    <t>DIV 09-FW</t>
  </si>
  <si>
    <t>IBC-required inspections; materials testing</t>
  </si>
  <si>
    <t>Flooring — Polished / Sealed Concrete</t>
  </si>
  <si>
    <t>DIV 09-FP</t>
  </si>
  <si>
    <t>Required for CDFI/HUD financing</t>
  </si>
  <si>
    <t>Acoustical Ceiling Tile (ACT) &amp; Grid</t>
  </si>
  <si>
    <t>DIV 09-CT</t>
  </si>
  <si>
    <t>Pre-1980 building — asbestos/lead survey required</t>
  </si>
  <si>
    <t>Gypsum Ceiling / Drywall Ceiling</t>
  </si>
  <si>
    <t>DIV 09-CC</t>
  </si>
  <si>
    <t>Contract review; property matters</t>
  </si>
  <si>
    <t>Paint &amp; Wall Coatings — Interior</t>
  </si>
  <si>
    <t>DIV 09-PI</t>
  </si>
  <si>
    <t>1.0% of CDFI loan amount</t>
  </si>
  <si>
    <t>Paint &amp; Coatings — Exterior</t>
  </si>
  <si>
    <t>DIV 09-PE</t>
  </si>
  <si>
    <t>Grant consultant; application support</t>
  </si>
  <si>
    <t>Wall Covering / Specialty Wall Finish</t>
  </si>
  <si>
    <t>DIV 09-WC</t>
  </si>
  <si>
    <t>Fixed fee; required for adaptive reuse</t>
  </si>
  <si>
    <t>1J — Specialties</t>
  </si>
  <si>
    <t>Toilet Partitions &amp; Accessories</t>
  </si>
  <si>
    <t>DIV 10-TP</t>
  </si>
  <si>
    <t>ADA Restroom Accessories &amp; Grab Bars</t>
  </si>
  <si>
    <t>DIV 10-ADA</t>
  </si>
  <si>
    <t>Fire Extinguishers &amp; Cabinets</t>
  </si>
  <si>
    <t>DIV 10-FE</t>
  </si>
  <si>
    <t>5% of hard cost — reduce as design advances</t>
  </si>
  <si>
    <t>Signage — Code-Required (Egress / Room ID)</t>
  </si>
  <si>
    <t>DIV 10-SC</t>
  </si>
  <si>
    <t>Enter actual owner FF&amp;E budget</t>
  </si>
  <si>
    <t>Signage — Branding / Wayfinding (Program)</t>
  </si>
  <si>
    <t>DIV 10-SB</t>
  </si>
  <si>
    <t>Owner-procured systems outside contract</t>
  </si>
  <si>
    <t>Lockers / Storage Units</t>
  </si>
  <si>
    <t>DIV 10-LK</t>
  </si>
  <si>
    <t>If applicable</t>
  </si>
  <si>
    <t>Folding Partitions / Operable Walls</t>
  </si>
  <si>
    <t>DIV 10-FP</t>
  </si>
  <si>
    <t>P1 $8K + P2 $14K + P3 $22K — already incurred</t>
  </si>
  <si>
    <t>Loading Dock Equipment</t>
  </si>
  <si>
    <t>DIV 10-LD</t>
  </si>
  <si>
    <t>Funder exhibits; CDFI package; 3 grants</t>
  </si>
  <si>
    <t>1K — Equipment (Program-Specific)</t>
  </si>
  <si>
    <t>3–8% of total — enter when funding stack confirmed</t>
  </si>
  <si>
    <t>Equipment Allowance 1 — [Define per project]</t>
  </si>
  <si>
    <t>EQP-01</t>
  </si>
  <si>
    <t>Equipment Allowance 2 — [Define per project]</t>
  </si>
  <si>
    <t>EQP-02</t>
  </si>
  <si>
    <t>Equipment Allowance 3 — [Define per project]</t>
  </si>
  <si>
    <t>EQP-03</t>
  </si>
  <si>
    <t>Equipment Allowance 4 — [Define per project]</t>
  </si>
  <si>
    <t>EQP-04</t>
  </si>
  <si>
    <t>Kitchen / Food Service Equipment</t>
  </si>
  <si>
    <t>EQP-KIT</t>
  </si>
  <si>
    <t>Stage / Platform / Performance Equipment</t>
  </si>
  <si>
    <t>EQP-STG</t>
  </si>
  <si>
    <t>1L — Furnishings</t>
  </si>
  <si>
    <t>FF&amp;E — Fixed Furnishings Allowance</t>
  </si>
  <si>
    <t>DIV 12-FF</t>
  </si>
  <si>
    <t>Window Treatments — Blinds / Shades / Acoustic</t>
  </si>
  <si>
    <t>DIV 12-WT</t>
  </si>
  <si>
    <t>Casework — Lab / Medical / Specialty</t>
  </si>
  <si>
    <t>DIV 12-CW</t>
  </si>
  <si>
    <t>1M — Special Construction</t>
  </si>
  <si>
    <t>Special Construction — [Define per project]</t>
  </si>
  <si>
    <t>DIV 13</t>
  </si>
  <si>
    <t>1N — Conveying Equipment</t>
  </si>
  <si>
    <t>Elevator — Traction / Hydraulic</t>
  </si>
  <si>
    <t>DIV 14-EL</t>
  </si>
  <si>
    <t>Elevator — Shaft Provisions Only</t>
  </si>
  <si>
    <t>DIV 14-SP</t>
  </si>
  <si>
    <t>Wheelchair Lift / Vertical Platform Lift</t>
  </si>
  <si>
    <t>DIV 14-WL</t>
  </si>
  <si>
    <t>1O — Fire Suppression</t>
  </si>
  <si>
    <t>Sprinkler System — NFPA 13 (Full Building)</t>
  </si>
  <si>
    <t>DIV 21-SP</t>
  </si>
  <si>
    <t>Sprinkler System — NFPA 13R / 13D (Residential)</t>
  </si>
  <si>
    <t>DIV 21-SR</t>
  </si>
  <si>
    <t>Standpipe / Fire Pump</t>
  </si>
  <si>
    <t>DIV 21-FP</t>
  </si>
  <si>
    <t>1P — Plumbing</t>
  </si>
  <si>
    <t>Plumbing — Sanitary DWV (Drain/Waste/Vent)</t>
  </si>
  <si>
    <t>DIV 22-DWV</t>
  </si>
  <si>
    <t>Plumbing — Domestic Water Supply (Hot/Cold)</t>
  </si>
  <si>
    <t>DIV 22-DW</t>
  </si>
  <si>
    <t>Plumbing Fixtures &amp; Trim</t>
  </si>
  <si>
    <t>DIV 22-FX</t>
  </si>
  <si>
    <t>Natural Gas Rough-in &amp; Distribution</t>
  </si>
  <si>
    <t>DIV 22-GS</t>
  </si>
  <si>
    <t>Roof Drainage / Interior Leaders</t>
  </si>
  <si>
    <t>DIV 22-RD</t>
  </si>
  <si>
    <t>1Q — HVAC / Mechanical</t>
  </si>
  <si>
    <t>HVAC — Ducted Split / RTU / Packaged Systems</t>
  </si>
  <si>
    <t>DIV 23-RT</t>
  </si>
  <si>
    <t>HVAC — VRF / Mini-Split Systems</t>
  </si>
  <si>
    <t>DIV 23-VF</t>
  </si>
  <si>
    <t>Ductwork &amp; Distribution</t>
  </si>
  <si>
    <t>DIV 23-DK</t>
  </si>
  <si>
    <t>Exhaust — Restrooms, Kitchen, Specialty</t>
  </si>
  <si>
    <t>DIV 23-EX</t>
  </si>
  <si>
    <t>Controls / Building Automation System (BAS)</t>
  </si>
  <si>
    <t>DIV 23-BAS</t>
  </si>
  <si>
    <t>Mechanical Insulation — Piping &amp; Duct</t>
  </si>
  <si>
    <t>DIV 23-IN</t>
  </si>
  <si>
    <t>1R — Electrical</t>
  </si>
  <si>
    <t>Electrical Service &amp; Switchgear / Panels</t>
  </si>
  <si>
    <t>DIV 26-SV</t>
  </si>
  <si>
    <t>Branch Wiring — Power &amp; Circuits</t>
  </si>
  <si>
    <t>DIV 26-BW</t>
  </si>
  <si>
    <t>Lighting Fixtures — Interior (LED)</t>
  </si>
  <si>
    <t>DIV 26-LI</t>
  </si>
  <si>
    <t>Lighting Fixtures — Exterior / Site</t>
  </si>
  <si>
    <t>DIV 26-LE</t>
  </si>
  <si>
    <t>Emergency / Exit Lighting</t>
  </si>
  <si>
    <t>DIV 26-EM</t>
  </si>
  <si>
    <t>Fire Alarm / Voice Evacuation System</t>
  </si>
  <si>
    <t>DIV 26-FA</t>
  </si>
  <si>
    <t>Generator / Emergency Power</t>
  </si>
  <si>
    <t>DIV 26-GN</t>
  </si>
  <si>
    <t>1S — Communications &amp; Low Voltage</t>
  </si>
  <si>
    <t>Data / Network Infrastructure (Cat6/Fiber)</t>
  </si>
  <si>
    <t>DIV 27-DA</t>
  </si>
  <si>
    <t>AV / Audio-Visual Systems</t>
  </si>
  <si>
    <t>DIV 27-AV</t>
  </si>
  <si>
    <t>Nurse Call / Staff Call / Patient Systems</t>
  </si>
  <si>
    <t>DIV 27-NC</t>
  </si>
  <si>
    <t>Security — Access Control</t>
  </si>
  <si>
    <t>DIV 28-AC</t>
  </si>
  <si>
    <t>Security — Camera / CCTV System</t>
  </si>
  <si>
    <t>DIV 28-CC</t>
  </si>
  <si>
    <t>Intrusion Detection / Alarm</t>
  </si>
  <si>
    <t>DIV 28-ID</t>
  </si>
  <si>
    <t>1T — Earthwork &amp; Site Work</t>
  </si>
  <si>
    <t>Earthwork — Grading / Excavation / Backfill</t>
  </si>
  <si>
    <t>DIV 31-EW</t>
  </si>
  <si>
    <t>Paving — Asphalt / Concrete</t>
  </si>
  <si>
    <t>DIV 32-PA</t>
  </si>
  <si>
    <t>Landscaping / Planting</t>
  </si>
  <si>
    <t>DIV 32-LS</t>
  </si>
  <si>
    <t>Site Utilities — Underground</t>
  </si>
  <si>
    <t>DIV 33-SU</t>
  </si>
  <si>
    <t>Site Fencing &amp; Perimeter</t>
  </si>
  <si>
    <t>DIV 32-SF</t>
  </si>
  <si>
    <t>1U — Markups &amp; Contingencies</t>
  </si>
  <si>
    <t>Design Contingency (pre-permit)</t>
  </si>
  <si>
    <t>MKP-DC</t>
  </si>
  <si>
    <t>Existing Conditions Contingency</t>
  </si>
  <si>
    <t>MKP-EC</t>
  </si>
  <si>
    <t>Owner Selection Contingency</t>
  </si>
  <si>
    <t>MKP-OS</t>
  </si>
  <si>
    <t>Bid / Permit / Bond Allowance</t>
  </si>
  <si>
    <t>MKP-BPB</t>
  </si>
  <si>
    <t>TOTAL HARD COST (Construction ROM → SOV → Actual)</t>
  </si>
  <si>
    <t>SECTION 2 — SOFT COSTS (Professional Fees &amp; Consultants)</t>
  </si>
  <si>
    <t>2A — Architecture &amp; Engineering</t>
  </si>
  <si>
    <t>Architecture — Base Fee (M4D)</t>
  </si>
  <si>
    <t>AE-ARCH</t>
  </si>
  <si>
    <t>Architecture — ALDB / PM / Owner's Rep (M4D)</t>
  </si>
  <si>
    <t>AE-PM</t>
  </si>
  <si>
    <t>Structural Engineering</t>
  </si>
  <si>
    <t>ENG-STR</t>
  </si>
  <si>
    <t>Mechanical Engineering (HVAC)</t>
  </si>
  <si>
    <t>ENG-MECH</t>
  </si>
  <si>
    <t>Electrical Engineering</t>
  </si>
  <si>
    <t>ENG-ELEC</t>
  </si>
  <si>
    <t>Plumbing Engineering</t>
  </si>
  <si>
    <t>ENG-PLMB</t>
  </si>
  <si>
    <t>Fire Protection / Sprinkler Engineering</t>
  </si>
  <si>
    <t>ENG-FP</t>
  </si>
  <si>
    <t>Civil Engineering</t>
  </si>
  <si>
    <t>ENG-CIV</t>
  </si>
  <si>
    <t>Geotechnical / Soils Report</t>
  </si>
  <si>
    <t>ENG-GEO</t>
  </si>
  <si>
    <t>ADA / Accessibility Consultant</t>
  </si>
  <si>
    <t>CONS-ADA</t>
  </si>
  <si>
    <t>Acoustic / AV Design Consultant</t>
  </si>
  <si>
    <t>CONS-AC</t>
  </si>
  <si>
    <t>M4Di ALDi Controls (this workbook + gate fees)</t>
  </si>
  <si>
    <t>M4DI-ALDI</t>
  </si>
  <si>
    <t>2B — Owner Soft Costs &amp; Agency Fees</t>
  </si>
  <si>
    <t>Permitting / Plan Review Fees</t>
  </si>
  <si>
    <t>SC-PERM</t>
  </si>
  <si>
    <t>Builder's Risk Insurance (owner-procured)</t>
  </si>
  <si>
    <t>SC-INSR</t>
  </si>
  <si>
    <t>Testing / Special Inspections / Commissioning</t>
  </si>
  <si>
    <t>SC-TEST</t>
  </si>
  <si>
    <t>Phase I / II Environmental Assessment</t>
  </si>
  <si>
    <t>SC-ENV</t>
  </si>
  <si>
    <t>Hazardous Materials Survey &amp; Abatement Design</t>
  </si>
  <si>
    <t>SC-HAZ</t>
  </si>
  <si>
    <t>Survey / As-Builts / Laser Scan</t>
  </si>
  <si>
    <t>SC-SURV</t>
  </si>
  <si>
    <t>Legal / Title / Closing Costs</t>
  </si>
  <si>
    <t>SC-LEGAL</t>
  </si>
  <si>
    <t>Financing / Loan Origination / CDFI Fees</t>
  </si>
  <si>
    <t>SC-FIN</t>
  </si>
  <si>
    <t>Fundraising / Grant Development Support</t>
  </si>
  <si>
    <t>SC-DEV</t>
  </si>
  <si>
    <t>TOTAL SOFT COSTS</t>
  </si>
  <si>
    <t>SECTION 3 — OWNER CONTINGENCY &amp; DIRECT COSTS</t>
  </si>
  <si>
    <t>Owner Project Contingency (post-GMP)</t>
  </si>
  <si>
    <t>OWN-CONT</t>
  </si>
  <si>
    <t>FF&amp;E — Owner-Procured Furnishings</t>
  </si>
  <si>
    <t>OWN-FFE</t>
  </si>
  <si>
    <t>Technology / AV / IT (owner-procured)</t>
  </si>
  <si>
    <t>OWN-TECH</t>
  </si>
  <si>
    <t>Moving / Relocation / Transition Costs</t>
  </si>
  <si>
    <t>OWN-MOV</t>
  </si>
  <si>
    <t>Predevelopment Costs (M4Di P1–P3 Fees)</t>
  </si>
  <si>
    <t>M4DI-PRE</t>
  </si>
  <si>
    <t>Grant Strategy / Application Support (M4Di)</t>
  </si>
  <si>
    <t>M4DI-GRT</t>
  </si>
  <si>
    <t>Program Reserve / Funding Gap Buffer</t>
  </si>
  <si>
    <t>OWN-RESV</t>
  </si>
  <si>
    <t>TOTAL OWNER CONTINGENCY &amp; DIRECT COSTS</t>
  </si>
  <si>
    <t>TOTAL PROJECT INVESTMENT</t>
  </si>
  <si>
    <t>SUMMARY METRICS</t>
  </si>
  <si>
    <t>Total Project Investment</t>
  </si>
  <si>
    <t>Hard Cost Only</t>
  </si>
  <si>
    <t>Total Soft Costs</t>
  </si>
  <si>
    <t>Soft Cost as % of Hard Cost</t>
  </si>
  <si>
    <t>GC Quote Total</t>
  </si>
  <si>
    <t>"-"</t>
  </si>
  <si>
    <t>GC Actuals Total</t>
  </si>
  <si>
    <t>ROM vs. GC Quote Variance</t>
  </si>
  <si>
    <t>LEGEND:  Blue text = hardcoded input  |  Green text = cross-sheet link  |  Gray row = division rarely applicable (leave blank if not in scope)  |  Blue background columns (I–K) = Contractor side</t>
  </si>
  <si>
    <t>VARIANCE LOG — Cost Changes Requiring Documentation</t>
  </si>
  <si>
    <t>Any variance &gt;5% between estimate columns must be documented here before the next ALDi gate is cleared.</t>
  </si>
  <si>
    <t>Line Item / Budget Category</t>
  </si>
  <si>
    <t>Gate</t>
  </si>
  <si>
    <t>ROM Amt ($)</t>
  </si>
  <si>
    <t>New Est. Amt ($)</t>
  </si>
  <si>
    <t>Var ($)</t>
  </si>
  <si>
    <t>Var (%)</t>
  </si>
  <si>
    <t>Status</t>
  </si>
  <si>
    <t>Root Cause &amp; Resolution</t>
  </si>
  <si>
    <t>Approved By</t>
  </si>
  <si>
    <t>Existing Conditions Contingency — higher than ROM</t>
  </si>
  <si>
    <t>Gate 2</t>
  </si>
  <si>
    <t>73,000</t>
  </si>
  <si>
    <t>21.0%</t>
  </si>
  <si>
    <t>Approved</t>
  </si>
  <si>
    <t>Hazmat survey confirmed asbestos in 3 locations. Abatement scope added. Owner approved $73K increase.</t>
  </si>
  <si>
    <t>T. Maxwell / M4Di</t>
  </si>
  <si>
    <t>HVAC — Phase 1A scope expanded per DDDS requirements</t>
  </si>
  <si>
    <t>55,000</t>
  </si>
  <si>
    <t>17.7%</t>
  </si>
  <si>
    <t>Watch</t>
  </si>
  <si>
    <t>DDDS licensing pre-app required supplemental ventilation for clinical areas. Engineering confirmed scope.</t>
  </si>
  <si>
    <t>Pending owner</t>
  </si>
  <si>
    <t>[Next Variance Item — enter as identified]</t>
  </si>
  <si>
    <t>On Track</t>
  </si>
  <si>
    <t>CHANGE ORDER LOG — ALDi Gate 3–4</t>
  </si>
  <si>
    <t>All changes to the contracted GMP/SOV (Column F) must be logged here. Actual Cost (Column G) = Column F + approved COs below.</t>
  </si>
  <si>
    <t>CO #</t>
  </si>
  <si>
    <t>Description</t>
  </si>
  <si>
    <t>Date</t>
  </si>
  <si>
    <t>GC Amount ($)</t>
  </si>
  <si>
    <t>Owner Cost ($)</t>
  </si>
  <si>
    <t>Cumulative COs ($)</t>
  </si>
  <si>
    <t>CO Running % of GMP</t>
  </si>
  <si>
    <t>Category</t>
  </si>
  <si>
    <t>Notes / Justification</t>
  </si>
  <si>
    <t>CO-001</t>
  </si>
  <si>
    <t>Hazardous Materials Abatement — Phase 1 (asbestos, 3 locations)</t>
  </si>
  <si>
    <t>04/15/2026</t>
  </si>
  <si>
    <t>2.1%</t>
  </si>
  <si>
    <t>Existing Conditions</t>
  </si>
  <si>
    <t>Required; covered by existing conditions contingency draw</t>
  </si>
  <si>
    <t>CO-002</t>
  </si>
  <si>
    <t>Additional HVAC ductwork — DDDS ventilation compliance</t>
  </si>
  <si>
    <t>05/01/2026</t>
  </si>
  <si>
    <t>3.7%</t>
  </si>
  <si>
    <t>Pending</t>
  </si>
  <si>
    <t>Regulatory</t>
  </si>
  <si>
    <t>DDDS licensing requirement; pending owner authorization</t>
  </si>
  <si>
    <t>[Future CO — enter as issued]</t>
  </si>
  <si>
    <t>TOTAL APPROVED COs</t>
  </si>
  <si>
    <t>FUNDING DRAW SCHEDULE — Budget vs. Actual Spend</t>
  </si>
  <si>
    <t>Track each funding source draw against actual project expenditures. Updated monthly with each pay application.</t>
  </si>
  <si>
    <t>Funding Source</t>
  </si>
  <si>
    <t>Total Committed ($)</t>
  </si>
  <si>
    <t>Draw 1 ($)</t>
  </si>
  <si>
    <t>Draw 2 ($)</t>
  </si>
  <si>
    <t>Draw 3 ($)</t>
  </si>
  <si>
    <t>Draw 4 ($)</t>
  </si>
  <si>
    <t>Draw 5 ($)</t>
  </si>
  <si>
    <t>Total Drawn ($)</t>
  </si>
  <si>
    <t>Remaining ($)</t>
  </si>
  <si>
    <t>% Drawn</t>
  </si>
  <si>
    <t>Owner / Developer Equity (Dr. Maxwell)</t>
  </si>
  <si>
    <t>CDFI Construction Loan (NCALL)</t>
  </si>
  <si>
    <t>HUD CDBG Grant</t>
  </si>
  <si>
    <t>Delaware DDDS Capital Support</t>
  </si>
  <si>
    <t>Philanthropic Grants (Longwood / Welfare Fdn)</t>
  </si>
  <si>
    <t>Owner Contingency Reserve (escrowed)</t>
  </si>
  <si>
    <t>TOTAL FUNDING</t>
  </si>
  <si>
    <t>ALDi GATE DASHBOARD — Project Status Summary</t>
  </si>
  <si>
    <t>One-page project status for owner, AE, and lender reporting. Update at each gate.</t>
  </si>
  <si>
    <t>Project</t>
  </si>
  <si>
    <t>Owner</t>
  </si>
  <si>
    <t>AE</t>
  </si>
  <si>
    <t>M4Di Lead</t>
  </si>
  <si>
    <t>Building SF</t>
  </si>
  <si>
    <t>ALDi Start</t>
  </si>
  <si>
    <t>M4Di ROM (Locked Baseline)</t>
  </si>
  <si>
    <t>75% DD Estimate</t>
  </si>
  <si>
    <t>100% CD / GMP (Contracted)</t>
  </si>
  <si>
    <t>Actual Cost to Date</t>
  </si>
  <si>
    <t>GC Quote Total (pre-SOV)</t>
  </si>
  <si>
    <t>GC Actuals to Date</t>
  </si>
  <si>
    <t>ALDi GATE STATUS</t>
  </si>
  <si>
    <t>Name</t>
  </si>
  <si>
    <t>Target Date</t>
  </si>
  <si>
    <t>Actual Date</t>
  </si>
  <si>
    <t>Budget Check</t>
  </si>
  <si>
    <t>Key Conditions / Notes</t>
  </si>
  <si>
    <t>Gate 0</t>
  </si>
  <si>
    <t>Controls Setup + Budget Baseline Lock</t>
  </si>
  <si>
    <t>In Progress</t>
  </si>
  <si>
    <t>ROM Locked</t>
  </si>
  <si>
    <t>Project charter issued. Budget baseline = Column D. Procurement calendar set.</t>
  </si>
  <si>
    <t>Gate 1</t>
  </si>
  <si>
    <t>Schematic Design Review</t>
  </si>
  <si>
    <t>Target ±15%</t>
  </si>
  <si>
    <t>SD documents reviewed. Constructability input provided. DDDS pre-app status confirmed.</t>
  </si>
  <si>
    <t>Design Development + 75% DD Estimate</t>
  </si>
  <si>
    <t>Column E entered</t>
  </si>
  <si>
    <t>DD estimate entered in Column E. Variance log updated. Owner contingency reviewed.</t>
  </si>
  <si>
    <t>Gate 3</t>
  </si>
  <si>
    <t>GMP Execution + SOV Entry</t>
  </si>
  <si>
    <t>Column F = GMP</t>
  </si>
  <si>
    <t>Contractor SOV entered in Column F. GMP executed. Financing closed.</t>
  </si>
  <si>
    <t>Gate 4</t>
  </si>
  <si>
    <t>Construction Controls + Closeout</t>
  </si>
  <si>
    <t>Column G current</t>
  </si>
  <si>
    <t>Monthly actual cost updates. CO log maintained. HISTORICAL DB row completed.</t>
  </si>
  <si>
    <t>M4Di STRATEGY MEMO — The ALDi Budget Tracker as a Revenue Growth Engine</t>
  </si>
  <si>
    <t>WHAT THIS TOOL IS</t>
  </si>
  <si>
    <t>The ALDi Design &amp; Construction Budget Tracker is M4Di’s most direct revenue-generating product after the P1–P3 feasibility packages. Where the OI Tool establishes credibility at the predevelopment stage, the Tracker sustains M4Di’s role — and M4Di’s fees — through the full design and construction lifecycle of every project. This memo outlines the strategic case for how M4Di positions, prices, and grows this product.</t>
  </si>
  <si>
    <t>THE CORE VALUE PROPOSITION</t>
  </si>
  <si>
    <t>Every AE firm has a fee agreement. Every contractor has a schedule of values. Every owner has a checkbook. What none of them has is a single document that ties all three to the original feasibility estimate and tracks variance across the full project life. That gap is exactly what this Tracker fills — and it is a gap that costs project owners real money every time a design decision quietly moves the budget without anyone’s explicit awareness.</t>
  </si>
  <si>
    <t>M4Di owns this Tracker. M4Di controls it. The AE and contractor provide inputs at defined gate milestones; M4Di synthesizes, interprets, and reports. This is not an administrative function — it is the delivery backbone that the M4Di strategy describes as ALDi. The Tracker is the physical artifact of that backbone.</t>
  </si>
  <si>
    <t>THE FOUR-COLUMN ARCHITECTURE IS THE PRODUCT</t>
  </si>
  <si>
    <t>The four columns — ROM, 75% DD, 100% CD/SOV, Actual — are not an accident of format. They are the intellectual property. Each column transition is a gate event where M4Di adds specific, billable value:</t>
  </si>
  <si>
    <t>▶  Gate 0 → Column D locked
M4Di establishes the baseline. No one can move the ROM without going through M4Di. This is leverage — the ROM is the anchor against which every subsequent decision is measured.</t>
  </si>
  <si>
    <t>▶  Gate 2 → Column E entered
M4Di reviews the 75% DD estimate from the AE. If it exceeds Column D by more than 15%, M4Di flags it, investigates the cause, and either documents a scope-driven explanation or pushes back on the design team. This review function is not available to any other party because only M4Di holds the original takeoff assumptions.</t>
  </si>
  <si>
    <t>▶  Gate 3 → Column F = GMP
M4Di reviews the contractor SOV against Column D. M4Di identifies any scope that was added during design but not authorized through the ALDi gate process. This review catches overruns before they become change orders.</t>
  </si>
  <si>
    <t>▶  Gate 4 → Column G updated monthly
M4Di maintains the running actual cost total from contractor pay applications and owner direct costs. M4Di is the single source of truth for how much has been spent, how much remains, and how the project tracks against the original feasibility commitment.</t>
  </si>
  <si>
    <t>WHO PAYS FOR IT AND HOW MUCH</t>
  </si>
  <si>
    <t>The Tracker is included as a component of the ALDi retainer fee. It is not a standalone product — it is the output of the ALDi gates. Current M4Di ALDi pricing for a project of this size ($3.8M–$9.3M total investment) targets $85,000 for full Gate 0–4 controls, of which approximately $25,000–$35,000 of the value is directly attributable to Tracker maintenance and gate reporting.</t>
  </si>
  <si>
    <t>At scale — with 4–6 active ALDi engagements simultaneously — the Tracker becomes a productized deliverable that drives recurring monthly revenue: setup at Gate 0 (one-time), monthly reporting fees (recurring), and gate review fees (milestone-based). A pricing model of $2,500–$5,000/month for active construction phase reporting is defensible given what the Tracker replaces: a $300–$500/hour owner’s representative doing the same work manually.</t>
  </si>
  <si>
    <t>THE AE RELATIONSHIP ANGLE</t>
  </si>
  <si>
    <t>M4D and Aubyn Architecture are the current AE partners. Their relationship to this Tracker is important to define correctly: they are data providers, not owners. At Gate 2, the AE provides their 75% DD cost estimate (or M4Di independently updates Column E). At Gate 3, the contractor provides the SOV that populates Column F. The AE does not control the Tracker and should not — because the Tracker’s independence is exactly what makes it valuable to the owner and to funders.</t>
  </si>
  <si>
    <t>This does not create an adversarial relationship. The AE’s interest is in having a credible, independent cost control record that demonstrates design-to-budget discipline — which is increasingly required by CDFIs, HUD, and institutional funders. M4Di’s Tracker serves the AE’s professional interest while being owned by the party (M4Di / owner) that has the most incentive to keep it honest.</t>
  </si>
  <si>
    <t>GROWTH PATH: FROM PROJECT TOOL TO PLATFORM</t>
  </si>
  <si>
    <t>Near-term (Year 1–2): The Tracker is a manually maintained Excel workbook issued to the owner at Gate 0 and updated by M4Di monthly. M4Di controls the file; the owner and AE receive read-only PDF exports. Revenue = ALDi retainer fee.</t>
  </si>
  <si>
    <t>Medium-term (Year 2–3): M4Di develops a branded Tracker template tied to the ALDDB Master. Completed project Tracker data flows into the ALDDB at closeout, enriching the firm’s cost intelligence. M4Di offers the Tracker as a standalone service to projects where M4Di is not the full ALDi backbone — a “cost controls only” engagement at $1,500–2,500/month. This expands the client base beyond ALDi engagements.</t>
  </si>
  <si>
    <t>Long-term (Year 3–5): M4Di licenses the Tracker methodology to CDFIs and community development intermediaries as a due diligence requirement for funded projects. “Every project we fund must maintain an M4Di-format budget Tracker” becomes a funder requirement that creates recurring engagement revenue regardless of whether M4Di is the architect or owner’s rep. This is the standard-setting play from the OI Tool strategy document: own the format, become the required infrastructure.</t>
  </si>
  <si>
    <t>THE POSITIONING STATEMENT</t>
  </si>
  <si>
    <t>M4Di’s ALDi Budget Tracker is the only design-to-construction cost control product built specifically for nonprofit and mission-owner community facility projects — connecting the predevelopment ROM estimate to every gate in the design and construction lifecycle. M4Di owns the baseline. M4Di maintains the record. M4Di is the single source of truth from feasibility through closeout.</t>
  </si>
  <si>
    <t>That is not a feature. That is a category. Build it carefully, maintain it obsessively, and the market value compounds with every project completed.</t>
  </si>
  <si>
    <t>TEMPLATE VERSION NOTE — This is the M4Di Generic CSI Template v1.0 (April 2026). Built to MasterFormat division structure with subcategories for high-cost divisions. Gray rows = divisions rarely applicable — leave blank rather than delete. Columns I–K are the GC/Contractor mirror columns (Quote + Actuals). Populate project-specific data in COVER tab. ROM values in Column D are locked at Gate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</si>
</sst>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0%;\(0.0%\);\-"/>
    <numFmt numFmtId="166" formatCode="\$#,##0.00"/>
    <numFmt numFmtId="167" formatCode="0%;\(0%\);\-"/>
  </numFmts>
  <fonts count="44" x14ac:knownFonts="1">
    <font>
      <sz val="11"/>
      <color theme="1"/>
      <name val="Calibri"/>
      <family val="2"/>
      <charset val="1"/>
    </font>
    <font>
      <b/>
      <sz val="16"/>
      <color rgb="FFFFFFFF"/>
      <name val="Arial"/>
      <charset val="1"/>
    </font>
    <font>
      <sz val="11"/>
      <color rgb="FF534AB7"/>
      <name val="Arial"/>
      <charset val="1"/>
    </font>
    <font>
      <b/>
      <sz val="10"/>
      <color rgb="FF2C2C2A"/>
      <name val="Arial"/>
      <charset val="1"/>
    </font>
    <font>
      <sz val="10"/>
      <color rgb="FF000080"/>
      <name val="Arial"/>
      <charset val="1"/>
    </font>
    <font>
      <i/>
      <sz val="9"/>
      <color rgb="FF5F5E5A"/>
      <name val="Arial"/>
      <charset val="1"/>
    </font>
    <font>
      <b/>
      <sz val="11"/>
      <color rgb="FFFFFFFF"/>
      <name val="Arial"/>
      <charset val="1"/>
    </font>
    <font>
      <b/>
      <sz val="10"/>
      <color rgb="FFFFFFFF"/>
      <name val="Arial"/>
      <charset val="1"/>
    </font>
    <font>
      <sz val="9"/>
      <color rgb="FF534AB7"/>
      <name val="Arial"/>
      <charset val="1"/>
    </font>
    <font>
      <sz val="9"/>
      <color rgb="FF2C2C2A"/>
      <name val="Arial"/>
      <charset val="1"/>
    </font>
    <font>
      <sz val="9"/>
      <color rgb="FF0F6E56"/>
      <name val="Arial"/>
      <charset val="1"/>
    </font>
    <font>
      <sz val="9"/>
      <color rgb="FF854F0B"/>
      <name val="Arial"/>
      <charset val="1"/>
    </font>
    <font>
      <sz val="9"/>
      <color rgb="FF1A6B3A"/>
      <name val="Arial"/>
      <charset val="1"/>
    </font>
    <font>
      <b/>
      <sz val="10"/>
      <color rgb="FF534AB7"/>
      <name val="Arial"/>
      <charset val="1"/>
    </font>
    <font>
      <sz val="10"/>
      <color rgb="FF2C2C2A"/>
      <name val="Arial"/>
      <charset val="1"/>
    </font>
    <font>
      <b/>
      <sz val="14"/>
      <color rgb="FFFFFFFF"/>
      <name val="Arial"/>
      <charset val="1"/>
    </font>
    <font>
      <b/>
      <sz val="11"/>
      <color rgb="FF534AB7"/>
      <name val="Arial"/>
      <charset val="1"/>
    </font>
    <font>
      <b/>
      <sz val="9"/>
      <color rgb="FFFFFFFF"/>
      <name val="Arial"/>
      <charset val="1"/>
    </font>
    <font>
      <b/>
      <sz val="8"/>
      <color rgb="FFFFFFFF"/>
      <name val="Arial"/>
      <charset val="1"/>
    </font>
    <font>
      <b/>
      <sz val="9"/>
      <color rgb="FF2C2C2A"/>
      <name val="Arial"/>
      <charset val="1"/>
    </font>
    <font>
      <i/>
      <sz val="8"/>
      <color rgb="FF555555"/>
      <name val="Arial"/>
      <charset val="1"/>
    </font>
    <font>
      <sz val="10"/>
      <color rgb="FF000000"/>
      <name val="Arial"/>
      <charset val="1"/>
    </font>
    <font>
      <b/>
      <sz val="9"/>
      <color rgb="FF196B23"/>
      <name val="Arial"/>
      <charset val="1"/>
    </font>
    <font>
      <sz val="9"/>
      <color rgb="FF000000"/>
      <name val="Arial"/>
      <charset val="1"/>
    </font>
    <font>
      <sz val="8"/>
      <color rgb="FF666666"/>
      <name val="Arial"/>
      <charset val="1"/>
    </font>
    <font>
      <sz val="9"/>
      <color rgb="FF1565C0"/>
      <name val="Arial"/>
      <charset val="1"/>
    </font>
    <font>
      <i/>
      <sz val="9"/>
      <color rgb="FF888888"/>
      <name val="Arial"/>
      <charset val="1"/>
    </font>
    <font>
      <b/>
      <sz val="11"/>
      <color rgb="FF0F6E56"/>
      <name val="Arial"/>
      <charset val="1"/>
    </font>
    <font>
      <b/>
      <sz val="11"/>
      <color rgb="FF854F0B"/>
      <name val="Arial"/>
      <charset val="1"/>
    </font>
    <font>
      <b/>
      <sz val="12"/>
      <color rgb="FF534AB7"/>
      <name val="Arial"/>
      <charset val="1"/>
    </font>
    <font>
      <b/>
      <sz val="10"/>
      <color rgb="FF000000"/>
      <name val="Arial"/>
      <charset val="1"/>
    </font>
    <font>
      <b/>
      <sz val="9"/>
      <color rgb="FF000000"/>
      <name val="Arial"/>
      <charset val="1"/>
    </font>
    <font>
      <b/>
      <sz val="12"/>
      <color rgb="FFFFFFFF"/>
      <name val="Arial"/>
      <charset val="1"/>
    </font>
    <font>
      <b/>
      <sz val="10"/>
      <color rgb="FF196B23"/>
      <name val="Arial"/>
      <charset val="1"/>
    </font>
    <font>
      <b/>
      <sz val="13"/>
      <color rgb="FFFFFFFF"/>
      <name val="Arial"/>
      <charset val="1"/>
    </font>
    <font>
      <sz val="10"/>
      <color rgb="FF534AB7"/>
      <name val="Arial"/>
      <charset val="1"/>
    </font>
    <font>
      <b/>
      <sz val="10"/>
      <color rgb="FF0F6E56"/>
      <name val="Arial"/>
      <charset val="1"/>
    </font>
    <font>
      <sz val="10"/>
      <color rgb="FF1A6B3A"/>
      <name val="Arial"/>
      <charset val="1"/>
    </font>
    <font>
      <sz val="10"/>
      <color rgb="FF854F0B"/>
      <name val="Arial"/>
      <charset val="1"/>
    </font>
    <font>
      <sz val="10"/>
      <color rgb="FF0F6E56"/>
      <name val="Arial"/>
      <charset val="1"/>
    </font>
    <font>
      <sz val="11"/>
      <color rgb="FF0F6E56"/>
      <name val="Arial"/>
      <charset val="1"/>
    </font>
    <font>
      <b/>
      <sz val="11"/>
      <color rgb="FF1A6B3A"/>
      <name val="Arial"/>
      <charset val="1"/>
    </font>
    <font>
      <sz val="11"/>
      <color rgb="FF2C2C2A"/>
      <name val="Arial"/>
      <charset val="1"/>
    </font>
    <font>
      <i/>
      <sz val="9"/>
      <color rgb="FF444444"/>
      <name val="Arial"/>
      <charset val="1"/>
    </font>
  </fonts>
  <fills count="22">
    <fill>
      <patternFill patternType="none"/>
    </fill>
    <fill>
      <patternFill patternType="gray125"/>
    </fill>
    <fill>
      <patternFill patternType="solid">
        <fgColor rgb="FF534AB7"/>
        <bgColor rgb="FF555555"/>
      </patternFill>
    </fill>
    <fill>
      <patternFill patternType="solid">
        <fgColor rgb="FFEEEDFE"/>
        <bgColor rgb="FFE8E7F8"/>
      </patternFill>
    </fill>
    <fill>
      <patternFill patternType="solid">
        <fgColor rgb="FFF1EFE8"/>
        <bgColor rgb="FFF5F5F5"/>
      </patternFill>
    </fill>
    <fill>
      <patternFill patternType="solid">
        <fgColor rgb="FFFFF9C4"/>
        <bgColor rgb="FFFAEEDA"/>
      </patternFill>
    </fill>
    <fill>
      <patternFill patternType="solid">
        <fgColor rgb="FFFFFFFF"/>
        <bgColor rgb="FFF8F8F8"/>
      </patternFill>
    </fill>
    <fill>
      <patternFill patternType="solid">
        <fgColor rgb="FFE1F5EE"/>
        <bgColor rgb="FFE8F7EE"/>
      </patternFill>
    </fill>
    <fill>
      <patternFill patternType="solid">
        <fgColor rgb="FFFAEEDA"/>
        <bgColor rgb="FFF1EFE8"/>
      </patternFill>
    </fill>
    <fill>
      <patternFill patternType="solid">
        <fgColor rgb="FFE8F7EE"/>
        <bgColor rgb="FFE8F5E9"/>
      </patternFill>
    </fill>
    <fill>
      <patternFill patternType="solid">
        <fgColor rgb="FF0F6E56"/>
        <bgColor rgb="FF1A6B3A"/>
      </patternFill>
    </fill>
    <fill>
      <patternFill patternType="solid">
        <fgColor rgb="FF196B23"/>
        <bgColor rgb="FF1A6B3A"/>
      </patternFill>
    </fill>
    <fill>
      <patternFill patternType="solid">
        <fgColor rgb="FF1565C0"/>
        <bgColor rgb="FF3366FF"/>
      </patternFill>
    </fill>
    <fill>
      <patternFill patternType="solid">
        <fgColor rgb="FF5F5E5A"/>
        <bgColor rgb="FF666666"/>
      </patternFill>
    </fill>
    <fill>
      <patternFill patternType="solid">
        <fgColor rgb="FF2C2C2A"/>
        <bgColor rgb="FF444444"/>
      </patternFill>
    </fill>
    <fill>
      <patternFill patternType="solid">
        <fgColor rgb="FFE8F5E9"/>
        <bgColor rgb="FFE8F7EE"/>
      </patternFill>
    </fill>
    <fill>
      <patternFill patternType="solid">
        <fgColor rgb="FFE3F2FD"/>
        <bgColor rgb="FFE1F5EE"/>
      </patternFill>
    </fill>
    <fill>
      <patternFill patternType="solid">
        <fgColor rgb="FFE8E7F8"/>
        <bgColor rgb="FFEEEDFE"/>
      </patternFill>
    </fill>
    <fill>
      <patternFill patternType="solid">
        <fgColor rgb="FFF5F5F5"/>
        <bgColor rgb="FFF8F8F8"/>
      </patternFill>
    </fill>
    <fill>
      <patternFill patternType="solid">
        <fgColor rgb="FFF8F8F8"/>
        <bgColor rgb="FFF5F5F5"/>
      </patternFill>
    </fill>
    <fill>
      <patternFill patternType="solid">
        <fgColor rgb="FFC8E6C9"/>
        <bgColor rgb="FFD3D1C7"/>
      </patternFill>
    </fill>
    <fill>
      <patternFill patternType="solid">
        <fgColor rgb="FFBBDEFB"/>
        <bgColor rgb="FFC8E6C9"/>
      </patternFill>
    </fill>
  </fills>
  <borders count="7">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medium">
        <color rgb="FF534AB7"/>
      </left>
      <right style="medium">
        <color rgb="FF534AB7"/>
      </right>
      <top style="medium">
        <color rgb="FF534AB7"/>
      </top>
      <bottom style="medium">
        <color rgb="FF534AB7"/>
      </bottom>
      <diagonal/>
    </border>
    <border>
      <left style="thin">
        <color rgb="FFCCCCCC"/>
      </left>
      <right style="thin">
        <color rgb="FFD3D1C7"/>
      </right>
      <top style="thin">
        <color rgb="FFCCCCCC"/>
      </top>
      <bottom style="thin">
        <color rgb="FFCCCCCC"/>
      </bottom>
      <diagonal/>
    </border>
  </borders>
  <cellStyleXfs count="1">
    <xf numFmtId="0" fontId="0" fillId="0" borderId="0"/>
  </cellStyleXfs>
  <cellXfs count="143">
    <xf numFmtId="0" fontId="0" fillId="0" borderId="0" xfId="0"/>
    <xf numFmtId="0" fontId="3" fillId="4" borderId="1" xfId="0" applyFont="1" applyFill="1" applyBorder="1" applyAlignment="1">
      <alignment horizontal="left" vertical="center"/>
    </xf>
    <xf numFmtId="0" fontId="7" fillId="2"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3" fillId="3" borderId="1" xfId="0" applyFont="1" applyFill="1" applyBorder="1" applyAlignment="1">
      <alignment horizontal="center" vertical="center"/>
    </xf>
    <xf numFmtId="0" fontId="15" fillId="2" borderId="0" xfId="0" applyFont="1" applyFill="1" applyAlignment="1">
      <alignment horizontal="left" vertical="center"/>
    </xf>
    <xf numFmtId="0" fontId="16" fillId="3" borderId="0" xfId="0" applyFont="1" applyFill="1" applyAlignment="1">
      <alignment horizontal="left" vertical="center"/>
    </xf>
    <xf numFmtId="0" fontId="17" fillId="11"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17" fillId="13" borderId="2"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18" fillId="11" borderId="3" xfId="0" applyFont="1" applyFill="1" applyBorder="1" applyAlignment="1">
      <alignment horizontal="center" vertical="center" wrapText="1"/>
    </xf>
    <xf numFmtId="0" fontId="18" fillId="12" borderId="3"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0" fillId="4" borderId="0" xfId="0" applyFont="1" applyFill="1" applyAlignment="1">
      <alignment horizontal="left" vertical="center"/>
    </xf>
    <xf numFmtId="0" fontId="21" fillId="6" borderId="0" xfId="0" applyFont="1" applyFill="1"/>
    <xf numFmtId="0" fontId="7" fillId="11" borderId="3" xfId="0" applyFont="1" applyFill="1" applyBorder="1" applyAlignment="1">
      <alignment horizontal="left" vertical="center"/>
    </xf>
    <xf numFmtId="0" fontId="7" fillId="11" borderId="3" xfId="0" applyFont="1" applyFill="1" applyBorder="1" applyAlignment="1">
      <alignment horizontal="center" vertical="center"/>
    </xf>
    <xf numFmtId="0" fontId="22" fillId="15" borderId="4" xfId="0" applyFont="1" applyFill="1" applyBorder="1" applyAlignment="1">
      <alignment horizontal="left" vertical="center"/>
    </xf>
    <xf numFmtId="0" fontId="23" fillId="6" borderId="4" xfId="0" applyFont="1" applyFill="1" applyBorder="1" applyAlignment="1">
      <alignment horizontal="left" vertical="center"/>
    </xf>
    <xf numFmtId="0" fontId="24" fillId="6" borderId="4" xfId="0" applyFont="1" applyFill="1" applyBorder="1" applyAlignment="1">
      <alignment horizontal="center" vertical="center"/>
    </xf>
    <xf numFmtId="164" fontId="25" fillId="6" borderId="4" xfId="0" applyNumberFormat="1" applyFont="1" applyFill="1" applyBorder="1" applyAlignment="1">
      <alignment horizontal="right" vertical="center"/>
    </xf>
    <xf numFmtId="164" fontId="23" fillId="6" borderId="4" xfId="0" applyNumberFormat="1" applyFont="1" applyFill="1" applyBorder="1" applyAlignment="1">
      <alignment horizontal="right" vertical="center"/>
    </xf>
    <xf numFmtId="164" fontId="25" fillId="16" borderId="4" xfId="0" applyNumberFormat="1" applyFont="1" applyFill="1" applyBorder="1" applyAlignment="1">
      <alignment horizontal="right" vertical="center"/>
    </xf>
    <xf numFmtId="164" fontId="23" fillId="16" borderId="4" xfId="0" applyNumberFormat="1" applyFont="1" applyFill="1" applyBorder="1" applyAlignment="1">
      <alignment horizontal="right" vertical="center"/>
    </xf>
    <xf numFmtId="164" fontId="14" fillId="4" borderId="1" xfId="0" applyNumberFormat="1" applyFont="1" applyFill="1" applyBorder="1" applyAlignment="1">
      <alignment horizontal="right" vertical="center"/>
    </xf>
    <xf numFmtId="165" fontId="14" fillId="4" borderId="1" xfId="0" applyNumberFormat="1" applyFont="1" applyFill="1" applyBorder="1" applyAlignment="1">
      <alignment horizontal="right" vertical="center"/>
    </xf>
    <xf numFmtId="0" fontId="5" fillId="1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164" fontId="22" fillId="15" borderId="4" xfId="0" applyNumberFormat="1" applyFont="1" applyFill="1" applyBorder="1" applyAlignment="1">
      <alignment horizontal="left" vertical="center"/>
    </xf>
    <xf numFmtId="165" fontId="22" fillId="15" borderId="4" xfId="0" applyNumberFormat="1" applyFont="1" applyFill="1" applyBorder="1" applyAlignment="1">
      <alignment horizontal="left" vertical="center"/>
    </xf>
    <xf numFmtId="0" fontId="26" fillId="18" borderId="4" xfId="0" applyFont="1" applyFill="1" applyBorder="1" applyAlignment="1">
      <alignment horizontal="left" vertical="center"/>
    </xf>
    <xf numFmtId="0" fontId="24" fillId="18" borderId="4" xfId="0" applyFont="1" applyFill="1" applyBorder="1" applyAlignment="1">
      <alignment horizontal="center" vertical="center"/>
    </xf>
    <xf numFmtId="164" fontId="25" fillId="18" borderId="4" xfId="0" applyNumberFormat="1" applyFont="1" applyFill="1" applyBorder="1" applyAlignment="1">
      <alignment horizontal="right" vertical="center"/>
    </xf>
    <xf numFmtId="164" fontId="23" fillId="18" borderId="4" xfId="0" applyNumberFormat="1" applyFont="1" applyFill="1" applyBorder="1" applyAlignment="1">
      <alignment horizontal="right" vertical="center"/>
    </xf>
    <xf numFmtId="164" fontId="25" fillId="19" borderId="4" xfId="0" applyNumberFormat="1" applyFont="1" applyFill="1" applyBorder="1" applyAlignment="1">
      <alignment horizontal="right" vertical="center"/>
    </xf>
    <xf numFmtId="164" fontId="23" fillId="19" borderId="4" xfId="0" applyNumberFormat="1" applyFont="1" applyFill="1" applyBorder="1" applyAlignment="1">
      <alignment horizontal="right" vertical="center"/>
    </xf>
    <xf numFmtId="164" fontId="3" fillId="4" borderId="1" xfId="0" applyNumberFormat="1" applyFont="1" applyFill="1" applyBorder="1" applyAlignment="1">
      <alignment horizontal="right" vertical="center"/>
    </xf>
    <xf numFmtId="165" fontId="3" fillId="4" borderId="1" xfId="0" applyNumberFormat="1" applyFont="1" applyFill="1" applyBorder="1" applyAlignment="1">
      <alignment horizontal="right" vertical="center"/>
    </xf>
    <xf numFmtId="0" fontId="0" fillId="4" borderId="1" xfId="0" applyFill="1" applyBorder="1"/>
    <xf numFmtId="164" fontId="27" fillId="7" borderId="1" xfId="0" applyNumberFormat="1" applyFont="1" applyFill="1" applyBorder="1" applyAlignment="1">
      <alignment horizontal="right" vertical="center"/>
    </xf>
    <xf numFmtId="165" fontId="27" fillId="7" borderId="1" xfId="0" applyNumberFormat="1" applyFont="1" applyFill="1" applyBorder="1" applyAlignment="1">
      <alignment horizontal="right" vertical="center"/>
    </xf>
    <xf numFmtId="0" fontId="0" fillId="7" borderId="1" xfId="0" applyFill="1" applyBorder="1"/>
    <xf numFmtId="164" fontId="16" fillId="3" borderId="1" xfId="0" applyNumberFormat="1" applyFont="1" applyFill="1" applyBorder="1" applyAlignment="1">
      <alignment horizontal="right" vertical="center"/>
    </xf>
    <xf numFmtId="165" fontId="16" fillId="3" borderId="1" xfId="0" applyNumberFormat="1" applyFont="1" applyFill="1" applyBorder="1" applyAlignment="1">
      <alignment horizontal="right" vertical="center"/>
    </xf>
    <xf numFmtId="0" fontId="0" fillId="3" borderId="1" xfId="0" applyFill="1" applyBorder="1"/>
    <xf numFmtId="164" fontId="28" fillId="8" borderId="1" xfId="0" applyNumberFormat="1" applyFont="1" applyFill="1" applyBorder="1" applyAlignment="1">
      <alignment horizontal="right" vertical="center"/>
    </xf>
    <xf numFmtId="165" fontId="28" fillId="8" borderId="1" xfId="0" applyNumberFormat="1" applyFont="1" applyFill="1" applyBorder="1" applyAlignment="1">
      <alignment horizontal="right" vertical="center"/>
    </xf>
    <xf numFmtId="0" fontId="0" fillId="8" borderId="1" xfId="0" applyFill="1" applyBorder="1"/>
    <xf numFmtId="164" fontId="29" fillId="3" borderId="5" xfId="0" applyNumberFormat="1" applyFont="1" applyFill="1" applyBorder="1" applyAlignment="1">
      <alignment horizontal="right" vertical="center"/>
    </xf>
    <xf numFmtId="165" fontId="29" fillId="3" borderId="5" xfId="0" applyNumberFormat="1" applyFont="1" applyFill="1" applyBorder="1" applyAlignment="1">
      <alignment horizontal="right" vertical="center"/>
    </xf>
    <xf numFmtId="0" fontId="0" fillId="3" borderId="5" xfId="0" applyFill="1" applyBorder="1"/>
    <xf numFmtId="0" fontId="0" fillId="6" borderId="1" xfId="0" applyFill="1" applyBorder="1"/>
    <xf numFmtId="166" fontId="22" fillId="15" borderId="4" xfId="0" applyNumberFormat="1" applyFont="1" applyFill="1" applyBorder="1" applyAlignment="1">
      <alignment horizontal="left" vertical="center"/>
    </xf>
    <xf numFmtId="0" fontId="30" fillId="20" borderId="4" xfId="0" applyFont="1" applyFill="1" applyBorder="1" applyAlignment="1">
      <alignment horizontal="left" vertical="center"/>
    </xf>
    <xf numFmtId="0" fontId="31" fillId="20" borderId="4" xfId="0" applyFont="1" applyFill="1" applyBorder="1" applyAlignment="1">
      <alignment horizontal="center" vertical="center"/>
    </xf>
    <xf numFmtId="164" fontId="30" fillId="20" borderId="4" xfId="0" applyNumberFormat="1" applyFont="1" applyFill="1" applyBorder="1" applyAlignment="1">
      <alignment horizontal="right" vertical="center"/>
    </xf>
    <xf numFmtId="164" fontId="30" fillId="21" borderId="4" xfId="0" applyNumberFormat="1" applyFont="1" applyFill="1" applyBorder="1" applyAlignment="1">
      <alignment horizontal="right" vertical="center"/>
    </xf>
    <xf numFmtId="0" fontId="32" fillId="11" borderId="3" xfId="0" applyFont="1" applyFill="1" applyBorder="1" applyAlignment="1">
      <alignment horizontal="left" vertical="center"/>
    </xf>
    <xf numFmtId="0" fontId="0" fillId="11" borderId="3" xfId="0" applyFill="1" applyBorder="1"/>
    <xf numFmtId="164" fontId="32" fillId="11" borderId="3" xfId="0" applyNumberFormat="1" applyFont="1" applyFill="1" applyBorder="1" applyAlignment="1">
      <alignment horizontal="right" vertical="center"/>
    </xf>
    <xf numFmtId="164" fontId="32" fillId="12" borderId="3" xfId="0" applyNumberFormat="1" applyFont="1" applyFill="1" applyBorder="1" applyAlignment="1">
      <alignment horizontal="right" vertical="center"/>
    </xf>
    <xf numFmtId="0" fontId="33" fillId="15" borderId="4" xfId="0" applyFont="1" applyFill="1" applyBorder="1" applyAlignment="1">
      <alignment horizontal="left" vertical="center"/>
    </xf>
    <xf numFmtId="0" fontId="0" fillId="15" borderId="4" xfId="0" applyFill="1" applyBorder="1"/>
    <xf numFmtId="0" fontId="31" fillId="18" borderId="4" xfId="0" applyFont="1" applyFill="1" applyBorder="1" applyAlignment="1">
      <alignment horizontal="left" vertical="center"/>
    </xf>
    <xf numFmtId="0" fontId="0" fillId="18" borderId="4" xfId="0" applyFill="1" applyBorder="1"/>
    <xf numFmtId="165" fontId="23" fillId="18" borderId="4" xfId="0" applyNumberFormat="1" applyFont="1" applyFill="1" applyBorder="1" applyAlignment="1">
      <alignment horizontal="right" vertical="center"/>
    </xf>
    <xf numFmtId="0" fontId="20" fillId="0" borderId="0" xfId="0" applyFont="1" applyAlignment="1">
      <alignment horizontal="left" vertical="center"/>
    </xf>
    <xf numFmtId="0" fontId="3"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6"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14" fillId="6" borderId="1" xfId="0" applyNumberFormat="1" applyFont="1" applyFill="1" applyBorder="1" applyAlignment="1">
      <alignment horizontal="left" vertical="center"/>
    </xf>
    <xf numFmtId="164" fontId="14" fillId="3" borderId="1" xfId="0" applyNumberFormat="1" applyFont="1" applyFill="1" applyBorder="1" applyAlignment="1">
      <alignment horizontal="right" vertical="center"/>
    </xf>
    <xf numFmtId="164" fontId="14" fillId="7" borderId="1" xfId="0" applyNumberFormat="1" applyFont="1" applyFill="1" applyBorder="1" applyAlignment="1">
      <alignment horizontal="right" vertical="center"/>
    </xf>
    <xf numFmtId="167" fontId="14" fillId="4" borderId="1" xfId="0" applyNumberFormat="1" applyFont="1" applyFill="1" applyBorder="1" applyAlignment="1">
      <alignment horizontal="right" vertical="center"/>
    </xf>
    <xf numFmtId="49" fontId="37" fillId="4" borderId="1" xfId="0" applyNumberFormat="1" applyFont="1" applyFill="1" applyBorder="1" applyAlignment="1">
      <alignment horizontal="left" vertical="center"/>
    </xf>
    <xf numFmtId="49" fontId="14" fillId="6" borderId="1" xfId="0" applyNumberFormat="1" applyFont="1" applyFill="1" applyBorder="1" applyAlignment="1">
      <alignment horizontal="left" vertical="center" wrapText="1"/>
    </xf>
    <xf numFmtId="49" fontId="14" fillId="4" borderId="1" xfId="0" applyNumberFormat="1" applyFont="1" applyFill="1" applyBorder="1" applyAlignment="1">
      <alignment horizontal="left" vertical="center"/>
    </xf>
    <xf numFmtId="49" fontId="38" fillId="4" borderId="1" xfId="0" applyNumberFormat="1" applyFont="1" applyFill="1" applyBorder="1" applyAlignment="1">
      <alignment horizontal="left" vertical="center"/>
    </xf>
    <xf numFmtId="0" fontId="14" fillId="3" borderId="1" xfId="0" applyFont="1" applyFill="1" applyBorder="1" applyAlignment="1">
      <alignment horizontal="right" vertical="center"/>
    </xf>
    <xf numFmtId="0" fontId="14" fillId="7" borderId="1" xfId="0" applyFont="1" applyFill="1" applyBorder="1" applyAlignment="1">
      <alignment horizontal="right" vertical="center"/>
    </xf>
    <xf numFmtId="0" fontId="3" fillId="8" borderId="1" xfId="0" applyFont="1" applyFill="1" applyBorder="1" applyAlignment="1">
      <alignment horizontal="center" vertical="center" wrapText="1"/>
    </xf>
    <xf numFmtId="0" fontId="14" fillId="6" borderId="1" xfId="0" applyFont="1" applyFill="1" applyBorder="1" applyAlignment="1">
      <alignment horizontal="left" vertical="center"/>
    </xf>
    <xf numFmtId="164" fontId="14" fillId="8" borderId="1" xfId="0" applyNumberFormat="1" applyFont="1" applyFill="1" applyBorder="1" applyAlignment="1">
      <alignment horizontal="right" vertical="center"/>
    </xf>
    <xf numFmtId="164" fontId="14" fillId="6" borderId="1" xfId="0" applyNumberFormat="1" applyFont="1" applyFill="1" applyBorder="1" applyAlignment="1">
      <alignment horizontal="right"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14"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4" fillId="8" borderId="1" xfId="0" applyFont="1" applyFill="1" applyBorder="1" applyAlignment="1">
      <alignment horizontal="right" vertical="center"/>
    </xf>
    <xf numFmtId="0" fontId="14" fillId="6" borderId="1" xfId="0" applyFont="1" applyFill="1" applyBorder="1" applyAlignment="1">
      <alignment horizontal="right" vertical="center"/>
    </xf>
    <xf numFmtId="164" fontId="16" fillId="3" borderId="1" xfId="0" applyNumberFormat="1" applyFont="1" applyFill="1" applyBorder="1"/>
    <xf numFmtId="0" fontId="3" fillId="7" borderId="1" xfId="0" applyFont="1" applyFill="1" applyBorder="1" applyAlignment="1">
      <alignment horizontal="center" vertical="center" wrapText="1"/>
    </xf>
    <xf numFmtId="0" fontId="14" fillId="7" borderId="1" xfId="0" applyFont="1" applyFill="1" applyBorder="1"/>
    <xf numFmtId="164" fontId="0" fillId="6" borderId="1" xfId="0" applyNumberFormat="1" applyFill="1" applyBorder="1" applyAlignment="1">
      <alignment horizontal="right" vertical="center"/>
    </xf>
    <xf numFmtId="164" fontId="4" fillId="16" borderId="1" xfId="0" applyNumberFormat="1" applyFont="1" applyFill="1" applyBorder="1" applyAlignment="1">
      <alignment horizontal="right" vertical="center"/>
    </xf>
    <xf numFmtId="165" fontId="0" fillId="6" borderId="1" xfId="0" applyNumberFormat="1" applyFill="1" applyBorder="1" applyAlignment="1">
      <alignment horizontal="right" vertical="center"/>
    </xf>
    <xf numFmtId="164" fontId="0" fillId="4" borderId="1" xfId="0" applyNumberFormat="1" applyFill="1" applyBorder="1" applyAlignment="1">
      <alignment horizontal="right" vertical="center"/>
    </xf>
    <xf numFmtId="165" fontId="0" fillId="4" borderId="1" xfId="0" applyNumberFormat="1" applyFill="1" applyBorder="1" applyAlignment="1">
      <alignment horizontal="right" vertical="center"/>
    </xf>
    <xf numFmtId="0" fontId="27" fillId="7" borderId="1" xfId="0" applyFont="1" applyFill="1" applyBorder="1"/>
    <xf numFmtId="0" fontId="3" fillId="4" borderId="1" xfId="0" applyFont="1" applyFill="1" applyBorder="1"/>
    <xf numFmtId="0" fontId="13" fillId="3" borderId="1" xfId="0" applyFont="1" applyFill="1" applyBorder="1"/>
    <xf numFmtId="0" fontId="14" fillId="6" borderId="1" xfId="0" applyFont="1" applyFill="1" applyBorder="1"/>
    <xf numFmtId="0" fontId="3" fillId="6" borderId="1" xfId="0" applyFont="1" applyFill="1" applyBorder="1"/>
    <xf numFmtId="0" fontId="36" fillId="7" borderId="1" xfId="0" applyFont="1" applyFill="1" applyBorder="1" applyAlignment="1">
      <alignment horizontal="center" vertical="center"/>
    </xf>
    <xf numFmtId="0" fontId="38" fillId="6" borderId="1" xfId="0" applyFont="1" applyFill="1" applyBorder="1" applyAlignment="1">
      <alignment horizontal="left" vertical="center"/>
    </xf>
    <xf numFmtId="0" fontId="38" fillId="6" borderId="1" xfId="0" applyFont="1" applyFill="1" applyBorder="1" applyAlignment="1">
      <alignment horizontal="center" vertical="center"/>
    </xf>
    <xf numFmtId="0" fontId="38" fillId="6" borderId="1" xfId="0" applyFont="1" applyFill="1" applyBorder="1" applyAlignment="1">
      <alignment horizontal="left" vertical="center" wrapText="1"/>
    </xf>
    <xf numFmtId="0" fontId="32" fillId="10" borderId="0" xfId="0" applyFont="1" applyFill="1" applyAlignment="1">
      <alignment horizontal="left" vertical="center"/>
    </xf>
    <xf numFmtId="0" fontId="42" fillId="6" borderId="0" xfId="0" applyFont="1" applyFill="1" applyAlignment="1">
      <alignment horizontal="left" vertical="top" wrapText="1"/>
    </xf>
    <xf numFmtId="0" fontId="42" fillId="3" borderId="0" xfId="0" applyFont="1" applyFill="1" applyAlignment="1">
      <alignment horizontal="left" vertical="top" wrapText="1"/>
    </xf>
    <xf numFmtId="0" fontId="42" fillId="4" borderId="0" xfId="0" applyFont="1" applyFill="1" applyAlignment="1">
      <alignment horizontal="left" vertical="top" wrapText="1"/>
    </xf>
    <xf numFmtId="0" fontId="43" fillId="0" borderId="0" xfId="0" applyFont="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center"/>
    </xf>
    <xf numFmtId="0" fontId="4" fillId="5" borderId="1" xfId="0" applyFont="1" applyFill="1" applyBorder="1" applyAlignment="1">
      <alignment horizontal="left" vertical="center"/>
    </xf>
    <xf numFmtId="0" fontId="5" fillId="6" borderId="0" xfId="0" applyFont="1" applyFill="1" applyAlignment="1">
      <alignment horizontal="left" vertical="center"/>
    </xf>
    <xf numFmtId="0" fontId="6" fillId="2" borderId="0" xfId="0" applyFont="1" applyFill="1" applyAlignment="1">
      <alignment horizontal="left" vertical="center"/>
    </xf>
    <xf numFmtId="0" fontId="7" fillId="2"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9" fillId="9" borderId="1" xfId="0" applyFont="1" applyFill="1" applyBorder="1" applyAlignment="1">
      <alignment horizontal="left" vertical="center" wrapText="1"/>
    </xf>
    <xf numFmtId="0" fontId="6" fillId="10" borderId="0" xfId="0" applyFont="1" applyFill="1" applyAlignment="1">
      <alignment horizontal="left" vertical="center"/>
    </xf>
    <xf numFmtId="0" fontId="34" fillId="2" borderId="0" xfId="0" applyFont="1" applyFill="1" applyAlignment="1">
      <alignment horizontal="left" vertical="center"/>
    </xf>
    <xf numFmtId="0" fontId="35" fillId="3" borderId="0" xfId="0" applyFont="1" applyFill="1" applyAlignment="1">
      <alignment horizontal="left" vertical="center"/>
    </xf>
    <xf numFmtId="0" fontId="16" fillId="3" borderId="1" xfId="0" applyFont="1" applyFill="1" applyBorder="1"/>
    <xf numFmtId="0" fontId="34" fillId="10" borderId="0" xfId="0" applyFont="1" applyFill="1" applyAlignment="1">
      <alignment horizontal="left" vertical="center"/>
    </xf>
    <xf numFmtId="0" fontId="39" fillId="7" borderId="0" xfId="0" applyFont="1" applyFill="1" applyAlignment="1">
      <alignment horizontal="left" vertical="center"/>
    </xf>
    <xf numFmtId="0" fontId="15" fillId="2" borderId="0" xfId="0" applyFont="1" applyFill="1" applyAlignment="1">
      <alignment horizontal="left" vertical="center"/>
    </xf>
    <xf numFmtId="0" fontId="35" fillId="3" borderId="1" xfId="0" applyFont="1" applyFill="1" applyBorder="1"/>
    <xf numFmtId="164" fontId="16" fillId="3" borderId="1" xfId="0" applyNumberFormat="1" applyFont="1" applyFill="1" applyBorder="1" applyAlignment="1">
      <alignment horizontal="right" vertical="center"/>
    </xf>
    <xf numFmtId="164" fontId="40" fillId="7" borderId="1" xfId="0" applyNumberFormat="1" applyFont="1" applyFill="1" applyBorder="1" applyAlignment="1">
      <alignment horizontal="right" vertical="center"/>
    </xf>
    <xf numFmtId="164" fontId="28" fillId="8" borderId="1" xfId="0" applyNumberFormat="1" applyFont="1" applyFill="1" applyBorder="1" applyAlignment="1">
      <alignment horizontal="right" vertical="center"/>
    </xf>
    <xf numFmtId="164" fontId="41" fillId="9" borderId="1" xfId="0" applyNumberFormat="1" applyFont="1" applyFill="1" applyBorder="1" applyAlignment="1">
      <alignment horizontal="right" vertical="center"/>
    </xf>
    <xf numFmtId="164" fontId="23" fillId="16" borderId="6"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8F5E9"/>
      <rgbColor rgb="FFFF00FF"/>
      <rgbColor rgb="FF00FFFF"/>
      <rgbColor rgb="FF800000"/>
      <rgbColor rgb="FF196B23"/>
      <rgbColor rgb="FF000080"/>
      <rgbColor rgb="FF5F5E5A"/>
      <rgbColor rgb="FF800080"/>
      <rgbColor rgb="FF0F6E56"/>
      <rgbColor rgb="FFCCCCCC"/>
      <rgbColor rgb="FF888888"/>
      <rgbColor rgb="FFF5F5F5"/>
      <rgbColor rgb="FF555555"/>
      <rgbColor rgb="FFFFF9C4"/>
      <rgbColor rgb="FFE1F5EE"/>
      <rgbColor rgb="FF660066"/>
      <rgbColor rgb="FFFF8080"/>
      <rgbColor rgb="FF1565C0"/>
      <rgbColor rgb="FFBBDEFB"/>
      <rgbColor rgb="FF000080"/>
      <rgbColor rgb="FFFF00FF"/>
      <rgbColor rgb="FFE8F7EE"/>
      <rgbColor rgb="FF00FFFF"/>
      <rgbColor rgb="FF800080"/>
      <rgbColor rgb="FF800000"/>
      <rgbColor rgb="FF1A6B3A"/>
      <rgbColor rgb="FF0000FF"/>
      <rgbColor rgb="FF00CCFF"/>
      <rgbColor rgb="FFE3F2FD"/>
      <rgbColor rgb="FFC8E6C9"/>
      <rgbColor rgb="FFFAEEDA"/>
      <rgbColor rgb="FFE8E7F8"/>
      <rgbColor rgb="FFF1EFE8"/>
      <rgbColor rgb="FFEEEDFE"/>
      <rgbColor rgb="FFD3D1C7"/>
      <rgbColor rgb="FF3366FF"/>
      <rgbColor rgb="FF33CCCC"/>
      <rgbColor rgb="FF99CC00"/>
      <rgbColor rgb="FFF8F8F8"/>
      <rgbColor rgb="FFFF9900"/>
      <rgbColor rgb="FFFF6600"/>
      <rgbColor rgb="FF666666"/>
      <rgbColor rgb="FF969696"/>
      <rgbColor rgb="FF003366"/>
      <rgbColor rgb="FF339966"/>
      <rgbColor rgb="FF003300"/>
      <rgbColor rgb="FF444444"/>
      <rgbColor rgb="FF854F0B"/>
      <rgbColor rgb="FF993366"/>
      <rgbColor rgb="FF534AB7"/>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6"/>
  <sheetViews>
    <sheetView showGridLines="0" tabSelected="1" zoomScaleNormal="100" workbookViewId="0">
      <selection activeCell="K22" sqref="K22"/>
    </sheetView>
  </sheetViews>
  <sheetFormatPr defaultColWidth="8.7109375" defaultRowHeight="15" x14ac:dyDescent="0.25"/>
  <cols>
    <col min="1" max="1" width="3" customWidth="1"/>
    <col min="2" max="2" width="28" customWidth="1"/>
    <col min="3" max="7" width="18" customWidth="1"/>
    <col min="8" max="8" width="28" customWidth="1"/>
  </cols>
  <sheetData>
    <row r="1" spans="2:8" ht="37.5" customHeight="1" x14ac:dyDescent="0.25">
      <c r="B1" s="118" t="s">
        <v>0</v>
      </c>
      <c r="C1" s="118"/>
      <c r="D1" s="118"/>
      <c r="E1" s="118"/>
      <c r="F1" s="118"/>
      <c r="G1" s="118"/>
      <c r="H1" s="118"/>
    </row>
    <row r="2" spans="2:8" ht="21.75" customHeight="1" x14ac:dyDescent="0.25">
      <c r="B2" s="119" t="s">
        <v>1</v>
      </c>
      <c r="C2" s="119"/>
      <c r="D2" s="119"/>
      <c r="E2" s="119"/>
      <c r="F2" s="119"/>
      <c r="G2" s="119"/>
      <c r="H2" s="119"/>
    </row>
    <row r="4" spans="2:8" ht="18" customHeight="1" x14ac:dyDescent="0.25">
      <c r="B4" s="1" t="s">
        <v>2</v>
      </c>
      <c r="C4" s="120"/>
      <c r="D4" s="120"/>
      <c r="E4" s="120"/>
      <c r="F4" s="121" t="s">
        <v>3</v>
      </c>
      <c r="G4" s="121"/>
      <c r="H4" s="121"/>
    </row>
    <row r="5" spans="2:8" ht="18" customHeight="1" x14ac:dyDescent="0.25">
      <c r="B5" s="1" t="s">
        <v>4</v>
      </c>
      <c r="C5" s="120"/>
      <c r="D5" s="120"/>
      <c r="E5" s="120"/>
      <c r="F5" s="121" t="s">
        <v>5</v>
      </c>
      <c r="G5" s="121"/>
      <c r="H5" s="121"/>
    </row>
    <row r="6" spans="2:8" ht="18" customHeight="1" x14ac:dyDescent="0.25">
      <c r="B6" s="1" t="s">
        <v>6</v>
      </c>
      <c r="C6" s="120"/>
      <c r="D6" s="120"/>
      <c r="E6" s="120"/>
      <c r="F6" s="121" t="s">
        <v>7</v>
      </c>
      <c r="G6" s="121"/>
      <c r="H6" s="121"/>
    </row>
    <row r="7" spans="2:8" ht="18" customHeight="1" x14ac:dyDescent="0.25">
      <c r="B7" s="1" t="s">
        <v>8</v>
      </c>
      <c r="C7" s="120"/>
      <c r="D7" s="120"/>
      <c r="E7" s="120"/>
      <c r="F7" s="121" t="s">
        <v>9</v>
      </c>
      <c r="G7" s="121"/>
      <c r="H7" s="121"/>
    </row>
    <row r="8" spans="2:8" ht="18" customHeight="1" x14ac:dyDescent="0.25">
      <c r="B8" s="1" t="s">
        <v>10</v>
      </c>
      <c r="C8" s="120"/>
      <c r="D8" s="120"/>
      <c r="E8" s="120"/>
      <c r="F8" s="121"/>
      <c r="G8" s="121"/>
      <c r="H8" s="121"/>
    </row>
    <row r="9" spans="2:8" ht="18" customHeight="1" x14ac:dyDescent="0.25">
      <c r="B9" s="1" t="s">
        <v>11</v>
      </c>
      <c r="C9" s="120"/>
      <c r="D9" s="120"/>
      <c r="E9" s="120"/>
      <c r="F9" s="121" t="s">
        <v>12</v>
      </c>
      <c r="G9" s="121"/>
      <c r="H9" s="121"/>
    </row>
    <row r="10" spans="2:8" ht="18" customHeight="1" x14ac:dyDescent="0.25">
      <c r="B10" s="1" t="s">
        <v>13</v>
      </c>
      <c r="C10" s="120"/>
      <c r="D10" s="120"/>
      <c r="E10" s="120"/>
      <c r="F10" s="121" t="s">
        <v>14</v>
      </c>
      <c r="G10" s="121"/>
      <c r="H10" s="121"/>
    </row>
    <row r="11" spans="2:8" ht="18" customHeight="1" x14ac:dyDescent="0.25">
      <c r="B11" s="1" t="s">
        <v>15</v>
      </c>
      <c r="C11" s="120"/>
      <c r="D11" s="120"/>
      <c r="E11" s="120"/>
      <c r="F11" s="121" t="s">
        <v>16</v>
      </c>
      <c r="G11" s="121"/>
      <c r="H11" s="121"/>
    </row>
    <row r="13" spans="2:8" ht="19.5" customHeight="1" x14ac:dyDescent="0.25">
      <c r="B13" s="122" t="s">
        <v>17</v>
      </c>
      <c r="C13" s="122"/>
      <c r="D13" s="122"/>
      <c r="E13" s="122"/>
      <c r="F13" s="122"/>
      <c r="G13" s="122"/>
      <c r="H13" s="122"/>
    </row>
    <row r="14" spans="2:8" ht="43.5" customHeight="1" x14ac:dyDescent="0.25">
      <c r="B14" s="2" t="s">
        <v>18</v>
      </c>
      <c r="C14" s="2" t="s">
        <v>19</v>
      </c>
      <c r="D14" s="2" t="s">
        <v>20</v>
      </c>
      <c r="E14" s="123" t="s">
        <v>21</v>
      </c>
      <c r="F14" s="123"/>
      <c r="G14" s="123"/>
      <c r="H14" s="123"/>
    </row>
    <row r="15" spans="2:8" ht="43.5" customHeight="1" x14ac:dyDescent="0.25">
      <c r="B15" s="3" t="s">
        <v>22</v>
      </c>
      <c r="C15" s="3" t="s">
        <v>23</v>
      </c>
      <c r="D15" s="3" t="s">
        <v>24</v>
      </c>
      <c r="E15" s="124" t="s">
        <v>25</v>
      </c>
      <c r="F15" s="124"/>
      <c r="G15" s="124"/>
      <c r="H15" s="124"/>
    </row>
    <row r="16" spans="2:8" ht="43.5" customHeight="1" x14ac:dyDescent="0.25">
      <c r="B16" s="4" t="s">
        <v>26</v>
      </c>
      <c r="C16" s="4" t="s">
        <v>27</v>
      </c>
      <c r="D16" s="4" t="s">
        <v>28</v>
      </c>
      <c r="E16" s="125" t="s">
        <v>29</v>
      </c>
      <c r="F16" s="125"/>
      <c r="G16" s="125"/>
      <c r="H16" s="125"/>
    </row>
    <row r="17" spans="2:8" ht="43.5" customHeight="1" x14ac:dyDescent="0.25">
      <c r="B17" s="5" t="s">
        <v>30</v>
      </c>
      <c r="C17" s="5" t="s">
        <v>31</v>
      </c>
      <c r="D17" s="5" t="s">
        <v>32</v>
      </c>
      <c r="E17" s="126" t="s">
        <v>33</v>
      </c>
      <c r="F17" s="126"/>
      <c r="G17" s="126"/>
      <c r="H17" s="126"/>
    </row>
    <row r="18" spans="2:8" ht="43.5" customHeight="1" x14ac:dyDescent="0.25">
      <c r="B18" s="6" t="s">
        <v>34</v>
      </c>
      <c r="C18" s="6" t="s">
        <v>35</v>
      </c>
      <c r="D18" s="6" t="s">
        <v>36</v>
      </c>
      <c r="E18" s="129" t="s">
        <v>37</v>
      </c>
      <c r="F18" s="129"/>
      <c r="G18" s="129"/>
      <c r="H18" s="129"/>
    </row>
    <row r="20" spans="2:8" ht="19.5" customHeight="1" x14ac:dyDescent="0.25">
      <c r="B20" s="130" t="s">
        <v>38</v>
      </c>
      <c r="C20" s="130"/>
      <c r="D20" s="130"/>
      <c r="E20" s="130"/>
      <c r="F20" s="130"/>
      <c r="G20" s="130"/>
      <c r="H20" s="130"/>
    </row>
    <row r="21" spans="2:8" ht="31.5" customHeight="1" x14ac:dyDescent="0.25">
      <c r="B21" s="7" t="s">
        <v>39</v>
      </c>
      <c r="C21" s="128" t="s">
        <v>40</v>
      </c>
      <c r="D21" s="128"/>
      <c r="E21" s="128"/>
      <c r="F21" s="128"/>
      <c r="G21" s="128"/>
      <c r="H21" s="128"/>
    </row>
    <row r="22" spans="2:8" ht="31.5" customHeight="1" x14ac:dyDescent="0.25">
      <c r="B22" s="7" t="s">
        <v>41</v>
      </c>
      <c r="C22" s="127" t="s">
        <v>42</v>
      </c>
      <c r="D22" s="127"/>
      <c r="E22" s="127"/>
      <c r="F22" s="127"/>
      <c r="G22" s="127"/>
      <c r="H22" s="127"/>
    </row>
    <row r="23" spans="2:8" ht="31.5" customHeight="1" x14ac:dyDescent="0.25">
      <c r="B23" s="7" t="s">
        <v>43</v>
      </c>
      <c r="C23" s="128" t="s">
        <v>44</v>
      </c>
      <c r="D23" s="128"/>
      <c r="E23" s="128"/>
      <c r="F23" s="128"/>
      <c r="G23" s="128"/>
      <c r="H23" s="128"/>
    </row>
    <row r="24" spans="2:8" ht="31.5" customHeight="1" x14ac:dyDescent="0.25">
      <c r="B24" s="7" t="s">
        <v>45</v>
      </c>
      <c r="C24" s="127" t="s">
        <v>46</v>
      </c>
      <c r="D24" s="127"/>
      <c r="E24" s="127"/>
      <c r="F24" s="127"/>
      <c r="G24" s="127"/>
      <c r="H24" s="127"/>
    </row>
    <row r="25" spans="2:8" ht="31.5" customHeight="1" x14ac:dyDescent="0.25">
      <c r="B25" s="7" t="s">
        <v>47</v>
      </c>
      <c r="C25" s="128" t="s">
        <v>48</v>
      </c>
      <c r="D25" s="128"/>
      <c r="E25" s="128"/>
      <c r="F25" s="128"/>
      <c r="G25" s="128"/>
      <c r="H25" s="128"/>
    </row>
    <row r="26" spans="2:8" ht="31.5" customHeight="1" x14ac:dyDescent="0.25">
      <c r="B26" s="7" t="s">
        <v>49</v>
      </c>
      <c r="C26" s="127" t="s">
        <v>50</v>
      </c>
      <c r="D26" s="127"/>
      <c r="E26" s="127"/>
      <c r="F26" s="127"/>
      <c r="G26" s="127"/>
      <c r="H26" s="127"/>
    </row>
  </sheetData>
  <mergeCells count="31">
    <mergeCell ref="C24:H24"/>
    <mergeCell ref="C25:H25"/>
    <mergeCell ref="C26:H26"/>
    <mergeCell ref="E18:H18"/>
    <mergeCell ref="B20:H20"/>
    <mergeCell ref="C21:H21"/>
    <mergeCell ref="C22:H22"/>
    <mergeCell ref="C23:H23"/>
    <mergeCell ref="B13:H13"/>
    <mergeCell ref="E14:H14"/>
    <mergeCell ref="E15:H15"/>
    <mergeCell ref="E16:H16"/>
    <mergeCell ref="E17:H17"/>
    <mergeCell ref="C9:E9"/>
    <mergeCell ref="F9:H9"/>
    <mergeCell ref="C10:E10"/>
    <mergeCell ref="F10:H10"/>
    <mergeCell ref="C11:E11"/>
    <mergeCell ref="F11:H11"/>
    <mergeCell ref="C6:E6"/>
    <mergeCell ref="F6:H6"/>
    <mergeCell ref="C7:E7"/>
    <mergeCell ref="F7:H7"/>
    <mergeCell ref="C8:E8"/>
    <mergeCell ref="F8:H8"/>
    <mergeCell ref="B1:H1"/>
    <mergeCell ref="B2:H2"/>
    <mergeCell ref="C4:E4"/>
    <mergeCell ref="F4:H4"/>
    <mergeCell ref="C5:E5"/>
    <mergeCell ref="F5:H5"/>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2"/>
  <sheetViews>
    <sheetView showGridLines="0" zoomScaleNormal="100" workbookViewId="0">
      <pane xSplit="3" ySplit="6" topLeftCell="D169" activePane="bottomRight" state="frozen"/>
      <selection pane="topRight" activeCell="D1" sqref="D1"/>
      <selection pane="bottomLeft" activeCell="A7" sqref="A7"/>
      <selection pane="bottomRight" activeCell="N58" sqref="N58"/>
    </sheetView>
  </sheetViews>
  <sheetFormatPr defaultColWidth="8.7109375" defaultRowHeight="15" x14ac:dyDescent="0.25"/>
  <cols>
    <col min="1" max="1" width="2" customWidth="1"/>
    <col min="2" max="2" width="50.85546875" customWidth="1"/>
    <col min="3" max="3" width="10" customWidth="1"/>
    <col min="4" max="7" width="15" customWidth="1"/>
    <col min="8" max="8" width="12" customWidth="1"/>
    <col min="9" max="9" width="16" customWidth="1"/>
    <col min="10" max="10" width="15" customWidth="1"/>
    <col min="11" max="11" width="3" customWidth="1"/>
    <col min="12" max="12" width="14" customWidth="1"/>
    <col min="13" max="13" width="10" customWidth="1"/>
    <col min="14" max="14" width="46.7109375" customWidth="1"/>
  </cols>
  <sheetData>
    <row r="1" spans="1:14" ht="37.5" customHeight="1" x14ac:dyDescent="0.25">
      <c r="B1" s="136" t="s">
        <v>0</v>
      </c>
      <c r="C1" s="136"/>
      <c r="D1" s="136"/>
      <c r="E1" s="136"/>
    </row>
    <row r="2" spans="1:14" ht="19.5" customHeight="1" x14ac:dyDescent="0.25">
      <c r="B2" s="9" t="str">
        <f>IF(COVER!C4="","[Project Name — complete COVER tab]",COVER!C4&amp;"   |   "&amp; COVER!C6&amp;"   |   ALDi Start: "&amp;TEXT(COVER!C10,"mm/dd/yyyy"))</f>
        <v>[Project Name — complete COVER tab]</v>
      </c>
    </row>
    <row r="3" spans="1:14" ht="6" customHeight="1" x14ac:dyDescent="0.25"/>
    <row r="4" spans="1:14" ht="36" customHeight="1" x14ac:dyDescent="0.25">
      <c r="B4" s="10" t="s">
        <v>51</v>
      </c>
      <c r="C4" s="10" t="s">
        <v>52</v>
      </c>
      <c r="D4" s="10" t="s">
        <v>53</v>
      </c>
      <c r="E4" s="10" t="s">
        <v>54</v>
      </c>
      <c r="F4" s="10" t="s">
        <v>55</v>
      </c>
      <c r="G4" s="10" t="s">
        <v>56</v>
      </c>
      <c r="H4" s="10" t="s">
        <v>57</v>
      </c>
      <c r="I4" s="11" t="s">
        <v>58</v>
      </c>
      <c r="J4" s="11" t="s">
        <v>59</v>
      </c>
      <c r="K4" s="11" t="s">
        <v>60</v>
      </c>
      <c r="L4" s="12" t="s">
        <v>61</v>
      </c>
      <c r="N4" s="13" t="s">
        <v>62</v>
      </c>
    </row>
    <row r="5" spans="1:14" ht="18" customHeight="1" x14ac:dyDescent="0.25">
      <c r="B5" s="14" t="s">
        <v>51</v>
      </c>
      <c r="C5" s="14" t="s">
        <v>52</v>
      </c>
      <c r="D5" s="14" t="s">
        <v>63</v>
      </c>
      <c r="E5" s="14" t="s">
        <v>63</v>
      </c>
      <c r="F5" s="14" t="s">
        <v>63</v>
      </c>
      <c r="G5" s="14" t="s">
        <v>63</v>
      </c>
      <c r="H5" s="14" t="s">
        <v>64</v>
      </c>
      <c r="I5" s="15" t="s">
        <v>63</v>
      </c>
      <c r="J5" s="15" t="s">
        <v>63</v>
      </c>
      <c r="K5" s="15" t="s">
        <v>64</v>
      </c>
      <c r="L5" s="16" t="s">
        <v>64</v>
      </c>
      <c r="M5" s="16" t="s">
        <v>65</v>
      </c>
      <c r="N5" s="16" t="s">
        <v>66</v>
      </c>
    </row>
    <row r="6" spans="1:14" ht="13.5" customHeight="1" x14ac:dyDescent="0.25">
      <c r="B6" s="17" t="s">
        <v>67</v>
      </c>
    </row>
    <row r="7" spans="1:14" ht="19.5" customHeight="1" x14ac:dyDescent="0.25">
      <c r="A7" s="18"/>
      <c r="B7" s="19" t="s">
        <v>68</v>
      </c>
      <c r="C7" s="20"/>
      <c r="D7" s="20"/>
      <c r="E7" s="20"/>
      <c r="F7" s="20"/>
      <c r="G7" s="20"/>
      <c r="H7" s="20"/>
      <c r="I7" s="20"/>
      <c r="J7" s="20"/>
      <c r="K7" s="20"/>
    </row>
    <row r="8" spans="1:14" ht="13.5" customHeight="1" x14ac:dyDescent="0.25">
      <c r="A8" s="18"/>
      <c r="B8" s="21" t="s">
        <v>69</v>
      </c>
      <c r="C8" s="21"/>
      <c r="D8" s="21"/>
      <c r="E8" s="21"/>
      <c r="F8" s="21"/>
      <c r="G8" s="21"/>
      <c r="H8" s="21"/>
      <c r="I8" s="21"/>
      <c r="J8" s="21"/>
      <c r="K8" s="21"/>
    </row>
    <row r="9" spans="1:14" ht="15.75" customHeight="1" x14ac:dyDescent="0.25">
      <c r="A9" s="18"/>
      <c r="B9" s="22" t="s">
        <v>70</v>
      </c>
      <c r="C9" s="23" t="s">
        <v>71</v>
      </c>
      <c r="D9" s="24"/>
      <c r="E9" s="25"/>
      <c r="F9" s="25"/>
      <c r="G9" s="25"/>
      <c r="H9" s="25" t="str">
        <f t="shared" ref="H9:H15" si="0">IF(AND(ISNUMBER(D9),ISNUMBER(E9)),E9-D9,"")</f>
        <v/>
      </c>
      <c r="I9" s="26"/>
      <c r="J9" s="27"/>
      <c r="K9" s="27" t="str">
        <f t="shared" ref="K9:K15" si="1">IF(AND(ISNUMBER(D9),ISNUMBER(I9)),I9-D9,"")</f>
        <v/>
      </c>
    </row>
    <row r="10" spans="1:14" ht="15.75" customHeight="1" x14ac:dyDescent="0.25">
      <c r="A10" s="18"/>
      <c r="B10" s="22" t="s">
        <v>72</v>
      </c>
      <c r="C10" s="23" t="s">
        <v>73</v>
      </c>
      <c r="D10" s="24"/>
      <c r="E10" s="25"/>
      <c r="F10" s="25"/>
      <c r="G10" s="25"/>
      <c r="H10" s="25" t="str">
        <f t="shared" si="0"/>
        <v/>
      </c>
      <c r="I10" s="26"/>
      <c r="J10" s="27"/>
      <c r="K10" s="27" t="str">
        <f t="shared" si="1"/>
        <v/>
      </c>
      <c r="L10" s="28">
        <f t="shared" ref="L10:L19" si="2">IFERROR(G10-F10,"-")</f>
        <v>0</v>
      </c>
      <c r="M10" s="29" t="str">
        <f t="shared" ref="M10:M19" si="3">IFERROR((G10-F10)/F10,"-")</f>
        <v>-</v>
      </c>
      <c r="N10" s="30" t="s">
        <v>74</v>
      </c>
    </row>
    <row r="11" spans="1:14" ht="15.75" customHeight="1" x14ac:dyDescent="0.25">
      <c r="A11" s="18"/>
      <c r="B11" s="22" t="s">
        <v>75</v>
      </c>
      <c r="C11" s="23" t="s">
        <v>76</v>
      </c>
      <c r="D11" s="24"/>
      <c r="E11" s="25"/>
      <c r="F11" s="25"/>
      <c r="G11" s="25"/>
      <c r="H11" s="25" t="str">
        <f t="shared" si="0"/>
        <v/>
      </c>
      <c r="I11" s="26"/>
      <c r="J11" s="27"/>
      <c r="K11" s="27" t="str">
        <f t="shared" si="1"/>
        <v/>
      </c>
      <c r="L11" s="28">
        <f t="shared" si="2"/>
        <v>0</v>
      </c>
      <c r="M11" s="29" t="str">
        <f t="shared" si="3"/>
        <v>-</v>
      </c>
      <c r="N11" s="31" t="s">
        <v>77</v>
      </c>
    </row>
    <row r="12" spans="1:14" ht="15.75" customHeight="1" x14ac:dyDescent="0.25">
      <c r="A12" s="18"/>
      <c r="B12" s="22" t="s">
        <v>78</v>
      </c>
      <c r="C12" s="23" t="s">
        <v>79</v>
      </c>
      <c r="D12" s="24"/>
      <c r="E12" s="25"/>
      <c r="F12" s="25"/>
      <c r="G12" s="25"/>
      <c r="H12" s="25" t="str">
        <f t="shared" si="0"/>
        <v/>
      </c>
      <c r="I12" s="26"/>
      <c r="J12" s="27"/>
      <c r="K12" s="27" t="str">
        <f t="shared" si="1"/>
        <v/>
      </c>
      <c r="L12" s="28">
        <f t="shared" si="2"/>
        <v>0</v>
      </c>
      <c r="M12" s="29" t="str">
        <f t="shared" si="3"/>
        <v>-</v>
      </c>
      <c r="N12" s="30" t="s">
        <v>80</v>
      </c>
    </row>
    <row r="13" spans="1:14" ht="15.75" customHeight="1" x14ac:dyDescent="0.25">
      <c r="A13" s="18"/>
      <c r="B13" s="22" t="s">
        <v>81</v>
      </c>
      <c r="C13" s="23" t="s">
        <v>82</v>
      </c>
      <c r="D13" s="24"/>
      <c r="E13" s="25"/>
      <c r="F13" s="25"/>
      <c r="G13" s="25"/>
      <c r="H13" s="25" t="str">
        <f t="shared" si="0"/>
        <v/>
      </c>
      <c r="I13" s="26"/>
      <c r="J13" s="27"/>
      <c r="K13" s="27" t="str">
        <f t="shared" si="1"/>
        <v/>
      </c>
      <c r="L13" s="28">
        <f t="shared" si="2"/>
        <v>0</v>
      </c>
      <c r="M13" s="29" t="str">
        <f t="shared" si="3"/>
        <v>-</v>
      </c>
      <c r="N13" s="31" t="s">
        <v>83</v>
      </c>
    </row>
    <row r="14" spans="1:14" ht="15.75" customHeight="1" x14ac:dyDescent="0.25">
      <c r="A14" s="18"/>
      <c r="B14" s="22" t="s">
        <v>84</v>
      </c>
      <c r="C14" s="23" t="s">
        <v>85</v>
      </c>
      <c r="D14" s="24"/>
      <c r="E14" s="25"/>
      <c r="F14" s="25"/>
      <c r="G14" s="25"/>
      <c r="H14" s="25" t="str">
        <f t="shared" si="0"/>
        <v/>
      </c>
      <c r="I14" s="26"/>
      <c r="J14" s="27"/>
      <c r="K14" s="27" t="str">
        <f t="shared" si="1"/>
        <v/>
      </c>
      <c r="L14" s="28">
        <f t="shared" si="2"/>
        <v>0</v>
      </c>
      <c r="M14" s="29" t="str">
        <f t="shared" si="3"/>
        <v>-</v>
      </c>
      <c r="N14" s="30" t="s">
        <v>86</v>
      </c>
    </row>
    <row r="15" spans="1:14" ht="15.75" customHeight="1" x14ac:dyDescent="0.25">
      <c r="A15" s="18"/>
      <c r="B15" s="22" t="s">
        <v>87</v>
      </c>
      <c r="C15" s="23" t="s">
        <v>88</v>
      </c>
      <c r="D15" s="24"/>
      <c r="E15" s="25"/>
      <c r="F15" s="25"/>
      <c r="G15" s="25"/>
      <c r="H15" s="25" t="str">
        <f t="shared" si="0"/>
        <v/>
      </c>
      <c r="I15" s="26"/>
      <c r="J15" s="27"/>
      <c r="K15" s="27" t="str">
        <f t="shared" si="1"/>
        <v/>
      </c>
      <c r="L15" s="28">
        <f t="shared" si="2"/>
        <v>0</v>
      </c>
      <c r="M15" s="29" t="str">
        <f t="shared" si="3"/>
        <v>-</v>
      </c>
      <c r="N15" s="31" t="s">
        <v>89</v>
      </c>
    </row>
    <row r="16" spans="1:14" ht="13.5" customHeight="1" x14ac:dyDescent="0.25">
      <c r="A16" s="18"/>
      <c r="B16" s="21" t="s">
        <v>90</v>
      </c>
      <c r="C16" s="21"/>
      <c r="D16" s="32"/>
      <c r="E16" s="32"/>
      <c r="F16" s="32"/>
      <c r="G16" s="32"/>
      <c r="H16" s="32"/>
      <c r="I16" s="33"/>
      <c r="J16" s="32"/>
      <c r="K16" s="33"/>
      <c r="L16" s="28">
        <f t="shared" si="2"/>
        <v>0</v>
      </c>
      <c r="M16" s="29" t="str">
        <f t="shared" si="3"/>
        <v>-</v>
      </c>
      <c r="N16" s="30" t="s">
        <v>91</v>
      </c>
    </row>
    <row r="17" spans="1:14" ht="15.75" customHeight="1" x14ac:dyDescent="0.25">
      <c r="A17" s="18"/>
      <c r="B17" s="22" t="s">
        <v>92</v>
      </c>
      <c r="C17" s="23" t="s">
        <v>93</v>
      </c>
      <c r="D17" s="24"/>
      <c r="E17" s="25"/>
      <c r="F17" s="25"/>
      <c r="G17" s="25"/>
      <c r="H17" s="25" t="str">
        <f>IF(AND(ISNUMBER(D17),ISNUMBER(E17)),E17-D17,"")</f>
        <v/>
      </c>
      <c r="I17" s="26"/>
      <c r="J17" s="27"/>
      <c r="K17" s="27" t="str">
        <f>IF(AND(ISNUMBER(D17),ISNUMBER(I17)),I17-D17,"")</f>
        <v/>
      </c>
      <c r="L17" s="28">
        <f t="shared" si="2"/>
        <v>0</v>
      </c>
      <c r="M17" s="29" t="str">
        <f t="shared" si="3"/>
        <v>-</v>
      </c>
      <c r="N17" s="31" t="s">
        <v>94</v>
      </c>
    </row>
    <row r="18" spans="1:14" ht="15.75" customHeight="1" x14ac:dyDescent="0.25">
      <c r="A18" s="18"/>
      <c r="B18" s="22" t="s">
        <v>95</v>
      </c>
      <c r="C18" s="23" t="s">
        <v>96</v>
      </c>
      <c r="D18" s="24"/>
      <c r="E18" s="25"/>
      <c r="F18" s="25"/>
      <c r="G18" s="25"/>
      <c r="H18" s="25" t="str">
        <f>IF(AND(ISNUMBER(D18),ISNUMBER(E18)),E18-D18,"")</f>
        <v/>
      </c>
      <c r="I18" s="26"/>
      <c r="J18" s="27"/>
      <c r="K18" s="27" t="str">
        <f>IF(AND(ISNUMBER(D18),ISNUMBER(I18)),I18-D18,"")</f>
        <v/>
      </c>
      <c r="L18" s="28">
        <f t="shared" si="2"/>
        <v>0</v>
      </c>
      <c r="M18" s="29" t="str">
        <f t="shared" si="3"/>
        <v>-</v>
      </c>
      <c r="N18" s="30" t="s">
        <v>97</v>
      </c>
    </row>
    <row r="19" spans="1:14" ht="15.75" customHeight="1" x14ac:dyDescent="0.25">
      <c r="A19" s="18"/>
      <c r="B19" s="22" t="s">
        <v>98</v>
      </c>
      <c r="C19" s="23" t="s">
        <v>99</v>
      </c>
      <c r="D19" s="24"/>
      <c r="E19" s="25"/>
      <c r="F19" s="25"/>
      <c r="G19" s="25"/>
      <c r="H19" s="25" t="str">
        <f>IF(AND(ISNUMBER(D19),ISNUMBER(E19)),E19-D19,"")</f>
        <v/>
      </c>
      <c r="I19" s="26"/>
      <c r="J19" s="27"/>
      <c r="K19" s="27" t="str">
        <f>IF(AND(ISNUMBER(D19),ISNUMBER(I19)),I19-D19,"")</f>
        <v/>
      </c>
      <c r="L19" s="28">
        <f t="shared" si="2"/>
        <v>0</v>
      </c>
      <c r="M19" s="29" t="str">
        <f t="shared" si="3"/>
        <v>-</v>
      </c>
      <c r="N19" s="31" t="s">
        <v>100</v>
      </c>
    </row>
    <row r="20" spans="1:14" ht="15.75" customHeight="1" x14ac:dyDescent="0.25">
      <c r="A20" s="18"/>
      <c r="B20" s="22" t="s">
        <v>101</v>
      </c>
      <c r="C20" s="23" t="s">
        <v>102</v>
      </c>
      <c r="D20" s="24"/>
      <c r="E20" s="25"/>
      <c r="F20" s="25"/>
      <c r="G20" s="25"/>
      <c r="H20" s="25" t="str">
        <f>IF(AND(ISNUMBER(D20),ISNUMBER(E20)),E20-D20,"")</f>
        <v/>
      </c>
      <c r="I20" s="26"/>
      <c r="J20" s="27"/>
      <c r="K20" s="27" t="str">
        <f>IF(AND(ISNUMBER(D20),ISNUMBER(I20)),I20-D20,"")</f>
        <v/>
      </c>
    </row>
    <row r="21" spans="1:14" ht="15.75" customHeight="1" x14ac:dyDescent="0.25">
      <c r="A21" s="18"/>
      <c r="B21" s="34" t="s">
        <v>103</v>
      </c>
      <c r="C21" s="35" t="s">
        <v>104</v>
      </c>
      <c r="D21" s="36"/>
      <c r="E21" s="37"/>
      <c r="F21" s="37"/>
      <c r="G21" s="37"/>
      <c r="H21" s="37" t="str">
        <f>IF(AND(ISNUMBER(D21),ISNUMBER(E21)),E21-D21,"")</f>
        <v/>
      </c>
      <c r="I21" s="38"/>
      <c r="J21" s="39"/>
      <c r="K21" s="39" t="str">
        <f>IF(AND(ISNUMBER(D21),ISNUMBER(I21)),I21-D21,"")</f>
        <v/>
      </c>
      <c r="L21" s="28">
        <f t="shared" ref="L21:L27" si="4">IFERROR(G21-F21,"-")</f>
        <v>0</v>
      </c>
      <c r="M21" s="29" t="str">
        <f t="shared" ref="M21:M27" si="5">IFERROR((G21-F21)/F21,"-")</f>
        <v>-</v>
      </c>
      <c r="N21" s="31" t="s">
        <v>105</v>
      </c>
    </row>
    <row r="22" spans="1:14" ht="13.5" customHeight="1" x14ac:dyDescent="0.25">
      <c r="A22" s="18"/>
      <c r="B22" s="21" t="s">
        <v>106</v>
      </c>
      <c r="C22" s="21"/>
      <c r="D22" s="32"/>
      <c r="E22" s="32"/>
      <c r="F22" s="32"/>
      <c r="G22" s="32"/>
      <c r="H22" s="32"/>
      <c r="I22" s="33"/>
      <c r="J22" s="32"/>
      <c r="K22" s="33"/>
      <c r="L22" s="28">
        <f t="shared" si="4"/>
        <v>0</v>
      </c>
      <c r="M22" s="29" t="str">
        <f t="shared" si="5"/>
        <v>-</v>
      </c>
      <c r="N22" s="30" t="s">
        <v>107</v>
      </c>
    </row>
    <row r="23" spans="1:14" ht="15.75" customHeight="1" x14ac:dyDescent="0.25">
      <c r="A23" s="18"/>
      <c r="B23" s="22" t="s">
        <v>108</v>
      </c>
      <c r="C23" s="23" t="s">
        <v>109</v>
      </c>
      <c r="D23" s="24"/>
      <c r="E23" s="25"/>
      <c r="F23" s="25"/>
      <c r="G23" s="25"/>
      <c r="H23" s="25" t="str">
        <f>IF(AND(ISNUMBER(D23),ISNUMBER(E23)),E23-D23,"")</f>
        <v/>
      </c>
      <c r="I23" s="26"/>
      <c r="J23" s="27"/>
      <c r="K23" s="27" t="str">
        <f>IF(AND(ISNUMBER(D23),ISNUMBER(I23)),I23-D23,"")</f>
        <v/>
      </c>
      <c r="L23" s="28">
        <f t="shared" si="4"/>
        <v>0</v>
      </c>
      <c r="M23" s="29" t="str">
        <f t="shared" si="5"/>
        <v>-</v>
      </c>
      <c r="N23" s="31" t="s">
        <v>110</v>
      </c>
    </row>
    <row r="24" spans="1:14" ht="15.75" customHeight="1" x14ac:dyDescent="0.25">
      <c r="A24" s="18"/>
      <c r="B24" s="22" t="s">
        <v>111</v>
      </c>
      <c r="C24" s="23" t="s">
        <v>112</v>
      </c>
      <c r="D24" s="24"/>
      <c r="E24" s="25"/>
      <c r="F24" s="25"/>
      <c r="G24" s="25"/>
      <c r="H24" s="25" t="str">
        <f>IF(AND(ISNUMBER(D24),ISNUMBER(E24)),E24-D24,"")</f>
        <v/>
      </c>
      <c r="I24" s="26"/>
      <c r="J24" s="27"/>
      <c r="K24" s="27" t="str">
        <f>IF(AND(ISNUMBER(D24),ISNUMBER(I24)),I24-D24,"")</f>
        <v/>
      </c>
      <c r="L24" s="28">
        <f t="shared" si="4"/>
        <v>0</v>
      </c>
      <c r="M24" s="29" t="str">
        <f t="shared" si="5"/>
        <v>-</v>
      </c>
      <c r="N24" s="30" t="s">
        <v>113</v>
      </c>
    </row>
    <row r="25" spans="1:14" ht="15.75" customHeight="1" x14ac:dyDescent="0.25">
      <c r="A25" s="18"/>
      <c r="B25" s="34" t="s">
        <v>114</v>
      </c>
      <c r="C25" s="35" t="s">
        <v>115</v>
      </c>
      <c r="D25" s="36"/>
      <c r="E25" s="37"/>
      <c r="F25" s="37"/>
      <c r="G25" s="37"/>
      <c r="H25" s="37" t="str">
        <f>IF(AND(ISNUMBER(D25),ISNUMBER(E25)),E25-D25,"")</f>
        <v/>
      </c>
      <c r="I25" s="38"/>
      <c r="J25" s="39"/>
      <c r="K25" s="39" t="str">
        <f>IF(AND(ISNUMBER(D25),ISNUMBER(I25)),I25-D25,"")</f>
        <v/>
      </c>
      <c r="L25" s="28">
        <f t="shared" si="4"/>
        <v>0</v>
      </c>
      <c r="M25" s="29" t="str">
        <f t="shared" si="5"/>
        <v>-</v>
      </c>
      <c r="N25" s="31" t="s">
        <v>116</v>
      </c>
    </row>
    <row r="26" spans="1:14" ht="13.5" customHeight="1" x14ac:dyDescent="0.25">
      <c r="A26" s="18"/>
      <c r="B26" s="21" t="s">
        <v>117</v>
      </c>
      <c r="C26" s="21"/>
      <c r="D26" s="32"/>
      <c r="E26" s="32"/>
      <c r="F26" s="32"/>
      <c r="G26" s="32"/>
      <c r="H26" s="32"/>
      <c r="I26" s="33"/>
      <c r="J26" s="32"/>
      <c r="K26" s="33"/>
      <c r="L26" s="28">
        <f t="shared" si="4"/>
        <v>0</v>
      </c>
      <c r="M26" s="29" t="str">
        <f t="shared" si="5"/>
        <v>-</v>
      </c>
      <c r="N26" s="30" t="s">
        <v>118</v>
      </c>
    </row>
    <row r="27" spans="1:14" ht="15.75" customHeight="1" x14ac:dyDescent="0.25">
      <c r="A27" s="18"/>
      <c r="B27" s="22" t="s">
        <v>119</v>
      </c>
      <c r="C27" s="23" t="s">
        <v>120</v>
      </c>
      <c r="D27" s="24"/>
      <c r="E27" s="25"/>
      <c r="F27" s="25"/>
      <c r="G27" s="25"/>
      <c r="H27" s="25" t="str">
        <f>IF(AND(ISNUMBER(D27),ISNUMBER(E27)),E27-D27,"")</f>
        <v/>
      </c>
      <c r="I27" s="26"/>
      <c r="J27" s="27"/>
      <c r="K27" s="27" t="str">
        <f>IF(AND(ISNUMBER(D27),ISNUMBER(I27)),I27-D27,"")</f>
        <v/>
      </c>
      <c r="L27" s="28">
        <f t="shared" si="4"/>
        <v>0</v>
      </c>
      <c r="M27" s="29" t="str">
        <f t="shared" si="5"/>
        <v>-</v>
      </c>
      <c r="N27" s="31" t="s">
        <v>121</v>
      </c>
    </row>
    <row r="28" spans="1:14" ht="15.75" customHeight="1" x14ac:dyDescent="0.25">
      <c r="A28" s="18"/>
      <c r="B28" s="22" t="s">
        <v>122</v>
      </c>
      <c r="C28" s="23" t="s">
        <v>123</v>
      </c>
      <c r="D28" s="24"/>
      <c r="E28" s="25"/>
      <c r="F28" s="25"/>
      <c r="G28" s="25"/>
      <c r="H28" s="25" t="str">
        <f>IF(AND(ISNUMBER(D28),ISNUMBER(E28)),E28-D28,"")</f>
        <v/>
      </c>
      <c r="I28" s="26"/>
      <c r="J28" s="27"/>
      <c r="K28" s="27" t="str">
        <f>IF(AND(ISNUMBER(D28),ISNUMBER(I28)),I28-D28,"")</f>
        <v/>
      </c>
    </row>
    <row r="29" spans="1:14" ht="13.5" customHeight="1" x14ac:dyDescent="0.25">
      <c r="A29" s="18"/>
      <c r="B29" s="21" t="s">
        <v>124</v>
      </c>
      <c r="C29" s="21"/>
      <c r="D29" s="32"/>
      <c r="E29" s="32"/>
      <c r="F29" s="32"/>
      <c r="G29" s="32"/>
      <c r="H29" s="32"/>
      <c r="I29" s="33"/>
      <c r="J29" s="32"/>
      <c r="K29" s="33"/>
      <c r="L29" s="28">
        <f t="shared" ref="L29:L34" si="6">IFERROR(G29-F29,"-")</f>
        <v>0</v>
      </c>
      <c r="M29" s="29" t="str">
        <f t="shared" ref="M29:M34" si="7">IFERROR((G29-F29)/F29,"-")</f>
        <v>-</v>
      </c>
      <c r="N29" s="31" t="s">
        <v>125</v>
      </c>
    </row>
    <row r="30" spans="1:14" ht="15.75" customHeight="1" x14ac:dyDescent="0.25">
      <c r="A30" s="18"/>
      <c r="B30" s="22" t="s">
        <v>126</v>
      </c>
      <c r="C30" s="23" t="s">
        <v>127</v>
      </c>
      <c r="D30" s="24"/>
      <c r="E30" s="25"/>
      <c r="F30" s="25"/>
      <c r="G30" s="25"/>
      <c r="H30" s="25" t="str">
        <f>IF(AND(ISNUMBER(D30),ISNUMBER(E30)),E30-D30,"")</f>
        <v/>
      </c>
      <c r="I30" s="26"/>
      <c r="J30" s="27"/>
      <c r="K30" s="27" t="str">
        <f>IF(AND(ISNUMBER(D30),ISNUMBER(I30)),I30-D30,"")</f>
        <v/>
      </c>
      <c r="L30" s="28">
        <f t="shared" si="6"/>
        <v>0</v>
      </c>
      <c r="M30" s="29" t="str">
        <f t="shared" si="7"/>
        <v>-</v>
      </c>
      <c r="N30" s="30" t="s">
        <v>128</v>
      </c>
    </row>
    <row r="31" spans="1:14" ht="15.75" customHeight="1" x14ac:dyDescent="0.25">
      <c r="A31" s="18"/>
      <c r="B31" s="22" t="s">
        <v>129</v>
      </c>
      <c r="C31" s="23" t="s">
        <v>130</v>
      </c>
      <c r="D31" s="24"/>
      <c r="E31" s="25"/>
      <c r="F31" s="25"/>
      <c r="G31" s="25"/>
      <c r="H31" s="25" t="str">
        <f>IF(AND(ISNUMBER(D31),ISNUMBER(E31)),E31-D31,"")</f>
        <v/>
      </c>
      <c r="I31" s="26"/>
      <c r="J31" s="27"/>
      <c r="K31" s="27" t="str">
        <f>IF(AND(ISNUMBER(D31),ISNUMBER(I31)),I31-D31,"")</f>
        <v/>
      </c>
      <c r="L31" s="28">
        <f t="shared" si="6"/>
        <v>0</v>
      </c>
      <c r="M31" s="29" t="str">
        <f t="shared" si="7"/>
        <v>-</v>
      </c>
      <c r="N31" s="31" t="s">
        <v>131</v>
      </c>
    </row>
    <row r="32" spans="1:14" ht="15.75" customHeight="1" x14ac:dyDescent="0.25">
      <c r="A32" s="18"/>
      <c r="B32" s="22" t="s">
        <v>132</v>
      </c>
      <c r="C32" s="23" t="s">
        <v>133</v>
      </c>
      <c r="D32" s="24"/>
      <c r="E32" s="25"/>
      <c r="F32" s="25"/>
      <c r="G32" s="25"/>
      <c r="H32" s="25" t="str">
        <f>IF(AND(ISNUMBER(D32),ISNUMBER(E32)),E32-D32,"")</f>
        <v/>
      </c>
      <c r="I32" s="26"/>
      <c r="J32" s="27"/>
      <c r="K32" s="27" t="str">
        <f>IF(AND(ISNUMBER(D32),ISNUMBER(I32)),I32-D32,"")</f>
        <v/>
      </c>
      <c r="L32" s="28">
        <f t="shared" si="6"/>
        <v>0</v>
      </c>
      <c r="M32" s="29" t="str">
        <f t="shared" si="7"/>
        <v>-</v>
      </c>
      <c r="N32" s="30" t="s">
        <v>134</v>
      </c>
    </row>
    <row r="33" spans="1:14" ht="15.75" customHeight="1" x14ac:dyDescent="0.25">
      <c r="A33" s="18"/>
      <c r="B33" s="34" t="s">
        <v>135</v>
      </c>
      <c r="C33" s="35" t="s">
        <v>136</v>
      </c>
      <c r="D33" s="36"/>
      <c r="E33" s="37"/>
      <c r="F33" s="37"/>
      <c r="G33" s="37"/>
      <c r="H33" s="37" t="str">
        <f>IF(AND(ISNUMBER(D33),ISNUMBER(E33)),E33-D33,"")</f>
        <v/>
      </c>
      <c r="I33" s="38"/>
      <c r="J33" s="39"/>
      <c r="K33" s="39" t="str">
        <f>IF(AND(ISNUMBER(D33),ISNUMBER(I33)),I33-D33,"")</f>
        <v/>
      </c>
      <c r="L33" s="28">
        <f t="shared" si="6"/>
        <v>0</v>
      </c>
      <c r="M33" s="29" t="str">
        <f t="shared" si="7"/>
        <v>-</v>
      </c>
      <c r="N33" s="31" t="s">
        <v>137</v>
      </c>
    </row>
    <row r="34" spans="1:14" ht="13.5" customHeight="1" x14ac:dyDescent="0.25">
      <c r="A34" s="18"/>
      <c r="B34" s="21" t="s">
        <v>138</v>
      </c>
      <c r="C34" s="21"/>
      <c r="D34" s="32"/>
      <c r="E34" s="32"/>
      <c r="F34" s="32"/>
      <c r="G34" s="32"/>
      <c r="H34" s="32"/>
      <c r="I34" s="33"/>
      <c r="J34" s="32"/>
      <c r="K34" s="33"/>
      <c r="L34" s="40">
        <f t="shared" si="6"/>
        <v>0</v>
      </c>
      <c r="M34" s="41" t="str">
        <f t="shared" si="7"/>
        <v>-</v>
      </c>
      <c r="N34" s="42"/>
    </row>
    <row r="35" spans="1:14" ht="15.75" customHeight="1" x14ac:dyDescent="0.25">
      <c r="A35" s="18"/>
      <c r="B35" s="22" t="s">
        <v>139</v>
      </c>
      <c r="C35" s="23" t="s">
        <v>140</v>
      </c>
      <c r="D35" s="24"/>
      <c r="E35" s="25"/>
      <c r="F35" s="25"/>
      <c r="G35" s="25"/>
      <c r="H35" s="25" t="str">
        <f>IF(AND(ISNUMBER(D35),ISNUMBER(E35)),E35-D35,"")</f>
        <v/>
      </c>
      <c r="I35" s="26"/>
      <c r="J35" s="27"/>
      <c r="K35" s="27" t="str">
        <f>IF(AND(ISNUMBER(D35),ISNUMBER(I35)),I35-D35,"")</f>
        <v/>
      </c>
    </row>
    <row r="36" spans="1:14" ht="15.75" customHeight="1" x14ac:dyDescent="0.25">
      <c r="A36" s="18"/>
      <c r="B36" s="22" t="s">
        <v>141</v>
      </c>
      <c r="C36" s="23" t="s">
        <v>142</v>
      </c>
      <c r="D36" s="24"/>
      <c r="E36" s="25"/>
      <c r="F36" s="25"/>
      <c r="G36" s="25"/>
      <c r="H36" s="25" t="str">
        <f>IF(AND(ISNUMBER(D36),ISNUMBER(E36)),E36-D36,"")</f>
        <v/>
      </c>
      <c r="I36" s="26"/>
      <c r="J36" s="27"/>
      <c r="K36" s="27" t="str">
        <f>IF(AND(ISNUMBER(D36),ISNUMBER(I36)),I36-D36,"")</f>
        <v/>
      </c>
      <c r="L36" s="28">
        <f t="shared" ref="L36:L42" si="8">IFERROR(G36-F36,"-")</f>
        <v>0</v>
      </c>
      <c r="M36" s="29" t="str">
        <f t="shared" ref="M36:M42" si="9">IFERROR((G36-F36)/F36,"-")</f>
        <v>-</v>
      </c>
      <c r="N36" s="30" t="s">
        <v>143</v>
      </c>
    </row>
    <row r="37" spans="1:14" ht="15.75" customHeight="1" x14ac:dyDescent="0.25">
      <c r="A37" s="18"/>
      <c r="B37" s="34" t="s">
        <v>144</v>
      </c>
      <c r="C37" s="35" t="s">
        <v>145</v>
      </c>
      <c r="D37" s="36"/>
      <c r="E37" s="37"/>
      <c r="F37" s="37"/>
      <c r="G37" s="37"/>
      <c r="H37" s="37" t="str">
        <f>IF(AND(ISNUMBER(D37),ISNUMBER(E37)),E37-D37,"")</f>
        <v/>
      </c>
      <c r="I37" s="38"/>
      <c r="J37" s="39"/>
      <c r="K37" s="39" t="str">
        <f>IF(AND(ISNUMBER(D37),ISNUMBER(I37)),I37-D37,"")</f>
        <v/>
      </c>
      <c r="L37" s="28">
        <f t="shared" si="8"/>
        <v>0</v>
      </c>
      <c r="M37" s="29" t="str">
        <f t="shared" si="9"/>
        <v>-</v>
      </c>
      <c r="N37" s="31" t="s">
        <v>146</v>
      </c>
    </row>
    <row r="38" spans="1:14" ht="13.5" customHeight="1" x14ac:dyDescent="0.25">
      <c r="A38" s="18"/>
      <c r="B38" s="21" t="s">
        <v>147</v>
      </c>
      <c r="C38" s="21"/>
      <c r="D38" s="32"/>
      <c r="E38" s="32"/>
      <c r="F38" s="32"/>
      <c r="G38" s="32"/>
      <c r="H38" s="32"/>
      <c r="I38" s="33"/>
      <c r="J38" s="32"/>
      <c r="K38" s="33"/>
      <c r="L38" s="28">
        <f t="shared" si="8"/>
        <v>0</v>
      </c>
      <c r="M38" s="29" t="str">
        <f t="shared" si="9"/>
        <v>-</v>
      </c>
      <c r="N38" s="30" t="s">
        <v>148</v>
      </c>
    </row>
    <row r="39" spans="1:14" ht="15.75" customHeight="1" x14ac:dyDescent="0.25">
      <c r="A39" s="18"/>
      <c r="B39" s="22" t="s">
        <v>149</v>
      </c>
      <c r="C39" s="23" t="s">
        <v>150</v>
      </c>
      <c r="D39" s="24"/>
      <c r="E39" s="25"/>
      <c r="F39" s="25"/>
      <c r="G39" s="25"/>
      <c r="H39" s="25" t="str">
        <f t="shared" ref="H39:H45" si="10">IF(AND(ISNUMBER(D39),ISNUMBER(E39)),E39-D39,"")</f>
        <v/>
      </c>
      <c r="I39" s="26"/>
      <c r="J39" s="27"/>
      <c r="K39" s="27" t="str">
        <f t="shared" ref="K39:K45" si="11">IF(AND(ISNUMBER(D39),ISNUMBER(I39)),I39-D39,"")</f>
        <v/>
      </c>
      <c r="L39" s="28">
        <f t="shared" si="8"/>
        <v>0</v>
      </c>
      <c r="M39" s="29" t="str">
        <f t="shared" si="9"/>
        <v>-</v>
      </c>
      <c r="N39" s="31" t="s">
        <v>151</v>
      </c>
    </row>
    <row r="40" spans="1:14" ht="15.75" customHeight="1" x14ac:dyDescent="0.25">
      <c r="A40" s="18"/>
      <c r="B40" s="22" t="s">
        <v>152</v>
      </c>
      <c r="C40" s="23" t="s">
        <v>153</v>
      </c>
      <c r="D40" s="24"/>
      <c r="E40" s="25"/>
      <c r="F40" s="25"/>
      <c r="G40" s="25"/>
      <c r="H40" s="25" t="str">
        <f t="shared" si="10"/>
        <v/>
      </c>
      <c r="I40" s="26"/>
      <c r="J40" s="27"/>
      <c r="K40" s="27" t="str">
        <f t="shared" si="11"/>
        <v/>
      </c>
      <c r="L40" s="28">
        <f t="shared" si="8"/>
        <v>0</v>
      </c>
      <c r="M40" s="29" t="str">
        <f t="shared" si="9"/>
        <v>-</v>
      </c>
      <c r="N40" s="30" t="s">
        <v>154</v>
      </c>
    </row>
    <row r="41" spans="1:14" ht="15.75" customHeight="1" x14ac:dyDescent="0.25">
      <c r="A41" s="18"/>
      <c r="B41" s="22" t="s">
        <v>155</v>
      </c>
      <c r="C41" s="23" t="s">
        <v>156</v>
      </c>
      <c r="D41" s="24"/>
      <c r="E41" s="25"/>
      <c r="F41" s="25"/>
      <c r="G41" s="25"/>
      <c r="H41" s="25" t="str">
        <f t="shared" si="10"/>
        <v/>
      </c>
      <c r="I41" s="26"/>
      <c r="J41" s="27"/>
      <c r="K41" s="27" t="str">
        <f t="shared" si="11"/>
        <v/>
      </c>
      <c r="L41" s="28">
        <f t="shared" si="8"/>
        <v>0</v>
      </c>
      <c r="M41" s="29" t="str">
        <f t="shared" si="9"/>
        <v>-</v>
      </c>
      <c r="N41" s="31" t="s">
        <v>157</v>
      </c>
    </row>
    <row r="42" spans="1:14" ht="15.75" customHeight="1" x14ac:dyDescent="0.25">
      <c r="A42" s="18"/>
      <c r="B42" s="22" t="s">
        <v>158</v>
      </c>
      <c r="C42" s="23" t="s">
        <v>159</v>
      </c>
      <c r="D42" s="24"/>
      <c r="E42" s="25"/>
      <c r="F42" s="25"/>
      <c r="G42" s="25"/>
      <c r="H42" s="25" t="str">
        <f t="shared" si="10"/>
        <v/>
      </c>
      <c r="I42" s="26"/>
      <c r="J42" s="27"/>
      <c r="K42" s="27" t="str">
        <f t="shared" si="11"/>
        <v/>
      </c>
      <c r="L42" s="43">
        <f t="shared" si="8"/>
        <v>0</v>
      </c>
      <c r="M42" s="44" t="str">
        <f t="shared" si="9"/>
        <v>-</v>
      </c>
      <c r="N42" s="45"/>
    </row>
    <row r="43" spans="1:14" ht="15.75" customHeight="1" x14ac:dyDescent="0.25">
      <c r="A43" s="18"/>
      <c r="B43" s="22" t="s">
        <v>160</v>
      </c>
      <c r="C43" s="23" t="s">
        <v>161</v>
      </c>
      <c r="D43" s="24"/>
      <c r="E43" s="25"/>
      <c r="F43" s="25"/>
      <c r="G43" s="25"/>
      <c r="H43" s="25" t="str">
        <f t="shared" si="10"/>
        <v/>
      </c>
      <c r="I43" s="26"/>
      <c r="J43" s="27"/>
      <c r="K43" s="27" t="str">
        <f t="shared" si="11"/>
        <v/>
      </c>
    </row>
    <row r="44" spans="1:14" ht="15.75" customHeight="1" x14ac:dyDescent="0.25">
      <c r="A44" s="18"/>
      <c r="B44" s="22" t="s">
        <v>162</v>
      </c>
      <c r="C44" s="23" t="s">
        <v>163</v>
      </c>
      <c r="D44" s="24"/>
      <c r="E44" s="25"/>
      <c r="F44" s="25"/>
      <c r="G44" s="25"/>
      <c r="H44" s="25" t="str">
        <f t="shared" si="10"/>
        <v/>
      </c>
      <c r="I44" s="26"/>
      <c r="J44" s="27"/>
      <c r="K44" s="27" t="str">
        <f t="shared" si="11"/>
        <v/>
      </c>
    </row>
    <row r="45" spans="1:14" ht="15.75" customHeight="1" x14ac:dyDescent="0.25">
      <c r="A45" s="18"/>
      <c r="B45" s="22" t="s">
        <v>164</v>
      </c>
      <c r="C45" s="23" t="s">
        <v>165</v>
      </c>
      <c r="D45" s="24"/>
      <c r="E45" s="25"/>
      <c r="F45" s="25"/>
      <c r="G45" s="25"/>
      <c r="H45" s="25" t="str">
        <f t="shared" si="10"/>
        <v/>
      </c>
      <c r="I45" s="26"/>
      <c r="J45" s="27"/>
      <c r="K45" s="27" t="str">
        <f t="shared" si="11"/>
        <v/>
      </c>
    </row>
    <row r="46" spans="1:14" ht="13.5" customHeight="1" x14ac:dyDescent="0.25">
      <c r="A46" s="18"/>
      <c r="B46" s="21" t="s">
        <v>166</v>
      </c>
      <c r="C46" s="21"/>
      <c r="D46" s="32"/>
      <c r="E46" s="32"/>
      <c r="F46" s="32"/>
      <c r="G46" s="32"/>
      <c r="H46" s="32"/>
      <c r="I46" s="33"/>
      <c r="J46" s="32"/>
      <c r="K46" s="33"/>
      <c r="L46" s="28">
        <f t="shared" ref="L46:L56" si="12">IFERROR(G46-F46,"-")</f>
        <v>0</v>
      </c>
      <c r="M46" s="29" t="str">
        <f t="shared" ref="M46:M56" si="13">IFERROR((G46-F46)/F46,"-")</f>
        <v>-</v>
      </c>
      <c r="N46" s="30" t="s">
        <v>167</v>
      </c>
    </row>
    <row r="47" spans="1:14" ht="15.75" customHeight="1" x14ac:dyDescent="0.25">
      <c r="A47" s="18"/>
      <c r="B47" s="22" t="s">
        <v>168</v>
      </c>
      <c r="C47" s="23" t="s">
        <v>169</v>
      </c>
      <c r="D47" s="24"/>
      <c r="E47" s="25"/>
      <c r="F47" s="25"/>
      <c r="G47" s="25"/>
      <c r="H47" s="25" t="str">
        <f t="shared" ref="H47:H52" si="14">IF(AND(ISNUMBER(D47),ISNUMBER(E47)),E47-D47,"")</f>
        <v/>
      </c>
      <c r="I47" s="26"/>
      <c r="J47" s="27"/>
      <c r="K47" s="27" t="str">
        <f t="shared" ref="K47:K52" si="15">IF(AND(ISNUMBER(D47),ISNUMBER(I47)),I47-D47,"")</f>
        <v/>
      </c>
      <c r="L47" s="28">
        <f t="shared" si="12"/>
        <v>0</v>
      </c>
      <c r="M47" s="29" t="str">
        <f t="shared" si="13"/>
        <v>-</v>
      </c>
      <c r="N47" s="31" t="s">
        <v>170</v>
      </c>
    </row>
    <row r="48" spans="1:14" ht="15.75" customHeight="1" x14ac:dyDescent="0.25">
      <c r="A48" s="18"/>
      <c r="B48" s="22" t="s">
        <v>171</v>
      </c>
      <c r="C48" s="23" t="s">
        <v>172</v>
      </c>
      <c r="D48" s="24"/>
      <c r="E48" s="25"/>
      <c r="F48" s="25"/>
      <c r="G48" s="25"/>
      <c r="H48" s="25" t="str">
        <f t="shared" si="14"/>
        <v/>
      </c>
      <c r="I48" s="26"/>
      <c r="J48" s="27"/>
      <c r="K48" s="27" t="str">
        <f t="shared" si="15"/>
        <v/>
      </c>
      <c r="L48" s="28">
        <f t="shared" si="12"/>
        <v>0</v>
      </c>
      <c r="M48" s="29" t="str">
        <f t="shared" si="13"/>
        <v>-</v>
      </c>
      <c r="N48" s="30" t="s">
        <v>173</v>
      </c>
    </row>
    <row r="49" spans="1:14" ht="15.75" customHeight="1" x14ac:dyDescent="0.25">
      <c r="A49" s="18"/>
      <c r="B49" s="34" t="s">
        <v>174</v>
      </c>
      <c r="C49" s="35" t="s">
        <v>175</v>
      </c>
      <c r="D49" s="36"/>
      <c r="E49" s="37"/>
      <c r="F49" s="37"/>
      <c r="G49" s="37"/>
      <c r="H49" s="37" t="str">
        <f t="shared" si="14"/>
        <v/>
      </c>
      <c r="I49" s="38"/>
      <c r="J49" s="39"/>
      <c r="K49" s="39" t="str">
        <f t="shared" si="15"/>
        <v/>
      </c>
      <c r="L49" s="28">
        <f t="shared" si="12"/>
        <v>0</v>
      </c>
      <c r="M49" s="29" t="str">
        <f t="shared" si="13"/>
        <v>-</v>
      </c>
      <c r="N49" s="31" t="s">
        <v>176</v>
      </c>
    </row>
    <row r="50" spans="1:14" ht="15.75" customHeight="1" x14ac:dyDescent="0.25">
      <c r="A50" s="18"/>
      <c r="B50" s="22" t="s">
        <v>177</v>
      </c>
      <c r="C50" s="23" t="s">
        <v>178</v>
      </c>
      <c r="D50" s="24"/>
      <c r="E50" s="25"/>
      <c r="F50" s="25"/>
      <c r="G50" s="25"/>
      <c r="H50" s="25" t="str">
        <f t="shared" si="14"/>
        <v/>
      </c>
      <c r="I50" s="26"/>
      <c r="J50" s="27"/>
      <c r="K50" s="27" t="str">
        <f t="shared" si="15"/>
        <v/>
      </c>
      <c r="L50" s="28">
        <f t="shared" si="12"/>
        <v>0</v>
      </c>
      <c r="M50" s="29" t="str">
        <f t="shared" si="13"/>
        <v>-</v>
      </c>
      <c r="N50" s="30" t="s">
        <v>173</v>
      </c>
    </row>
    <row r="51" spans="1:14" ht="15.75" customHeight="1" x14ac:dyDescent="0.25">
      <c r="A51" s="18"/>
      <c r="B51" s="34" t="s">
        <v>179</v>
      </c>
      <c r="C51" s="35" t="s">
        <v>180</v>
      </c>
      <c r="D51" s="36"/>
      <c r="E51" s="37"/>
      <c r="F51" s="37"/>
      <c r="G51" s="37"/>
      <c r="H51" s="37" t="str">
        <f t="shared" si="14"/>
        <v/>
      </c>
      <c r="I51" s="38"/>
      <c r="J51" s="39"/>
      <c r="K51" s="39" t="str">
        <f t="shared" si="15"/>
        <v/>
      </c>
      <c r="L51" s="28">
        <f t="shared" si="12"/>
        <v>0</v>
      </c>
      <c r="M51" s="29" t="str">
        <f t="shared" si="13"/>
        <v>-</v>
      </c>
      <c r="N51" s="31" t="s">
        <v>181</v>
      </c>
    </row>
    <row r="52" spans="1:14" ht="15.75" customHeight="1" x14ac:dyDescent="0.25">
      <c r="A52" s="18"/>
      <c r="B52" s="22" t="s">
        <v>182</v>
      </c>
      <c r="C52" s="23" t="s">
        <v>183</v>
      </c>
      <c r="D52" s="24"/>
      <c r="E52" s="25"/>
      <c r="F52" s="25"/>
      <c r="G52" s="25"/>
      <c r="H52" s="25" t="str">
        <f t="shared" si="14"/>
        <v/>
      </c>
      <c r="I52" s="26"/>
      <c r="J52" s="27"/>
      <c r="K52" s="27" t="str">
        <f t="shared" si="15"/>
        <v/>
      </c>
      <c r="L52" s="28">
        <f t="shared" si="12"/>
        <v>0</v>
      </c>
      <c r="M52" s="29" t="str">
        <f t="shared" si="13"/>
        <v>-</v>
      </c>
      <c r="N52" s="30" t="s">
        <v>184</v>
      </c>
    </row>
    <row r="53" spans="1:14" ht="13.5" customHeight="1" x14ac:dyDescent="0.25">
      <c r="A53" s="18"/>
      <c r="B53" s="21" t="s">
        <v>185</v>
      </c>
      <c r="C53" s="21"/>
      <c r="D53" s="32"/>
      <c r="E53" s="32"/>
      <c r="F53" s="32"/>
      <c r="G53" s="32"/>
      <c r="H53" s="32"/>
      <c r="I53" s="33"/>
      <c r="J53" s="32"/>
      <c r="K53" s="33"/>
      <c r="L53" s="28">
        <f t="shared" si="12"/>
        <v>0</v>
      </c>
      <c r="M53" s="29" t="str">
        <f t="shared" si="13"/>
        <v>-</v>
      </c>
      <c r="N53" s="31" t="s">
        <v>186</v>
      </c>
    </row>
    <row r="54" spans="1:14" ht="15.75" customHeight="1" x14ac:dyDescent="0.25">
      <c r="A54" s="18"/>
      <c r="B54" s="22" t="s">
        <v>187</v>
      </c>
      <c r="C54" s="23" t="s">
        <v>188</v>
      </c>
      <c r="D54" s="24"/>
      <c r="E54" s="25"/>
      <c r="F54" s="25"/>
      <c r="G54" s="25"/>
      <c r="H54" s="25" t="str">
        <f t="shared" ref="H54:H66" si="16">IF(AND(ISNUMBER(D54),ISNUMBER(E54)),E54-D54,"")</f>
        <v/>
      </c>
      <c r="I54" s="26"/>
      <c r="J54" s="27"/>
      <c r="K54" s="27" t="str">
        <f t="shared" ref="K54:K66" si="17">IF(AND(ISNUMBER(D54),ISNUMBER(I54)),I54-D54,"")</f>
        <v/>
      </c>
      <c r="L54" s="28">
        <f t="shared" si="12"/>
        <v>0</v>
      </c>
      <c r="M54" s="29" t="str">
        <f t="shared" si="13"/>
        <v>-</v>
      </c>
      <c r="N54" s="30" t="s">
        <v>189</v>
      </c>
    </row>
    <row r="55" spans="1:14" ht="15.75" customHeight="1" x14ac:dyDescent="0.25">
      <c r="A55" s="18"/>
      <c r="B55" s="22" t="s">
        <v>190</v>
      </c>
      <c r="C55" s="23" t="s">
        <v>191</v>
      </c>
      <c r="D55" s="24"/>
      <c r="E55" s="25"/>
      <c r="F55" s="25"/>
      <c r="G55" s="25"/>
      <c r="H55" s="25" t="str">
        <f t="shared" si="16"/>
        <v/>
      </c>
      <c r="I55" s="26"/>
      <c r="J55" s="27"/>
      <c r="K55" s="27" t="str">
        <f t="shared" si="17"/>
        <v/>
      </c>
      <c r="L55" s="28">
        <f t="shared" si="12"/>
        <v>0</v>
      </c>
      <c r="M55" s="29" t="str">
        <f t="shared" si="13"/>
        <v>-</v>
      </c>
      <c r="N55" s="31" t="s">
        <v>192</v>
      </c>
    </row>
    <row r="56" spans="1:14" ht="15.75" customHeight="1" x14ac:dyDescent="0.25">
      <c r="A56" s="18"/>
      <c r="B56" s="34" t="s">
        <v>193</v>
      </c>
      <c r="C56" s="35" t="s">
        <v>194</v>
      </c>
      <c r="D56" s="36"/>
      <c r="E56" s="37"/>
      <c r="F56" s="37"/>
      <c r="G56" s="37"/>
      <c r="H56" s="37" t="str">
        <f t="shared" si="16"/>
        <v/>
      </c>
      <c r="I56" s="38"/>
      <c r="J56" s="39"/>
      <c r="K56" s="39" t="str">
        <f t="shared" si="17"/>
        <v/>
      </c>
      <c r="L56" s="28">
        <f t="shared" si="12"/>
        <v>0</v>
      </c>
      <c r="M56" s="29" t="str">
        <f t="shared" si="13"/>
        <v>-</v>
      </c>
      <c r="N56" s="30" t="s">
        <v>195</v>
      </c>
    </row>
    <row r="57" spans="1:14" ht="15.75" customHeight="1" x14ac:dyDescent="0.25">
      <c r="A57" s="18"/>
      <c r="B57" s="22" t="s">
        <v>196</v>
      </c>
      <c r="C57" s="23" t="s">
        <v>197</v>
      </c>
      <c r="D57" s="24"/>
      <c r="E57" s="25"/>
      <c r="F57" s="25"/>
      <c r="G57" s="25"/>
      <c r="H57" s="25" t="str">
        <f t="shared" si="16"/>
        <v/>
      </c>
      <c r="I57" s="26"/>
      <c r="J57" s="27"/>
      <c r="K57" s="27" t="str">
        <f t="shared" si="17"/>
        <v/>
      </c>
    </row>
    <row r="58" spans="1:14" ht="15.75" customHeight="1" x14ac:dyDescent="0.25">
      <c r="A58" s="18"/>
      <c r="B58" s="22" t="s">
        <v>198</v>
      </c>
      <c r="C58" s="23" t="s">
        <v>199</v>
      </c>
      <c r="D58" s="24"/>
      <c r="E58" s="25"/>
      <c r="F58" s="25"/>
      <c r="G58" s="25"/>
      <c r="H58" s="25" t="str">
        <f t="shared" si="16"/>
        <v/>
      </c>
      <c r="I58" s="26"/>
      <c r="J58" s="27"/>
      <c r="K58" s="27" t="str">
        <f t="shared" si="17"/>
        <v/>
      </c>
      <c r="L58" s="28">
        <f t="shared" ref="L58:L67" si="18">IFERROR(G58-F58,"-")</f>
        <v>0</v>
      </c>
      <c r="M58" s="29" t="str">
        <f t="shared" ref="M58:M67" si="19">IFERROR((G58-F58)/F58,"-")</f>
        <v>-</v>
      </c>
      <c r="N58" s="30" t="s">
        <v>200</v>
      </c>
    </row>
    <row r="59" spans="1:14" ht="15.75" customHeight="1" x14ac:dyDescent="0.25">
      <c r="A59" s="18"/>
      <c r="B59" s="22" t="s">
        <v>201</v>
      </c>
      <c r="C59" s="23" t="s">
        <v>202</v>
      </c>
      <c r="D59" s="24"/>
      <c r="E59" s="25"/>
      <c r="F59" s="25"/>
      <c r="G59" s="25"/>
      <c r="H59" s="25" t="str">
        <f t="shared" si="16"/>
        <v/>
      </c>
      <c r="I59" s="26"/>
      <c r="J59" s="27"/>
      <c r="K59" s="27" t="str">
        <f t="shared" si="17"/>
        <v/>
      </c>
      <c r="L59" s="28">
        <f t="shared" si="18"/>
        <v>0</v>
      </c>
      <c r="M59" s="29" t="str">
        <f t="shared" si="19"/>
        <v>-</v>
      </c>
      <c r="N59" s="31" t="s">
        <v>203</v>
      </c>
    </row>
    <row r="60" spans="1:14" ht="15.75" customHeight="1" x14ac:dyDescent="0.25">
      <c r="A60" s="18"/>
      <c r="B60" s="34" t="s">
        <v>204</v>
      </c>
      <c r="C60" s="35" t="s">
        <v>205</v>
      </c>
      <c r="D60" s="36"/>
      <c r="E60" s="37"/>
      <c r="F60" s="37"/>
      <c r="G60" s="37"/>
      <c r="H60" s="37" t="str">
        <f t="shared" si="16"/>
        <v/>
      </c>
      <c r="I60" s="38"/>
      <c r="J60" s="39"/>
      <c r="K60" s="39" t="str">
        <f t="shared" si="17"/>
        <v/>
      </c>
      <c r="L60" s="28">
        <f t="shared" si="18"/>
        <v>0</v>
      </c>
      <c r="M60" s="29" t="str">
        <f t="shared" si="19"/>
        <v>-</v>
      </c>
      <c r="N60" s="30" t="s">
        <v>206</v>
      </c>
    </row>
    <row r="61" spans="1:14" ht="15.75" customHeight="1" x14ac:dyDescent="0.25">
      <c r="A61" s="18"/>
      <c r="B61" s="22" t="s">
        <v>207</v>
      </c>
      <c r="C61" s="23" t="s">
        <v>208</v>
      </c>
      <c r="D61" s="24"/>
      <c r="E61" s="25"/>
      <c r="F61" s="25"/>
      <c r="G61" s="25"/>
      <c r="H61" s="25" t="str">
        <f t="shared" si="16"/>
        <v/>
      </c>
      <c r="I61" s="26"/>
      <c r="J61" s="27"/>
      <c r="K61" s="27" t="str">
        <f t="shared" si="17"/>
        <v/>
      </c>
      <c r="L61" s="28">
        <f t="shared" si="18"/>
        <v>0</v>
      </c>
      <c r="M61" s="29" t="str">
        <f t="shared" si="19"/>
        <v>-</v>
      </c>
      <c r="N61" s="31" t="s">
        <v>209</v>
      </c>
    </row>
    <row r="62" spans="1:14" ht="15.75" customHeight="1" x14ac:dyDescent="0.25">
      <c r="A62" s="18"/>
      <c r="B62" s="22" t="s">
        <v>210</v>
      </c>
      <c r="C62" s="23" t="s">
        <v>211</v>
      </c>
      <c r="D62" s="24"/>
      <c r="E62" s="25"/>
      <c r="F62" s="25"/>
      <c r="G62" s="25"/>
      <c r="H62" s="25" t="str">
        <f t="shared" si="16"/>
        <v/>
      </c>
      <c r="I62" s="26"/>
      <c r="J62" s="27"/>
      <c r="K62" s="27" t="str">
        <f t="shared" si="17"/>
        <v/>
      </c>
      <c r="L62" s="28">
        <f t="shared" si="18"/>
        <v>0</v>
      </c>
      <c r="M62" s="29" t="str">
        <f t="shared" si="19"/>
        <v>-</v>
      </c>
      <c r="N62" s="30" t="s">
        <v>212</v>
      </c>
    </row>
    <row r="63" spans="1:14" ht="15.75" customHeight="1" x14ac:dyDescent="0.25">
      <c r="A63" s="18"/>
      <c r="B63" s="22" t="s">
        <v>213</v>
      </c>
      <c r="C63" s="23" t="s">
        <v>214</v>
      </c>
      <c r="D63" s="24"/>
      <c r="E63" s="25"/>
      <c r="F63" s="25"/>
      <c r="G63" s="25"/>
      <c r="H63" s="25" t="str">
        <f t="shared" si="16"/>
        <v/>
      </c>
      <c r="I63" s="26"/>
      <c r="J63" s="27"/>
      <c r="K63" s="27" t="str">
        <f t="shared" si="17"/>
        <v/>
      </c>
      <c r="L63" s="28">
        <f t="shared" si="18"/>
        <v>0</v>
      </c>
      <c r="M63" s="29" t="str">
        <f t="shared" si="19"/>
        <v>-</v>
      </c>
      <c r="N63" s="31" t="s">
        <v>215</v>
      </c>
    </row>
    <row r="64" spans="1:14" ht="15.75" customHeight="1" x14ac:dyDescent="0.25">
      <c r="A64" s="18"/>
      <c r="B64" s="22" t="s">
        <v>216</v>
      </c>
      <c r="C64" s="23" t="s">
        <v>217</v>
      </c>
      <c r="D64" s="24"/>
      <c r="E64" s="25"/>
      <c r="F64" s="25"/>
      <c r="G64" s="25"/>
      <c r="H64" s="25" t="str">
        <f t="shared" si="16"/>
        <v/>
      </c>
      <c r="I64" s="26"/>
      <c r="J64" s="27"/>
      <c r="K64" s="27" t="str">
        <f t="shared" si="17"/>
        <v/>
      </c>
      <c r="L64" s="28">
        <f t="shared" si="18"/>
        <v>0</v>
      </c>
      <c r="M64" s="29" t="str">
        <f t="shared" si="19"/>
        <v>-</v>
      </c>
      <c r="N64" s="30" t="s">
        <v>218</v>
      </c>
    </row>
    <row r="65" spans="1:14" ht="15.75" customHeight="1" x14ac:dyDescent="0.25">
      <c r="A65" s="18"/>
      <c r="B65" s="22" t="s">
        <v>219</v>
      </c>
      <c r="C65" s="23" t="s">
        <v>220</v>
      </c>
      <c r="D65" s="24"/>
      <c r="E65" s="25"/>
      <c r="F65" s="25"/>
      <c r="G65" s="25"/>
      <c r="H65" s="25" t="str">
        <f t="shared" si="16"/>
        <v/>
      </c>
      <c r="I65" s="26"/>
      <c r="J65" s="27"/>
      <c r="K65" s="27" t="str">
        <f t="shared" si="17"/>
        <v/>
      </c>
      <c r="L65" s="28">
        <f t="shared" si="18"/>
        <v>0</v>
      </c>
      <c r="M65" s="29" t="str">
        <f t="shared" si="19"/>
        <v>-</v>
      </c>
      <c r="N65" s="31" t="s">
        <v>221</v>
      </c>
    </row>
    <row r="66" spans="1:14" ht="15.75" customHeight="1" x14ac:dyDescent="0.25">
      <c r="A66" s="18"/>
      <c r="B66" s="34" t="s">
        <v>222</v>
      </c>
      <c r="C66" s="35" t="s">
        <v>223</v>
      </c>
      <c r="D66" s="36"/>
      <c r="E66" s="37"/>
      <c r="F66" s="37"/>
      <c r="G66" s="37"/>
      <c r="H66" s="37" t="str">
        <f t="shared" si="16"/>
        <v/>
      </c>
      <c r="I66" s="38"/>
      <c r="J66" s="39"/>
      <c r="K66" s="39" t="str">
        <f t="shared" si="17"/>
        <v/>
      </c>
      <c r="L66" s="28">
        <f t="shared" si="18"/>
        <v>0</v>
      </c>
      <c r="M66" s="29" t="str">
        <f t="shared" si="19"/>
        <v>-</v>
      </c>
      <c r="N66" s="30" t="s">
        <v>224</v>
      </c>
    </row>
    <row r="67" spans="1:14" ht="13.5" customHeight="1" x14ac:dyDescent="0.25">
      <c r="A67" s="18"/>
      <c r="B67" s="21" t="s">
        <v>225</v>
      </c>
      <c r="C67" s="21"/>
      <c r="D67" s="32"/>
      <c r="E67" s="32"/>
      <c r="F67" s="32"/>
      <c r="G67" s="32"/>
      <c r="H67" s="32"/>
      <c r="I67" s="33"/>
      <c r="J67" s="32"/>
      <c r="K67" s="33"/>
      <c r="L67" s="46">
        <f t="shared" si="18"/>
        <v>0</v>
      </c>
      <c r="M67" s="47" t="str">
        <f t="shared" si="19"/>
        <v>-</v>
      </c>
      <c r="N67" s="48"/>
    </row>
    <row r="68" spans="1:14" ht="15.75" customHeight="1" x14ac:dyDescent="0.25">
      <c r="A68" s="18"/>
      <c r="B68" s="22" t="s">
        <v>226</v>
      </c>
      <c r="C68" s="23" t="s">
        <v>227</v>
      </c>
      <c r="D68" s="24"/>
      <c r="E68" s="25"/>
      <c r="F68" s="25"/>
      <c r="G68" s="25"/>
      <c r="H68" s="25" t="str">
        <f t="shared" ref="H68:H75" si="20">IF(AND(ISNUMBER(D68),ISNUMBER(E68)),E68-D68,"")</f>
        <v/>
      </c>
      <c r="I68" s="26"/>
      <c r="J68" s="27"/>
      <c r="K68" s="27" t="str">
        <f t="shared" ref="K68:K75" si="21">IF(AND(ISNUMBER(D68),ISNUMBER(I68)),I68-D68,"")</f>
        <v/>
      </c>
    </row>
    <row r="69" spans="1:14" ht="15.75" customHeight="1" x14ac:dyDescent="0.25">
      <c r="A69" s="18"/>
      <c r="B69" s="22" t="s">
        <v>228</v>
      </c>
      <c r="C69" s="23" t="s">
        <v>229</v>
      </c>
      <c r="D69" s="24"/>
      <c r="E69" s="25"/>
      <c r="F69" s="25"/>
      <c r="G69" s="25"/>
      <c r="H69" s="25" t="str">
        <f t="shared" si="20"/>
        <v/>
      </c>
      <c r="I69" s="26"/>
      <c r="J69" s="27"/>
      <c r="K69" s="27" t="str">
        <f t="shared" si="21"/>
        <v/>
      </c>
    </row>
    <row r="70" spans="1:14" ht="15.75" customHeight="1" x14ac:dyDescent="0.25">
      <c r="A70" s="18"/>
      <c r="B70" s="22" t="s">
        <v>230</v>
      </c>
      <c r="C70" s="23" t="s">
        <v>231</v>
      </c>
      <c r="D70" s="24"/>
      <c r="E70" s="25"/>
      <c r="F70" s="25"/>
      <c r="G70" s="25"/>
      <c r="H70" s="25" t="str">
        <f t="shared" si="20"/>
        <v/>
      </c>
      <c r="I70" s="26"/>
      <c r="J70" s="27"/>
      <c r="K70" s="27" t="str">
        <f t="shared" si="21"/>
        <v/>
      </c>
      <c r="L70" s="28">
        <f t="shared" ref="L70:L77" si="22">IFERROR(G70-F70,"-")</f>
        <v>0</v>
      </c>
      <c r="M70" s="29" t="str">
        <f t="shared" ref="M70:M77" si="23">IFERROR((G70-F70)/F70,"-")</f>
        <v>-</v>
      </c>
      <c r="N70" s="30" t="s">
        <v>232</v>
      </c>
    </row>
    <row r="71" spans="1:14" ht="15.75" customHeight="1" x14ac:dyDescent="0.25">
      <c r="A71" s="18"/>
      <c r="B71" s="22" t="s">
        <v>233</v>
      </c>
      <c r="C71" s="23" t="s">
        <v>234</v>
      </c>
      <c r="D71" s="24"/>
      <c r="E71" s="25"/>
      <c r="F71" s="25"/>
      <c r="G71" s="25"/>
      <c r="H71" s="25" t="str">
        <f t="shared" si="20"/>
        <v/>
      </c>
      <c r="I71" s="26"/>
      <c r="J71" s="27"/>
      <c r="K71" s="27" t="str">
        <f t="shared" si="21"/>
        <v/>
      </c>
      <c r="L71" s="28">
        <f t="shared" si="22"/>
        <v>0</v>
      </c>
      <c r="M71" s="29" t="str">
        <f t="shared" si="23"/>
        <v>-</v>
      </c>
      <c r="N71" s="31" t="s">
        <v>235</v>
      </c>
    </row>
    <row r="72" spans="1:14" ht="15.75" customHeight="1" x14ac:dyDescent="0.25">
      <c r="A72" s="18"/>
      <c r="B72" s="22" t="s">
        <v>236</v>
      </c>
      <c r="C72" s="23" t="s">
        <v>237</v>
      </c>
      <c r="D72" s="24"/>
      <c r="E72" s="25"/>
      <c r="F72" s="25"/>
      <c r="G72" s="25"/>
      <c r="H72" s="25" t="str">
        <f t="shared" si="20"/>
        <v/>
      </c>
      <c r="I72" s="26"/>
      <c r="J72" s="27"/>
      <c r="K72" s="27" t="str">
        <f t="shared" si="21"/>
        <v/>
      </c>
      <c r="L72" s="28">
        <f t="shared" si="22"/>
        <v>0</v>
      </c>
      <c r="M72" s="29" t="str">
        <f t="shared" si="23"/>
        <v>-</v>
      </c>
      <c r="N72" s="30" t="s">
        <v>238</v>
      </c>
    </row>
    <row r="73" spans="1:14" ht="15.75" customHeight="1" x14ac:dyDescent="0.25">
      <c r="A73" s="18"/>
      <c r="B73" s="34" t="s">
        <v>239</v>
      </c>
      <c r="C73" s="35" t="s">
        <v>240</v>
      </c>
      <c r="D73" s="36"/>
      <c r="E73" s="37"/>
      <c r="F73" s="37"/>
      <c r="G73" s="37"/>
      <c r="H73" s="37" t="str">
        <f t="shared" si="20"/>
        <v/>
      </c>
      <c r="I73" s="38"/>
      <c r="J73" s="39"/>
      <c r="K73" s="39" t="str">
        <f t="shared" si="21"/>
        <v/>
      </c>
      <c r="L73" s="28">
        <f t="shared" si="22"/>
        <v>0</v>
      </c>
      <c r="M73" s="29" t="str">
        <f t="shared" si="23"/>
        <v>-</v>
      </c>
      <c r="N73" s="31" t="s">
        <v>241</v>
      </c>
    </row>
    <row r="74" spans="1:14" ht="15.75" customHeight="1" x14ac:dyDescent="0.25">
      <c r="A74" s="18"/>
      <c r="B74" s="34" t="s">
        <v>242</v>
      </c>
      <c r="C74" s="35" t="s">
        <v>243</v>
      </c>
      <c r="D74" s="36"/>
      <c r="E74" s="37"/>
      <c r="F74" s="37"/>
      <c r="G74" s="37"/>
      <c r="H74" s="37" t="str">
        <f t="shared" si="20"/>
        <v/>
      </c>
      <c r="I74" s="38"/>
      <c r="J74" s="39"/>
      <c r="K74" s="39" t="str">
        <f t="shared" si="21"/>
        <v/>
      </c>
      <c r="L74" s="28">
        <f t="shared" si="22"/>
        <v>0</v>
      </c>
      <c r="M74" s="29" t="str">
        <f t="shared" si="23"/>
        <v>-</v>
      </c>
      <c r="N74" s="30" t="s">
        <v>244</v>
      </c>
    </row>
    <row r="75" spans="1:14" ht="15.75" customHeight="1" x14ac:dyDescent="0.25">
      <c r="A75" s="18"/>
      <c r="B75" s="34" t="s">
        <v>245</v>
      </c>
      <c r="C75" s="35" t="s">
        <v>246</v>
      </c>
      <c r="D75" s="36"/>
      <c r="E75" s="37"/>
      <c r="F75" s="37"/>
      <c r="G75" s="37"/>
      <c r="H75" s="37" t="str">
        <f t="shared" si="20"/>
        <v/>
      </c>
      <c r="I75" s="38"/>
      <c r="J75" s="39"/>
      <c r="K75" s="39" t="str">
        <f t="shared" si="21"/>
        <v/>
      </c>
      <c r="L75" s="28">
        <f t="shared" si="22"/>
        <v>0</v>
      </c>
      <c r="M75" s="29" t="str">
        <f t="shared" si="23"/>
        <v>-</v>
      </c>
      <c r="N75" s="31" t="s">
        <v>247</v>
      </c>
    </row>
    <row r="76" spans="1:14" ht="13.5" customHeight="1" x14ac:dyDescent="0.25">
      <c r="A76" s="18"/>
      <c r="B76" s="21" t="s">
        <v>248</v>
      </c>
      <c r="C76" s="21"/>
      <c r="D76" s="32"/>
      <c r="E76" s="32"/>
      <c r="F76" s="32"/>
      <c r="G76" s="32"/>
      <c r="H76" s="32"/>
      <c r="I76" s="33"/>
      <c r="J76" s="32"/>
      <c r="K76" s="33"/>
      <c r="L76" s="28">
        <f t="shared" si="22"/>
        <v>0</v>
      </c>
      <c r="M76" s="29" t="str">
        <f t="shared" si="23"/>
        <v>-</v>
      </c>
      <c r="N76" s="30" t="s">
        <v>249</v>
      </c>
    </row>
    <row r="77" spans="1:14" ht="15.75" customHeight="1" x14ac:dyDescent="0.25">
      <c r="A77" s="18"/>
      <c r="B77" s="22" t="s">
        <v>250</v>
      </c>
      <c r="C77" s="23" t="s">
        <v>251</v>
      </c>
      <c r="D77" s="24"/>
      <c r="E77" s="25"/>
      <c r="F77" s="25"/>
      <c r="G77" s="25"/>
      <c r="H77" s="25" t="str">
        <f t="shared" ref="H77:H82" si="24">IF(AND(ISNUMBER(D77),ISNUMBER(E77)),E77-D77,"")</f>
        <v/>
      </c>
      <c r="I77" s="26"/>
      <c r="J77" s="27"/>
      <c r="K77" s="27" t="str">
        <f t="shared" ref="K77:K82" si="25">IF(AND(ISNUMBER(D77),ISNUMBER(I77)),I77-D77,"")</f>
        <v/>
      </c>
      <c r="L77" s="49">
        <f t="shared" si="22"/>
        <v>0</v>
      </c>
      <c r="M77" s="50" t="str">
        <f t="shared" si="23"/>
        <v>-</v>
      </c>
      <c r="N77" s="51"/>
    </row>
    <row r="78" spans="1:14" ht="15.75" customHeight="1" x14ac:dyDescent="0.25">
      <c r="A78" s="18"/>
      <c r="B78" s="22" t="s">
        <v>252</v>
      </c>
      <c r="C78" s="23" t="s">
        <v>253</v>
      </c>
      <c r="D78" s="24"/>
      <c r="E78" s="25"/>
      <c r="F78" s="25"/>
      <c r="G78" s="25"/>
      <c r="H78" s="25" t="str">
        <f t="shared" si="24"/>
        <v/>
      </c>
      <c r="I78" s="26"/>
      <c r="J78" s="27"/>
      <c r="K78" s="27" t="str">
        <f t="shared" si="25"/>
        <v/>
      </c>
    </row>
    <row r="79" spans="1:14" ht="15.75" customHeight="1" x14ac:dyDescent="0.25">
      <c r="A79" s="18"/>
      <c r="B79" s="22" t="s">
        <v>254</v>
      </c>
      <c r="C79" s="23" t="s">
        <v>255</v>
      </c>
      <c r="D79" s="24"/>
      <c r="E79" s="25"/>
      <c r="F79" s="25"/>
      <c r="G79" s="25"/>
      <c r="H79" s="25" t="str">
        <f t="shared" si="24"/>
        <v/>
      </c>
      <c r="I79" s="26"/>
      <c r="J79" s="27"/>
      <c r="K79" s="27" t="str">
        <f t="shared" si="25"/>
        <v/>
      </c>
    </row>
    <row r="80" spans="1:14" ht="15.75" customHeight="1" x14ac:dyDescent="0.25">
      <c r="A80" s="18"/>
      <c r="B80" s="22" t="s">
        <v>256</v>
      </c>
      <c r="C80" s="23" t="s">
        <v>257</v>
      </c>
      <c r="D80" s="24"/>
      <c r="E80" s="25"/>
      <c r="F80" s="25"/>
      <c r="G80" s="25"/>
      <c r="H80" s="25" t="str">
        <f t="shared" si="24"/>
        <v/>
      </c>
      <c r="I80" s="26"/>
      <c r="J80" s="27"/>
      <c r="K80" s="27" t="str">
        <f t="shared" si="25"/>
        <v/>
      </c>
      <c r="L80" s="52">
        <f>IFERROR(G80-F80,"-")</f>
        <v>0</v>
      </c>
      <c r="M80" s="53" t="str">
        <f>IFERROR((G80-F80)/F80,"-")</f>
        <v>-</v>
      </c>
      <c r="N80" s="54"/>
    </row>
    <row r="81" spans="1:14" ht="15.75" customHeight="1" x14ac:dyDescent="0.25">
      <c r="A81" s="18"/>
      <c r="B81" s="22" t="s">
        <v>258</v>
      </c>
      <c r="C81" s="23" t="s">
        <v>259</v>
      </c>
      <c r="D81" s="24"/>
      <c r="E81" s="25"/>
      <c r="F81" s="25"/>
      <c r="G81" s="25"/>
      <c r="H81" s="25" t="str">
        <f t="shared" si="24"/>
        <v/>
      </c>
      <c r="I81" s="26"/>
      <c r="J81" s="27"/>
      <c r="K81" s="27" t="str">
        <f t="shared" si="25"/>
        <v/>
      </c>
    </row>
    <row r="82" spans="1:14" ht="15.75" customHeight="1" x14ac:dyDescent="0.25">
      <c r="A82" s="18"/>
      <c r="B82" s="22" t="s">
        <v>260</v>
      </c>
      <c r="C82" s="23" t="s">
        <v>261</v>
      </c>
      <c r="D82" s="24"/>
      <c r="E82" s="25"/>
      <c r="F82" s="25"/>
      <c r="G82" s="25"/>
      <c r="H82" s="25" t="str">
        <f t="shared" si="24"/>
        <v/>
      </c>
      <c r="I82" s="26"/>
      <c r="J82" s="27"/>
      <c r="K82" s="27" t="str">
        <f t="shared" si="25"/>
        <v/>
      </c>
    </row>
    <row r="83" spans="1:14" ht="13.5" customHeight="1" x14ac:dyDescent="0.25">
      <c r="A83" s="18"/>
      <c r="B83" s="21" t="s">
        <v>262</v>
      </c>
      <c r="C83" s="21"/>
      <c r="D83" s="21"/>
      <c r="E83" s="21"/>
      <c r="F83" s="21"/>
      <c r="G83" s="21"/>
      <c r="H83" s="21"/>
      <c r="I83" s="21"/>
      <c r="J83" s="21"/>
      <c r="K83" s="21"/>
    </row>
    <row r="84" spans="1:14" ht="15.75" customHeight="1" x14ac:dyDescent="0.25">
      <c r="A84" s="18"/>
      <c r="B84" s="22" t="s">
        <v>263</v>
      </c>
      <c r="C84" s="23" t="s">
        <v>264</v>
      </c>
      <c r="D84" s="24"/>
      <c r="E84" s="25"/>
      <c r="F84" s="25"/>
      <c r="G84" s="25"/>
      <c r="H84" s="25" t="str">
        <f>IF(AND(ISNUMBER(D84),ISNUMBER(E84)),E84-D84,"")</f>
        <v/>
      </c>
      <c r="I84" s="26"/>
      <c r="J84" s="27"/>
      <c r="K84" s="27" t="str">
        <f>IF(AND(ISNUMBER(D84),ISNUMBER(I84)),I84-D84,"")</f>
        <v/>
      </c>
      <c r="L84" s="55"/>
      <c r="M84" s="55"/>
      <c r="N84" s="55"/>
    </row>
    <row r="85" spans="1:14" ht="15.75" customHeight="1" x14ac:dyDescent="0.25">
      <c r="A85" s="18"/>
      <c r="B85" s="22" t="s">
        <v>265</v>
      </c>
      <c r="C85" s="23" t="s">
        <v>266</v>
      </c>
      <c r="D85" s="24"/>
      <c r="E85" s="25"/>
      <c r="F85" s="25"/>
      <c r="G85" s="25"/>
      <c r="H85" s="25" t="str">
        <f>IF(AND(ISNUMBER(D85),ISNUMBER(E85)),E85-D85,"")</f>
        <v/>
      </c>
      <c r="I85" s="26"/>
      <c r="J85" s="27"/>
      <c r="K85" s="27" t="str">
        <f>IF(AND(ISNUMBER(D85),ISNUMBER(I85)),I85-D85,"")</f>
        <v/>
      </c>
      <c r="L85" s="55"/>
      <c r="M85" s="55"/>
      <c r="N85" s="55"/>
    </row>
    <row r="86" spans="1:14" ht="15.75" customHeight="1" x14ac:dyDescent="0.25">
      <c r="A86" s="18"/>
      <c r="B86" s="34" t="s">
        <v>267</v>
      </c>
      <c r="C86" s="35" t="s">
        <v>268</v>
      </c>
      <c r="D86" s="36"/>
      <c r="E86" s="37"/>
      <c r="F86" s="37"/>
      <c r="G86" s="37"/>
      <c r="H86" s="37" t="str">
        <f>IF(AND(ISNUMBER(D86),ISNUMBER(E86)),E86-D86,"")</f>
        <v/>
      </c>
      <c r="I86" s="38"/>
      <c r="J86" s="39"/>
      <c r="K86" s="39" t="str">
        <f>IF(AND(ISNUMBER(D86),ISNUMBER(I86)),I86-D86,"")</f>
        <v/>
      </c>
      <c r="L86" s="55"/>
      <c r="M86" s="55"/>
      <c r="N86" s="55"/>
    </row>
    <row r="87" spans="1:14" ht="13.5" customHeight="1" x14ac:dyDescent="0.25">
      <c r="A87" s="18"/>
      <c r="B87" s="21" t="s">
        <v>269</v>
      </c>
      <c r="C87" s="21"/>
      <c r="D87" s="33"/>
      <c r="E87" s="33"/>
      <c r="F87" s="33"/>
      <c r="G87" s="33"/>
      <c r="H87" s="21"/>
      <c r="I87" s="21"/>
      <c r="J87" s="21"/>
      <c r="K87" s="21"/>
      <c r="L87" s="55"/>
      <c r="M87" s="55"/>
      <c r="N87" s="55"/>
    </row>
    <row r="88" spans="1:14" ht="15.75" customHeight="1" x14ac:dyDescent="0.25">
      <c r="A88" s="18"/>
      <c r="B88" s="34" t="s">
        <v>270</v>
      </c>
      <c r="C88" s="35" t="s">
        <v>271</v>
      </c>
      <c r="D88" s="36"/>
      <c r="E88" s="37"/>
      <c r="F88" s="37"/>
      <c r="G88" s="37"/>
      <c r="H88" s="37" t="str">
        <f>IF(AND(ISNUMBER(D88),ISNUMBER(E88)),E88-D88,"")</f>
        <v/>
      </c>
      <c r="I88" s="38"/>
      <c r="J88" s="39"/>
      <c r="K88" s="39" t="str">
        <f>IF(AND(ISNUMBER(D88),ISNUMBER(I88)),I88-D88,"")</f>
        <v/>
      </c>
      <c r="L88" s="55"/>
      <c r="M88" s="55"/>
      <c r="N88" s="55"/>
    </row>
    <row r="89" spans="1:14" ht="13.5" customHeight="1" x14ac:dyDescent="0.25">
      <c r="A89" s="18"/>
      <c r="B89" s="21" t="s">
        <v>272</v>
      </c>
      <c r="C89" s="21"/>
      <c r="D89" s="56"/>
      <c r="E89" s="56"/>
      <c r="F89" s="56"/>
      <c r="G89" s="56"/>
      <c r="H89" s="21"/>
      <c r="I89" s="21"/>
      <c r="J89" s="21"/>
      <c r="K89" s="21"/>
      <c r="L89" s="55"/>
      <c r="M89" s="55"/>
      <c r="N89" s="55"/>
    </row>
    <row r="90" spans="1:14" ht="15.75" customHeight="1" x14ac:dyDescent="0.25">
      <c r="A90" s="18"/>
      <c r="B90" s="22" t="s">
        <v>273</v>
      </c>
      <c r="C90" s="23" t="s">
        <v>274</v>
      </c>
      <c r="D90" s="24"/>
      <c r="E90" s="25"/>
      <c r="F90" s="25"/>
      <c r="G90" s="25"/>
      <c r="H90" s="25" t="str">
        <f>IF(AND(ISNUMBER(D90),ISNUMBER(E90)),E90-D90,"")</f>
        <v/>
      </c>
      <c r="I90" s="26"/>
      <c r="J90" s="27"/>
      <c r="K90" s="27" t="str">
        <f>IF(AND(ISNUMBER(D90),ISNUMBER(I90)),I90-D90,"")</f>
        <v/>
      </c>
      <c r="L90" s="55"/>
      <c r="M90" s="55"/>
      <c r="N90" s="55"/>
    </row>
    <row r="91" spans="1:14" ht="15.75" customHeight="1" x14ac:dyDescent="0.25">
      <c r="A91" s="18"/>
      <c r="B91" s="22" t="s">
        <v>275</v>
      </c>
      <c r="C91" s="23" t="s">
        <v>276</v>
      </c>
      <c r="D91" s="24"/>
      <c r="E91" s="25"/>
      <c r="F91" s="25"/>
      <c r="G91" s="25"/>
      <c r="H91" s="25" t="str">
        <f>IF(AND(ISNUMBER(D91),ISNUMBER(E91)),E91-D91,"")</f>
        <v/>
      </c>
      <c r="I91" s="26"/>
      <c r="J91" s="27"/>
      <c r="K91" s="27" t="str">
        <f>IF(AND(ISNUMBER(D91),ISNUMBER(I91)),I91-D91,"")</f>
        <v/>
      </c>
      <c r="L91" s="55"/>
      <c r="M91" s="55"/>
      <c r="N91" s="55"/>
    </row>
    <row r="92" spans="1:14" ht="15.75" customHeight="1" x14ac:dyDescent="0.25">
      <c r="B92" s="22" t="s">
        <v>277</v>
      </c>
      <c r="C92" s="23" t="s">
        <v>278</v>
      </c>
      <c r="D92" s="24"/>
      <c r="E92" s="25"/>
      <c r="F92" s="25"/>
      <c r="G92" s="25"/>
      <c r="H92" s="25" t="str">
        <f>IF(AND(ISNUMBER(D92),ISNUMBER(E92)),E92-D92,"")</f>
        <v/>
      </c>
      <c r="I92" s="26"/>
      <c r="J92" s="27"/>
      <c r="K92" s="27" t="str">
        <f>IF(AND(ISNUMBER(D92),ISNUMBER(I92)),I92-D92,"")</f>
        <v/>
      </c>
    </row>
    <row r="93" spans="1:14" ht="13.5" customHeight="1" x14ac:dyDescent="0.25">
      <c r="B93" s="21" t="s">
        <v>279</v>
      </c>
      <c r="C93" s="21"/>
      <c r="D93" s="21"/>
      <c r="E93" s="21"/>
      <c r="F93" s="21"/>
      <c r="G93" s="21"/>
      <c r="H93" s="21"/>
      <c r="I93" s="21"/>
      <c r="J93" s="21"/>
      <c r="K93" s="21"/>
    </row>
    <row r="94" spans="1:14" ht="15.75" customHeight="1" x14ac:dyDescent="0.25">
      <c r="B94" s="22" t="s">
        <v>280</v>
      </c>
      <c r="C94" s="23" t="s">
        <v>281</v>
      </c>
      <c r="D94" s="24"/>
      <c r="E94" s="25"/>
      <c r="F94" s="25"/>
      <c r="G94" s="25"/>
      <c r="H94" s="25" t="str">
        <f>IF(AND(ISNUMBER(D94),ISNUMBER(E94)),E94-D94,"")</f>
        <v/>
      </c>
      <c r="I94" s="26"/>
      <c r="J94" s="27"/>
      <c r="K94" s="27" t="str">
        <f>IF(AND(ISNUMBER(D94),ISNUMBER(I94)),I94-D94,"")</f>
        <v/>
      </c>
    </row>
    <row r="95" spans="1:14" ht="15.75" customHeight="1" x14ac:dyDescent="0.25">
      <c r="B95" s="22" t="s">
        <v>282</v>
      </c>
      <c r="C95" s="23" t="s">
        <v>283</v>
      </c>
      <c r="D95" s="24"/>
      <c r="E95" s="25"/>
      <c r="F95" s="25"/>
      <c r="G95" s="25"/>
      <c r="H95" s="25" t="str">
        <f>IF(AND(ISNUMBER(D95),ISNUMBER(E95)),E95-D95,"")</f>
        <v/>
      </c>
      <c r="I95" s="26"/>
      <c r="J95" s="27"/>
      <c r="K95" s="27" t="str">
        <f>IF(AND(ISNUMBER(D95),ISNUMBER(I95)),I95-D95,"")</f>
        <v/>
      </c>
    </row>
    <row r="96" spans="1:14" ht="15.75" customHeight="1" x14ac:dyDescent="0.25">
      <c r="B96" s="34" t="s">
        <v>284</v>
      </c>
      <c r="C96" s="35" t="s">
        <v>285</v>
      </c>
      <c r="D96" s="36"/>
      <c r="E96" s="37"/>
      <c r="F96" s="37"/>
      <c r="G96" s="37"/>
      <c r="H96" s="37" t="str">
        <f>IF(AND(ISNUMBER(D96),ISNUMBER(E96)),E96-D96,"")</f>
        <v/>
      </c>
      <c r="I96" s="38"/>
      <c r="J96" s="39"/>
      <c r="K96" s="39" t="str">
        <f>IF(AND(ISNUMBER(D96),ISNUMBER(I96)),I96-D96,"")</f>
        <v/>
      </c>
    </row>
    <row r="97" spans="2:11" ht="13.5" customHeight="1" x14ac:dyDescent="0.25">
      <c r="B97" s="21" t="s">
        <v>286</v>
      </c>
      <c r="C97" s="21"/>
      <c r="D97" s="21"/>
      <c r="E97" s="21"/>
      <c r="F97" s="21"/>
      <c r="G97" s="21"/>
      <c r="H97" s="21"/>
      <c r="I97" s="21"/>
      <c r="J97" s="21"/>
      <c r="K97" s="21"/>
    </row>
    <row r="98" spans="2:11" ht="15.75" customHeight="1" x14ac:dyDescent="0.25">
      <c r="B98" s="22" t="s">
        <v>287</v>
      </c>
      <c r="C98" s="23" t="s">
        <v>288</v>
      </c>
      <c r="D98" s="24"/>
      <c r="E98" s="25"/>
      <c r="F98" s="25"/>
      <c r="G98" s="25"/>
      <c r="H98" s="25" t="str">
        <f>IF(AND(ISNUMBER(D98),ISNUMBER(E98)),E98-D98,"")</f>
        <v/>
      </c>
      <c r="I98" s="26"/>
      <c r="J98" s="27"/>
      <c r="K98" s="27" t="str">
        <f>IF(AND(ISNUMBER(D98),ISNUMBER(I98)),I98-D98,"")</f>
        <v/>
      </c>
    </row>
    <row r="99" spans="2:11" ht="15.75" customHeight="1" x14ac:dyDescent="0.25">
      <c r="B99" s="22" t="s">
        <v>289</v>
      </c>
      <c r="C99" s="23" t="s">
        <v>290</v>
      </c>
      <c r="D99" s="24"/>
      <c r="E99" s="25"/>
      <c r="F99" s="25"/>
      <c r="G99" s="25"/>
      <c r="H99" s="25" t="str">
        <f>IF(AND(ISNUMBER(D99),ISNUMBER(E99)),E99-D99,"")</f>
        <v/>
      </c>
      <c r="I99" s="26"/>
      <c r="J99" s="27"/>
      <c r="K99" s="27" t="str">
        <f>IF(AND(ISNUMBER(D99),ISNUMBER(I99)),I99-D99,"")</f>
        <v/>
      </c>
    </row>
    <row r="100" spans="2:11" ht="15.75" customHeight="1" x14ac:dyDescent="0.25">
      <c r="B100" s="22" t="s">
        <v>291</v>
      </c>
      <c r="C100" s="23" t="s">
        <v>292</v>
      </c>
      <c r="D100" s="24"/>
      <c r="E100" s="25"/>
      <c r="F100" s="25"/>
      <c r="G100" s="25"/>
      <c r="H100" s="25" t="str">
        <f>IF(AND(ISNUMBER(D100),ISNUMBER(E100)),E100-D100,"")</f>
        <v/>
      </c>
      <c r="I100" s="26"/>
      <c r="J100" s="27"/>
      <c r="K100" s="27" t="str">
        <f>IF(AND(ISNUMBER(D100),ISNUMBER(I100)),I100-D100,"")</f>
        <v/>
      </c>
    </row>
    <row r="101" spans="2:11" ht="15.75" customHeight="1" x14ac:dyDescent="0.25">
      <c r="B101" s="34" t="s">
        <v>293</v>
      </c>
      <c r="C101" s="35" t="s">
        <v>294</v>
      </c>
      <c r="D101" s="36"/>
      <c r="E101" s="37"/>
      <c r="F101" s="37"/>
      <c r="G101" s="37"/>
      <c r="H101" s="37" t="str">
        <f>IF(AND(ISNUMBER(D101),ISNUMBER(E101)),E101-D101,"")</f>
        <v/>
      </c>
      <c r="I101" s="38"/>
      <c r="J101" s="39"/>
      <c r="K101" s="39" t="str">
        <f>IF(AND(ISNUMBER(D101),ISNUMBER(I101)),I101-D101,"")</f>
        <v/>
      </c>
    </row>
    <row r="102" spans="2:11" ht="15.75" customHeight="1" x14ac:dyDescent="0.25">
      <c r="B102" s="22" t="s">
        <v>295</v>
      </c>
      <c r="C102" s="23" t="s">
        <v>296</v>
      </c>
      <c r="D102" s="24"/>
      <c r="E102" s="25"/>
      <c r="F102" s="25"/>
      <c r="G102" s="25"/>
      <c r="H102" s="25" t="str">
        <f>IF(AND(ISNUMBER(D102),ISNUMBER(E102)),E102-D102,"")</f>
        <v/>
      </c>
      <c r="I102" s="26"/>
      <c r="J102" s="27"/>
      <c r="K102" s="27" t="str">
        <f>IF(AND(ISNUMBER(D102),ISNUMBER(I102)),I102-D102,"")</f>
        <v/>
      </c>
    </row>
    <row r="103" spans="2:11" ht="13.5" customHeight="1" x14ac:dyDescent="0.25">
      <c r="B103" s="21" t="s">
        <v>297</v>
      </c>
      <c r="C103" s="21"/>
      <c r="D103" s="21"/>
      <c r="E103" s="21"/>
      <c r="F103" s="21"/>
      <c r="G103" s="21"/>
      <c r="H103" s="21"/>
      <c r="I103" s="21"/>
      <c r="J103" s="21"/>
      <c r="K103" s="21"/>
    </row>
    <row r="104" spans="2:11" ht="15.75" customHeight="1" x14ac:dyDescent="0.25">
      <c r="B104" s="22" t="s">
        <v>298</v>
      </c>
      <c r="C104" s="23" t="s">
        <v>299</v>
      </c>
      <c r="D104" s="24"/>
      <c r="E104" s="25"/>
      <c r="F104" s="25"/>
      <c r="G104" s="25"/>
      <c r="H104" s="25" t="str">
        <f t="shared" ref="H104:H109" si="26">IF(AND(ISNUMBER(D104),ISNUMBER(E104)),E104-D104,"")</f>
        <v/>
      </c>
      <c r="I104" s="26"/>
      <c r="J104" s="27"/>
      <c r="K104" s="27" t="str">
        <f t="shared" ref="K104:K109" si="27">IF(AND(ISNUMBER(D104),ISNUMBER(I104)),I104-D104,"")</f>
        <v/>
      </c>
    </row>
    <row r="105" spans="2:11" ht="15.75" customHeight="1" x14ac:dyDescent="0.25">
      <c r="B105" s="22" t="s">
        <v>300</v>
      </c>
      <c r="C105" s="23" t="s">
        <v>301</v>
      </c>
      <c r="D105" s="24"/>
      <c r="E105" s="25"/>
      <c r="F105" s="25"/>
      <c r="G105" s="25"/>
      <c r="H105" s="25" t="str">
        <f t="shared" si="26"/>
        <v/>
      </c>
      <c r="I105" s="26"/>
      <c r="J105" s="27"/>
      <c r="K105" s="27" t="str">
        <f t="shared" si="27"/>
        <v/>
      </c>
    </row>
    <row r="106" spans="2:11" ht="15.75" customHeight="1" x14ac:dyDescent="0.25">
      <c r="B106" s="22" t="s">
        <v>302</v>
      </c>
      <c r="C106" s="23" t="s">
        <v>303</v>
      </c>
      <c r="D106" s="24"/>
      <c r="E106" s="25"/>
      <c r="F106" s="25"/>
      <c r="G106" s="25"/>
      <c r="H106" s="25" t="str">
        <f t="shared" si="26"/>
        <v/>
      </c>
      <c r="I106" s="26"/>
      <c r="J106" s="27"/>
      <c r="K106" s="27" t="str">
        <f t="shared" si="27"/>
        <v/>
      </c>
    </row>
    <row r="107" spans="2:11" ht="15.75" customHeight="1" x14ac:dyDescent="0.25">
      <c r="B107" s="22" t="s">
        <v>304</v>
      </c>
      <c r="C107" s="23" t="s">
        <v>305</v>
      </c>
      <c r="D107" s="24"/>
      <c r="E107" s="25"/>
      <c r="F107" s="25"/>
      <c r="G107" s="25"/>
      <c r="H107" s="25" t="str">
        <f t="shared" si="26"/>
        <v/>
      </c>
      <c r="I107" s="26"/>
      <c r="J107" s="27"/>
      <c r="K107" s="27" t="str">
        <f t="shared" si="27"/>
        <v/>
      </c>
    </row>
    <row r="108" spans="2:11" ht="15.75" customHeight="1" x14ac:dyDescent="0.25">
      <c r="B108" s="22" t="s">
        <v>306</v>
      </c>
      <c r="C108" s="23" t="s">
        <v>307</v>
      </c>
      <c r="D108" s="24"/>
      <c r="E108" s="25"/>
      <c r="F108" s="25"/>
      <c r="G108" s="25"/>
      <c r="H108" s="25" t="str">
        <f t="shared" si="26"/>
        <v/>
      </c>
      <c r="I108" s="26"/>
      <c r="J108" s="27"/>
      <c r="K108" s="27" t="str">
        <f t="shared" si="27"/>
        <v/>
      </c>
    </row>
    <row r="109" spans="2:11" ht="15.75" customHeight="1" x14ac:dyDescent="0.25">
      <c r="B109" s="22" t="s">
        <v>308</v>
      </c>
      <c r="C109" s="23" t="s">
        <v>309</v>
      </c>
      <c r="D109" s="24"/>
      <c r="E109" s="25"/>
      <c r="F109" s="25"/>
      <c r="G109" s="25"/>
      <c r="H109" s="25" t="str">
        <f t="shared" si="26"/>
        <v/>
      </c>
      <c r="I109" s="26"/>
      <c r="J109" s="27"/>
      <c r="K109" s="27" t="str">
        <f t="shared" si="27"/>
        <v/>
      </c>
    </row>
    <row r="110" spans="2:11" ht="13.5" customHeight="1" x14ac:dyDescent="0.25">
      <c r="B110" s="21" t="s">
        <v>310</v>
      </c>
      <c r="C110" s="21"/>
      <c r="D110" s="21"/>
      <c r="E110" s="21"/>
      <c r="F110" s="21"/>
      <c r="G110" s="21"/>
      <c r="H110" s="21"/>
      <c r="I110" s="21"/>
      <c r="J110" s="21"/>
      <c r="K110" s="21"/>
    </row>
    <row r="111" spans="2:11" ht="15.75" customHeight="1" x14ac:dyDescent="0.25">
      <c r="B111" s="22" t="s">
        <v>311</v>
      </c>
      <c r="C111" s="23" t="s">
        <v>312</v>
      </c>
      <c r="D111" s="24"/>
      <c r="E111" s="25"/>
      <c r="F111" s="25"/>
      <c r="G111" s="25"/>
      <c r="H111" s="25" t="str">
        <f t="shared" ref="H111:H117" si="28">IF(AND(ISNUMBER(D111),ISNUMBER(E111)),E111-D111,"")</f>
        <v/>
      </c>
      <c r="I111" s="26"/>
      <c r="J111" s="27"/>
      <c r="K111" s="27" t="str">
        <f t="shared" ref="K111:K117" si="29">IF(AND(ISNUMBER(D111),ISNUMBER(I111)),I111-D111,"")</f>
        <v/>
      </c>
    </row>
    <row r="112" spans="2:11" ht="15.75" customHeight="1" x14ac:dyDescent="0.25">
      <c r="B112" s="22" t="s">
        <v>313</v>
      </c>
      <c r="C112" s="23" t="s">
        <v>314</v>
      </c>
      <c r="D112" s="24"/>
      <c r="E112" s="25"/>
      <c r="F112" s="25"/>
      <c r="G112" s="25"/>
      <c r="H112" s="25" t="str">
        <f t="shared" si="28"/>
        <v/>
      </c>
      <c r="I112" s="26"/>
      <c r="J112" s="27"/>
      <c r="K112" s="27" t="str">
        <f t="shared" si="29"/>
        <v/>
      </c>
    </row>
    <row r="113" spans="2:11" ht="15.75" customHeight="1" x14ac:dyDescent="0.25">
      <c r="B113" s="22" t="s">
        <v>315</v>
      </c>
      <c r="C113" s="23" t="s">
        <v>316</v>
      </c>
      <c r="D113" s="24"/>
      <c r="E113" s="25"/>
      <c r="F113" s="25"/>
      <c r="G113" s="25"/>
      <c r="H113" s="25" t="str">
        <f t="shared" si="28"/>
        <v/>
      </c>
      <c r="I113" s="26"/>
      <c r="J113" s="27"/>
      <c r="K113" s="27" t="str">
        <f t="shared" si="29"/>
        <v/>
      </c>
    </row>
    <row r="114" spans="2:11" ht="15.75" customHeight="1" x14ac:dyDescent="0.25">
      <c r="B114" s="22" t="s">
        <v>317</v>
      </c>
      <c r="C114" s="23" t="s">
        <v>318</v>
      </c>
      <c r="D114" s="24"/>
      <c r="E114" s="25"/>
      <c r="F114" s="25"/>
      <c r="G114" s="25"/>
      <c r="H114" s="25" t="str">
        <f t="shared" si="28"/>
        <v/>
      </c>
      <c r="I114" s="26"/>
      <c r="J114" s="27"/>
      <c r="K114" s="27" t="str">
        <f t="shared" si="29"/>
        <v/>
      </c>
    </row>
    <row r="115" spans="2:11" ht="15.75" customHeight="1" x14ac:dyDescent="0.25">
      <c r="B115" s="22" t="s">
        <v>319</v>
      </c>
      <c r="C115" s="23" t="s">
        <v>320</v>
      </c>
      <c r="D115" s="24"/>
      <c r="E115" s="25"/>
      <c r="F115" s="25"/>
      <c r="G115" s="25"/>
      <c r="H115" s="25" t="str">
        <f t="shared" si="28"/>
        <v/>
      </c>
      <c r="I115" s="26"/>
      <c r="J115" s="27"/>
      <c r="K115" s="27" t="str">
        <f t="shared" si="29"/>
        <v/>
      </c>
    </row>
    <row r="116" spans="2:11" ht="15.75" customHeight="1" x14ac:dyDescent="0.25">
      <c r="B116" s="22" t="s">
        <v>321</v>
      </c>
      <c r="C116" s="23" t="s">
        <v>322</v>
      </c>
      <c r="D116" s="24"/>
      <c r="E116" s="25"/>
      <c r="F116" s="25"/>
      <c r="G116" s="25"/>
      <c r="H116" s="25" t="str">
        <f t="shared" si="28"/>
        <v/>
      </c>
      <c r="I116" s="26"/>
      <c r="J116" s="27"/>
      <c r="K116" s="27" t="str">
        <f t="shared" si="29"/>
        <v/>
      </c>
    </row>
    <row r="117" spans="2:11" ht="15.75" customHeight="1" x14ac:dyDescent="0.25">
      <c r="B117" s="34" t="s">
        <v>323</v>
      </c>
      <c r="C117" s="35" t="s">
        <v>324</v>
      </c>
      <c r="D117" s="36"/>
      <c r="E117" s="37"/>
      <c r="F117" s="37"/>
      <c r="G117" s="37"/>
      <c r="H117" s="37" t="str">
        <f t="shared" si="28"/>
        <v/>
      </c>
      <c r="I117" s="38"/>
      <c r="J117" s="39"/>
      <c r="K117" s="39" t="str">
        <f t="shared" si="29"/>
        <v/>
      </c>
    </row>
    <row r="118" spans="2:11" ht="13.5" customHeight="1" x14ac:dyDescent="0.25">
      <c r="B118" s="21" t="s">
        <v>325</v>
      </c>
      <c r="C118" s="21"/>
      <c r="D118" s="21"/>
      <c r="E118" s="21"/>
      <c r="F118" s="21"/>
      <c r="G118" s="21"/>
      <c r="H118" s="21"/>
      <c r="I118" s="21"/>
      <c r="J118" s="21"/>
      <c r="K118" s="21"/>
    </row>
    <row r="119" spans="2:11" ht="15.75" customHeight="1" x14ac:dyDescent="0.25">
      <c r="B119" s="22" t="s">
        <v>326</v>
      </c>
      <c r="C119" s="23" t="s">
        <v>327</v>
      </c>
      <c r="D119" s="24"/>
      <c r="E119" s="25"/>
      <c r="F119" s="25"/>
      <c r="G119" s="25"/>
      <c r="H119" s="25" t="str">
        <f t="shared" ref="H119:H124" si="30">IF(AND(ISNUMBER(D119),ISNUMBER(E119)),E119-D119,"")</f>
        <v/>
      </c>
      <c r="I119" s="26"/>
      <c r="J119" s="27"/>
      <c r="K119" s="27" t="str">
        <f t="shared" ref="K119:K124" si="31">IF(AND(ISNUMBER(D119),ISNUMBER(I119)),I119-D119,"")</f>
        <v/>
      </c>
    </row>
    <row r="120" spans="2:11" ht="15.75" customHeight="1" x14ac:dyDescent="0.25">
      <c r="B120" s="22" t="s">
        <v>328</v>
      </c>
      <c r="C120" s="23" t="s">
        <v>329</v>
      </c>
      <c r="D120" s="24"/>
      <c r="E120" s="25"/>
      <c r="F120" s="25"/>
      <c r="G120" s="25"/>
      <c r="H120" s="25" t="str">
        <f t="shared" si="30"/>
        <v/>
      </c>
      <c r="I120" s="26"/>
      <c r="J120" s="27"/>
      <c r="K120" s="27" t="str">
        <f t="shared" si="31"/>
        <v/>
      </c>
    </row>
    <row r="121" spans="2:11" ht="15.75" customHeight="1" x14ac:dyDescent="0.25">
      <c r="B121" s="34" t="s">
        <v>330</v>
      </c>
      <c r="C121" s="35" t="s">
        <v>331</v>
      </c>
      <c r="D121" s="36"/>
      <c r="E121" s="37"/>
      <c r="F121" s="37"/>
      <c r="G121" s="37"/>
      <c r="H121" s="37" t="str">
        <f t="shared" si="30"/>
        <v/>
      </c>
      <c r="I121" s="38"/>
      <c r="J121" s="39"/>
      <c r="K121" s="39" t="str">
        <f t="shared" si="31"/>
        <v/>
      </c>
    </row>
    <row r="122" spans="2:11" ht="15.75" customHeight="1" x14ac:dyDescent="0.25">
      <c r="B122" s="22" t="s">
        <v>332</v>
      </c>
      <c r="C122" s="23" t="s">
        <v>333</v>
      </c>
      <c r="D122" s="24"/>
      <c r="E122" s="25"/>
      <c r="F122" s="25"/>
      <c r="G122" s="25"/>
      <c r="H122" s="25" t="str">
        <f t="shared" si="30"/>
        <v/>
      </c>
      <c r="I122" s="26"/>
      <c r="J122" s="27"/>
      <c r="K122" s="27" t="str">
        <f t="shared" si="31"/>
        <v/>
      </c>
    </row>
    <row r="123" spans="2:11" ht="15.75" customHeight="1" x14ac:dyDescent="0.25">
      <c r="B123" s="22" t="s">
        <v>334</v>
      </c>
      <c r="C123" s="23" t="s">
        <v>335</v>
      </c>
      <c r="D123" s="24"/>
      <c r="E123" s="25"/>
      <c r="F123" s="25"/>
      <c r="G123" s="25"/>
      <c r="H123" s="25" t="str">
        <f t="shared" si="30"/>
        <v/>
      </c>
      <c r="I123" s="26"/>
      <c r="J123" s="27"/>
      <c r="K123" s="27" t="str">
        <f t="shared" si="31"/>
        <v/>
      </c>
    </row>
    <row r="124" spans="2:11" ht="15.75" customHeight="1" x14ac:dyDescent="0.25">
      <c r="B124" s="22" t="s">
        <v>336</v>
      </c>
      <c r="C124" s="23" t="s">
        <v>337</v>
      </c>
      <c r="D124" s="24"/>
      <c r="E124" s="25"/>
      <c r="F124" s="25"/>
      <c r="G124" s="25"/>
      <c r="H124" s="25" t="str">
        <f t="shared" si="30"/>
        <v/>
      </c>
      <c r="I124" s="26"/>
      <c r="J124" s="27"/>
      <c r="K124" s="27" t="str">
        <f t="shared" si="31"/>
        <v/>
      </c>
    </row>
    <row r="125" spans="2:11" ht="13.5" customHeight="1" x14ac:dyDescent="0.25">
      <c r="B125" s="21" t="s">
        <v>338</v>
      </c>
      <c r="C125" s="21"/>
      <c r="D125" s="21"/>
      <c r="E125" s="21"/>
      <c r="F125" s="21"/>
      <c r="G125" s="21"/>
      <c r="H125" s="21"/>
      <c r="I125" s="21"/>
      <c r="J125" s="21"/>
      <c r="K125" s="21"/>
    </row>
    <row r="126" spans="2:11" ht="15.75" customHeight="1" x14ac:dyDescent="0.25">
      <c r="B126" s="22" t="s">
        <v>339</v>
      </c>
      <c r="C126" s="23" t="s">
        <v>340</v>
      </c>
      <c r="D126" s="24"/>
      <c r="E126" s="25"/>
      <c r="F126" s="25"/>
      <c r="G126" s="25"/>
      <c r="H126" s="25" t="str">
        <f>IF(AND(ISNUMBER(D126),ISNUMBER(E126)),E126-D126,"")</f>
        <v/>
      </c>
      <c r="I126" s="26"/>
      <c r="J126" s="27"/>
      <c r="K126" s="27" t="str">
        <f>IF(AND(ISNUMBER(D126),ISNUMBER(I126)),I126-D126,"")</f>
        <v/>
      </c>
    </row>
    <row r="127" spans="2:11" ht="15.75" customHeight="1" x14ac:dyDescent="0.25">
      <c r="B127" s="22" t="s">
        <v>341</v>
      </c>
      <c r="C127" s="23" t="s">
        <v>342</v>
      </c>
      <c r="D127" s="24"/>
      <c r="E127" s="25"/>
      <c r="F127" s="25"/>
      <c r="G127" s="25"/>
      <c r="H127" s="25" t="str">
        <f>IF(AND(ISNUMBER(D127),ISNUMBER(E127)),E127-D127,"")</f>
        <v/>
      </c>
      <c r="I127" s="26"/>
      <c r="J127" s="27"/>
      <c r="K127" s="27" t="str">
        <f>IF(AND(ISNUMBER(D127),ISNUMBER(I127)),I127-D127,"")</f>
        <v/>
      </c>
    </row>
    <row r="128" spans="2:11" ht="15.75" customHeight="1" x14ac:dyDescent="0.25">
      <c r="B128" s="34" t="s">
        <v>343</v>
      </c>
      <c r="C128" s="35" t="s">
        <v>344</v>
      </c>
      <c r="D128" s="36"/>
      <c r="E128" s="37"/>
      <c r="F128" s="37"/>
      <c r="G128" s="37"/>
      <c r="H128" s="37" t="str">
        <f>IF(AND(ISNUMBER(D128),ISNUMBER(E128)),E128-D128,"")</f>
        <v/>
      </c>
      <c r="I128" s="38"/>
      <c r="J128" s="39"/>
      <c r="K128" s="39" t="str">
        <f>IF(AND(ISNUMBER(D128),ISNUMBER(I128)),I128-D128,"")</f>
        <v/>
      </c>
    </row>
    <row r="129" spans="2:11" ht="15.75" customHeight="1" x14ac:dyDescent="0.25">
      <c r="B129" s="34" t="s">
        <v>345</v>
      </c>
      <c r="C129" s="35" t="s">
        <v>346</v>
      </c>
      <c r="D129" s="36"/>
      <c r="E129" s="37"/>
      <c r="F129" s="37"/>
      <c r="G129" s="37"/>
      <c r="H129" s="37" t="str">
        <f>IF(AND(ISNUMBER(D129),ISNUMBER(E129)),E129-D129,"")</f>
        <v/>
      </c>
      <c r="I129" s="38"/>
      <c r="J129" s="39"/>
      <c r="K129" s="39" t="str">
        <f>IF(AND(ISNUMBER(D129),ISNUMBER(I129)),I129-D129,"")</f>
        <v/>
      </c>
    </row>
    <row r="130" spans="2:11" ht="15.75" customHeight="1" x14ac:dyDescent="0.25">
      <c r="B130" s="34" t="s">
        <v>347</v>
      </c>
      <c r="C130" s="35" t="s">
        <v>348</v>
      </c>
      <c r="D130" s="36"/>
      <c r="E130" s="37"/>
      <c r="F130" s="37"/>
      <c r="G130" s="37"/>
      <c r="H130" s="37" t="str">
        <f>IF(AND(ISNUMBER(D130),ISNUMBER(E130)),E130-D130,"")</f>
        <v/>
      </c>
      <c r="I130" s="38"/>
      <c r="J130" s="39"/>
      <c r="K130" s="39" t="str">
        <f>IF(AND(ISNUMBER(D130),ISNUMBER(I130)),I130-D130,"")</f>
        <v/>
      </c>
    </row>
    <row r="131" spans="2:11" ht="13.5" customHeight="1" x14ac:dyDescent="0.25">
      <c r="B131" s="21" t="s">
        <v>349</v>
      </c>
      <c r="C131" s="21"/>
      <c r="D131" s="21"/>
      <c r="E131" s="21"/>
      <c r="F131" s="21"/>
      <c r="G131" s="21"/>
      <c r="H131" s="21"/>
      <c r="I131" s="21"/>
      <c r="J131" s="21"/>
      <c r="K131" s="21"/>
    </row>
    <row r="132" spans="2:11" ht="15.75" customHeight="1" x14ac:dyDescent="0.25">
      <c r="B132" s="22" t="s">
        <v>350</v>
      </c>
      <c r="C132" s="23" t="s">
        <v>351</v>
      </c>
      <c r="D132" s="24"/>
      <c r="E132" s="25"/>
      <c r="F132" s="25"/>
      <c r="G132" s="25"/>
      <c r="H132" s="25" t="str">
        <f>IF(AND(ISNUMBER(D132),ISNUMBER(E132)),E132-D132,"")</f>
        <v/>
      </c>
      <c r="I132" s="26"/>
      <c r="J132" s="27"/>
      <c r="K132" s="27" t="str">
        <f>IF(AND(ISNUMBER(D132),ISNUMBER(I132)),I132-D132,"")</f>
        <v/>
      </c>
    </row>
    <row r="133" spans="2:11" ht="15.75" customHeight="1" x14ac:dyDescent="0.25">
      <c r="B133" s="22" t="s">
        <v>352</v>
      </c>
      <c r="C133" s="23" t="s">
        <v>353</v>
      </c>
      <c r="D133" s="24"/>
      <c r="E133" s="25"/>
      <c r="F133" s="25"/>
      <c r="G133" s="25"/>
      <c r="H133" s="25" t="str">
        <f>IF(AND(ISNUMBER(D133),ISNUMBER(E133)),E133-D133,"")</f>
        <v/>
      </c>
      <c r="I133" s="26"/>
      <c r="J133" s="27"/>
      <c r="K133" s="27" t="str">
        <f>IF(AND(ISNUMBER(D133),ISNUMBER(I133)),I133-D133,"")</f>
        <v/>
      </c>
    </row>
    <row r="134" spans="2:11" ht="15.75" customHeight="1" x14ac:dyDescent="0.25">
      <c r="B134" s="22" t="s">
        <v>354</v>
      </c>
      <c r="C134" s="23" t="s">
        <v>355</v>
      </c>
      <c r="D134" s="24"/>
      <c r="E134" s="25"/>
      <c r="F134" s="25"/>
      <c r="G134" s="25"/>
      <c r="H134" s="25" t="str">
        <f>IF(AND(ISNUMBER(D134),ISNUMBER(E134)),E134-D134,"")</f>
        <v/>
      </c>
      <c r="I134" s="26"/>
      <c r="J134" s="27"/>
      <c r="K134" s="27" t="str">
        <f>IF(AND(ISNUMBER(D134),ISNUMBER(I134)),I134-D134,"")</f>
        <v/>
      </c>
    </row>
    <row r="135" spans="2:11" ht="15.75" customHeight="1" x14ac:dyDescent="0.25">
      <c r="B135" s="22" t="s">
        <v>356</v>
      </c>
      <c r="C135" s="23" t="s">
        <v>357</v>
      </c>
      <c r="D135" s="24"/>
      <c r="E135" s="25"/>
      <c r="F135" s="25"/>
      <c r="G135" s="25"/>
      <c r="H135" s="25" t="str">
        <f>IF(AND(ISNUMBER(D135),ISNUMBER(E135)),E135-D135,"")</f>
        <v/>
      </c>
      <c r="I135" s="26"/>
      <c r="J135" s="27"/>
      <c r="K135" s="27" t="str">
        <f>IF(AND(ISNUMBER(D135),ISNUMBER(I135)),I135-D135,"")</f>
        <v/>
      </c>
    </row>
    <row r="136" spans="2:11" ht="19.5" customHeight="1" x14ac:dyDescent="0.25">
      <c r="B136" s="57" t="s">
        <v>358</v>
      </c>
      <c r="C136" s="58"/>
      <c r="D136" s="59">
        <f>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0</v>
      </c>
      <c r="E136" s="59">
        <f>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f>
        <v>0</v>
      </c>
      <c r="F136" s="59">
        <f>SUM(F9,F10,F11,F12,F13,F14,F15,F17,F18,F19,F20,F21,F23,F24,F25,F27,F28,F30,F31,F32,F33,F35,F36,F37,F39,F40,F41,F42,F43,F44,F45,F47,F48,F49,F50,F51,F52,F54,F55,F56,F57,F58,F59,F60,F61,F62,F63,F64,F65,F66,F68,F69,F70,F71,F72,F73,F74,F75,F77,F78,F79,F80,F81,F82,F84,F85,F86,F88,F90,F91,F92,F94,F95,F96,F98,F99,F100,F101,F102,F104,F105,F106,F107,F108,F109,F111,F112,F113,F114,F115,F116,F117,F119,F120,F121,F122,F123,F124,F126,F127,F128,F129,F130,F132,F133,F134,F135)</f>
        <v>0</v>
      </c>
      <c r="G136" s="59">
        <f>SUM(G9,G10,G11,G12,G13,G14,G15,G17,G18,G19,G20,G21,G23,G24,G25,G27,G28,G30,G31,G32,G33,G35,G36,G37,G39,G40,G41,G42,G43,G44,G45,G47,G48,G49,G50,G51,G52,G54,G55,G56,G57,G58,G59,G60,G61,G62,G63,G64,G65,G66,G68,G69,G70,G71,G72,G73,G74,G75,G77,G78,G79,G80,G81,G82,G84,G85,G86,G88,G90,G91,G92,G94,G95,G96,G98,G99,G100,G101,G102,G104,G105,G106,G107,G108,G109,G111,G112,G113,G114,G115,G116,G117,G119,G120,G121,G122,G123,G124,G126,G127,G128,G129,G130,G132,G133,G134,G135)</f>
        <v>0</v>
      </c>
      <c r="H136" s="59" t="str">
        <f>IF(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0,"",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
      </c>
      <c r="I136" s="60">
        <f>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f>
        <v>0</v>
      </c>
      <c r="J136" s="60">
        <f>SUM(J9,J10,J11,J12,J13,J14,J15,J17,J18,J19,J20,J21,J23,J24,J25,J27,J28,J30,J31,J32,J33,J35,J36,J37,J39,J40,J41,J42,J43,J44,J45,J47,J48,J49,J50,J51,J52,J54,J55,J56,J57,J58,J59,J60,J61,J62,J63,J64,J65,J66,J68,J69,J70,J71,J72,J73,J74,J75,J77,J78,J79,J80,J81,J82,J84,J85,J86,J88,J90,J91,J92,J94,J95,J96,J98,J99,J100,J101,J102,J104,J105,J106,J107,J108,J109,J111,J112,J113,J114,J115,J116,J117,J119,J120,J121,J122,J123,J124,J126,J127,J128,J129,J130,J132,J133,J134,J135)</f>
        <v>0</v>
      </c>
      <c r="K136" s="60" t="str">
        <f>IF(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0,"",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
      </c>
    </row>
    <row r="137" spans="2:11" ht="19.5" customHeight="1" x14ac:dyDescent="0.25">
      <c r="B137" s="19" t="s">
        <v>359</v>
      </c>
      <c r="C137" s="20"/>
      <c r="D137" s="20"/>
      <c r="E137" s="20"/>
      <c r="F137" s="20"/>
      <c r="G137" s="20"/>
      <c r="H137" s="20"/>
      <c r="I137" s="20"/>
      <c r="J137" s="20"/>
      <c r="K137" s="20"/>
    </row>
    <row r="138" spans="2:11" ht="13.5" customHeight="1" x14ac:dyDescent="0.25">
      <c r="B138" s="21" t="s">
        <v>360</v>
      </c>
      <c r="C138" s="21"/>
      <c r="D138" s="21"/>
      <c r="E138" s="21"/>
      <c r="F138" s="21"/>
      <c r="G138" s="21"/>
      <c r="H138" s="21"/>
      <c r="I138" s="21"/>
      <c r="J138" s="21"/>
      <c r="K138" s="21"/>
    </row>
    <row r="139" spans="2:11" ht="15.75" customHeight="1" x14ac:dyDescent="0.25">
      <c r="B139" s="22" t="s">
        <v>361</v>
      </c>
      <c r="C139" s="23" t="s">
        <v>362</v>
      </c>
      <c r="D139" s="24"/>
      <c r="E139" s="25"/>
      <c r="F139" s="25"/>
      <c r="G139" s="25"/>
      <c r="H139" s="25" t="str">
        <f t="shared" ref="H139:H150" si="32">IF(AND(ISNUMBER(D139),ISNUMBER(E139)),E139-D139,"")</f>
        <v/>
      </c>
      <c r="I139" s="26"/>
      <c r="J139" s="27"/>
      <c r="K139" s="27" t="str">
        <f t="shared" ref="K139:K150" si="33">IF(AND(ISNUMBER(D139),ISNUMBER(I139)),I139-D139,"")</f>
        <v/>
      </c>
    </row>
    <row r="140" spans="2:11" ht="15.75" customHeight="1" x14ac:dyDescent="0.25">
      <c r="B140" s="22" t="s">
        <v>363</v>
      </c>
      <c r="C140" s="23" t="s">
        <v>364</v>
      </c>
      <c r="D140" s="24"/>
      <c r="E140" s="25"/>
      <c r="F140" s="25"/>
      <c r="G140" s="25"/>
      <c r="H140" s="25" t="str">
        <f t="shared" si="32"/>
        <v/>
      </c>
      <c r="I140" s="26"/>
      <c r="J140" s="27"/>
      <c r="K140" s="27" t="str">
        <f t="shared" si="33"/>
        <v/>
      </c>
    </row>
    <row r="141" spans="2:11" ht="15.75" customHeight="1" x14ac:dyDescent="0.25">
      <c r="B141" s="22" t="s">
        <v>365</v>
      </c>
      <c r="C141" s="23" t="s">
        <v>366</v>
      </c>
      <c r="D141" s="24"/>
      <c r="E141" s="25"/>
      <c r="F141" s="25"/>
      <c r="G141" s="25"/>
      <c r="H141" s="25" t="str">
        <f t="shared" si="32"/>
        <v/>
      </c>
      <c r="I141" s="26"/>
      <c r="J141" s="27"/>
      <c r="K141" s="27" t="str">
        <f t="shared" si="33"/>
        <v/>
      </c>
    </row>
    <row r="142" spans="2:11" ht="15.75" customHeight="1" x14ac:dyDescent="0.25">
      <c r="B142" s="22" t="s">
        <v>367</v>
      </c>
      <c r="C142" s="23" t="s">
        <v>368</v>
      </c>
      <c r="D142" s="24"/>
      <c r="E142" s="25"/>
      <c r="F142" s="25"/>
      <c r="G142" s="25"/>
      <c r="H142" s="25" t="str">
        <f t="shared" si="32"/>
        <v/>
      </c>
      <c r="I142" s="26"/>
      <c r="J142" s="27"/>
      <c r="K142" s="27" t="str">
        <f t="shared" si="33"/>
        <v/>
      </c>
    </row>
    <row r="143" spans="2:11" ht="15.75" customHeight="1" x14ac:dyDescent="0.25">
      <c r="B143" s="22" t="s">
        <v>369</v>
      </c>
      <c r="C143" s="23" t="s">
        <v>370</v>
      </c>
      <c r="D143" s="24"/>
      <c r="E143" s="25"/>
      <c r="F143" s="25"/>
      <c r="G143" s="25"/>
      <c r="H143" s="25" t="str">
        <f t="shared" si="32"/>
        <v/>
      </c>
      <c r="I143" s="26"/>
      <c r="J143" s="27"/>
      <c r="K143" s="27" t="str">
        <f t="shared" si="33"/>
        <v/>
      </c>
    </row>
    <row r="144" spans="2:11" ht="15.75" customHeight="1" x14ac:dyDescent="0.25">
      <c r="B144" s="22" t="s">
        <v>371</v>
      </c>
      <c r="C144" s="23" t="s">
        <v>372</v>
      </c>
      <c r="D144" s="24"/>
      <c r="E144" s="25"/>
      <c r="F144" s="25"/>
      <c r="G144" s="25"/>
      <c r="H144" s="25" t="str">
        <f t="shared" si="32"/>
        <v/>
      </c>
      <c r="I144" s="26"/>
      <c r="J144" s="27"/>
      <c r="K144" s="27" t="str">
        <f t="shared" si="33"/>
        <v/>
      </c>
    </row>
    <row r="145" spans="2:11" ht="15.75" customHeight="1" x14ac:dyDescent="0.25">
      <c r="B145" s="22" t="s">
        <v>373</v>
      </c>
      <c r="C145" s="23" t="s">
        <v>374</v>
      </c>
      <c r="D145" s="24"/>
      <c r="E145" s="25"/>
      <c r="F145" s="25"/>
      <c r="G145" s="25"/>
      <c r="H145" s="25" t="str">
        <f t="shared" si="32"/>
        <v/>
      </c>
      <c r="I145" s="26"/>
      <c r="J145" s="27"/>
      <c r="K145" s="27" t="str">
        <f t="shared" si="33"/>
        <v/>
      </c>
    </row>
    <row r="146" spans="2:11" ht="15.75" customHeight="1" x14ac:dyDescent="0.25">
      <c r="B146" s="22" t="s">
        <v>375</v>
      </c>
      <c r="C146" s="23" t="s">
        <v>376</v>
      </c>
      <c r="D146" s="24"/>
      <c r="E146" s="25"/>
      <c r="F146" s="25"/>
      <c r="G146" s="25"/>
      <c r="H146" s="25" t="str">
        <f t="shared" si="32"/>
        <v/>
      </c>
      <c r="I146" s="26"/>
      <c r="J146" s="27"/>
      <c r="K146" s="27" t="str">
        <f t="shared" si="33"/>
        <v/>
      </c>
    </row>
    <row r="147" spans="2:11" ht="15.75" customHeight="1" x14ac:dyDescent="0.25">
      <c r="B147" s="22" t="s">
        <v>377</v>
      </c>
      <c r="C147" s="23" t="s">
        <v>378</v>
      </c>
      <c r="D147" s="24"/>
      <c r="E147" s="25"/>
      <c r="F147" s="25"/>
      <c r="G147" s="25"/>
      <c r="H147" s="25" t="str">
        <f t="shared" si="32"/>
        <v/>
      </c>
      <c r="I147" s="26"/>
      <c r="J147" s="27"/>
      <c r="K147" s="27" t="str">
        <f t="shared" si="33"/>
        <v/>
      </c>
    </row>
    <row r="148" spans="2:11" ht="15.75" customHeight="1" x14ac:dyDescent="0.25">
      <c r="B148" s="22" t="s">
        <v>379</v>
      </c>
      <c r="C148" s="23" t="s">
        <v>380</v>
      </c>
      <c r="D148" s="24"/>
      <c r="E148" s="25"/>
      <c r="F148" s="25"/>
      <c r="G148" s="25"/>
      <c r="H148" s="25" t="str">
        <f t="shared" si="32"/>
        <v/>
      </c>
      <c r="I148" s="26"/>
      <c r="J148" s="27"/>
      <c r="K148" s="27" t="str">
        <f t="shared" si="33"/>
        <v/>
      </c>
    </row>
    <row r="149" spans="2:11" ht="15.75" customHeight="1" x14ac:dyDescent="0.25">
      <c r="B149" s="22" t="s">
        <v>381</v>
      </c>
      <c r="C149" s="23" t="s">
        <v>382</v>
      </c>
      <c r="D149" s="24"/>
      <c r="E149" s="25"/>
      <c r="F149" s="25"/>
      <c r="G149" s="25"/>
      <c r="H149" s="25" t="str">
        <f t="shared" si="32"/>
        <v/>
      </c>
      <c r="I149" s="26"/>
      <c r="J149" s="27"/>
      <c r="K149" s="27" t="str">
        <f t="shared" si="33"/>
        <v/>
      </c>
    </row>
    <row r="150" spans="2:11" ht="15.75" customHeight="1" x14ac:dyDescent="0.25">
      <c r="B150" s="22" t="s">
        <v>383</v>
      </c>
      <c r="C150" s="23" t="s">
        <v>384</v>
      </c>
      <c r="D150" s="24"/>
      <c r="E150" s="25"/>
      <c r="F150" s="25"/>
      <c r="G150" s="25"/>
      <c r="H150" s="25" t="str">
        <f t="shared" si="32"/>
        <v/>
      </c>
      <c r="I150" s="26"/>
      <c r="J150" s="27"/>
      <c r="K150" s="27" t="str">
        <f t="shared" si="33"/>
        <v/>
      </c>
    </row>
    <row r="151" spans="2:11" ht="13.5" customHeight="1" x14ac:dyDescent="0.25">
      <c r="B151" s="21" t="s">
        <v>385</v>
      </c>
      <c r="C151" s="21"/>
      <c r="D151" s="21"/>
      <c r="E151" s="21"/>
      <c r="F151" s="21"/>
      <c r="G151" s="21"/>
      <c r="H151" s="21"/>
      <c r="I151" s="21"/>
      <c r="J151" s="21"/>
      <c r="K151" s="21"/>
    </row>
    <row r="152" spans="2:11" ht="15.75" customHeight="1" x14ac:dyDescent="0.25">
      <c r="B152" s="22" t="s">
        <v>386</v>
      </c>
      <c r="C152" s="23" t="s">
        <v>387</v>
      </c>
      <c r="D152" s="24"/>
      <c r="E152" s="25"/>
      <c r="F152" s="25"/>
      <c r="G152" s="25"/>
      <c r="H152" s="25" t="str">
        <f t="shared" ref="H152:H160" si="34">IF(AND(ISNUMBER(D152),ISNUMBER(E152)),E152-D152,"")</f>
        <v/>
      </c>
      <c r="I152" s="26"/>
      <c r="J152" s="27"/>
      <c r="K152" s="27" t="str">
        <f t="shared" ref="K152:K160" si="35">IF(AND(ISNUMBER(D152),ISNUMBER(I152)),I152-D152,"")</f>
        <v/>
      </c>
    </row>
    <row r="153" spans="2:11" ht="15.75" customHeight="1" x14ac:dyDescent="0.25">
      <c r="B153" s="22" t="s">
        <v>388</v>
      </c>
      <c r="C153" s="23" t="s">
        <v>389</v>
      </c>
      <c r="D153" s="24"/>
      <c r="E153" s="25"/>
      <c r="F153" s="25"/>
      <c r="G153" s="25"/>
      <c r="H153" s="25" t="str">
        <f t="shared" si="34"/>
        <v/>
      </c>
      <c r="I153" s="26"/>
      <c r="J153" s="27"/>
      <c r="K153" s="27" t="str">
        <f t="shared" si="35"/>
        <v/>
      </c>
    </row>
    <row r="154" spans="2:11" ht="15.75" customHeight="1" x14ac:dyDescent="0.25">
      <c r="B154" s="22" t="s">
        <v>390</v>
      </c>
      <c r="C154" s="23" t="s">
        <v>391</v>
      </c>
      <c r="D154" s="24"/>
      <c r="E154" s="25"/>
      <c r="F154" s="25"/>
      <c r="G154" s="25"/>
      <c r="H154" s="25" t="str">
        <f t="shared" si="34"/>
        <v/>
      </c>
      <c r="I154" s="26"/>
      <c r="J154" s="27"/>
      <c r="K154" s="27" t="str">
        <f t="shared" si="35"/>
        <v/>
      </c>
    </row>
    <row r="155" spans="2:11" ht="15.75" customHeight="1" x14ac:dyDescent="0.25">
      <c r="B155" s="22" t="s">
        <v>392</v>
      </c>
      <c r="C155" s="23" t="s">
        <v>393</v>
      </c>
      <c r="D155" s="24"/>
      <c r="E155" s="25"/>
      <c r="F155" s="25"/>
      <c r="G155" s="25"/>
      <c r="H155" s="25" t="str">
        <f t="shared" si="34"/>
        <v/>
      </c>
      <c r="I155" s="26"/>
      <c r="J155" s="27"/>
      <c r="K155" s="27" t="str">
        <f t="shared" si="35"/>
        <v/>
      </c>
    </row>
    <row r="156" spans="2:11" ht="15.75" customHeight="1" x14ac:dyDescent="0.25">
      <c r="B156" s="22" t="s">
        <v>394</v>
      </c>
      <c r="C156" s="23" t="s">
        <v>395</v>
      </c>
      <c r="D156" s="24"/>
      <c r="E156" s="25"/>
      <c r="F156" s="25"/>
      <c r="G156" s="25"/>
      <c r="H156" s="25" t="str">
        <f t="shared" si="34"/>
        <v/>
      </c>
      <c r="I156" s="26"/>
      <c r="J156" s="27"/>
      <c r="K156" s="27" t="str">
        <f t="shared" si="35"/>
        <v/>
      </c>
    </row>
    <row r="157" spans="2:11" ht="15.75" customHeight="1" x14ac:dyDescent="0.25">
      <c r="B157" s="22" t="s">
        <v>396</v>
      </c>
      <c r="C157" s="23" t="s">
        <v>397</v>
      </c>
      <c r="D157" s="24"/>
      <c r="E157" s="25"/>
      <c r="F157" s="25"/>
      <c r="G157" s="25"/>
      <c r="H157" s="25" t="str">
        <f t="shared" si="34"/>
        <v/>
      </c>
      <c r="I157" s="26"/>
      <c r="J157" s="27"/>
      <c r="K157" s="27" t="str">
        <f t="shared" si="35"/>
        <v/>
      </c>
    </row>
    <row r="158" spans="2:11" ht="15.75" customHeight="1" x14ac:dyDescent="0.25">
      <c r="B158" s="22" t="s">
        <v>398</v>
      </c>
      <c r="C158" s="23" t="s">
        <v>399</v>
      </c>
      <c r="D158" s="24"/>
      <c r="E158" s="25"/>
      <c r="F158" s="25"/>
      <c r="G158" s="25"/>
      <c r="H158" s="25" t="str">
        <f t="shared" si="34"/>
        <v/>
      </c>
      <c r="I158" s="26"/>
      <c r="J158" s="27"/>
      <c r="K158" s="27" t="str">
        <f t="shared" si="35"/>
        <v/>
      </c>
    </row>
    <row r="159" spans="2:11" ht="15.75" customHeight="1" x14ac:dyDescent="0.25">
      <c r="B159" s="22" t="s">
        <v>400</v>
      </c>
      <c r="C159" s="23" t="s">
        <v>401</v>
      </c>
      <c r="D159" s="24"/>
      <c r="E159" s="25"/>
      <c r="F159" s="25"/>
      <c r="G159" s="25"/>
      <c r="H159" s="25" t="str">
        <f t="shared" si="34"/>
        <v/>
      </c>
      <c r="I159" s="26"/>
      <c r="J159" s="27"/>
      <c r="K159" s="27" t="str">
        <f t="shared" si="35"/>
        <v/>
      </c>
    </row>
    <row r="160" spans="2:11" ht="15.75" customHeight="1" x14ac:dyDescent="0.25">
      <c r="B160" s="22" t="s">
        <v>402</v>
      </c>
      <c r="C160" s="23" t="s">
        <v>403</v>
      </c>
      <c r="D160" s="24"/>
      <c r="E160" s="25"/>
      <c r="F160" s="25"/>
      <c r="G160" s="25"/>
      <c r="H160" s="25" t="str">
        <f t="shared" si="34"/>
        <v/>
      </c>
      <c r="I160" s="26"/>
      <c r="J160" s="27"/>
      <c r="K160" s="27" t="str">
        <f t="shared" si="35"/>
        <v/>
      </c>
    </row>
    <row r="161" spans="2:11" ht="19.5" customHeight="1" x14ac:dyDescent="0.25">
      <c r="B161" s="57" t="s">
        <v>404</v>
      </c>
      <c r="C161" s="58"/>
      <c r="D161" s="59">
        <f>SUM(D139,D140,D141,D142,D143,D144,D145,D146,D147,D148,D149,D150,D152,D153,D154,D155,D156,D157,D158,D159,D160)</f>
        <v>0</v>
      </c>
      <c r="E161" s="59">
        <f>SUM(E139,E140,E141,E142,E143,E144,E145,E146,E147,E148,E149,E150,E152,E153,E154,E155,E156,E157,E158,E159,E160)</f>
        <v>0</v>
      </c>
      <c r="F161" s="59">
        <f>SUM(F139,F140,F141,F142,F143,F144,F145,F146,F147,F148,F149,F150,F152,F153,F154,F155,F156,F157,F158,F159,F160)</f>
        <v>0</v>
      </c>
      <c r="G161" s="59">
        <f>SUM(G139,G140,G141,G142,G143,G144,G145,G146,G147,G148,G149,G150,G152,G153,G154,G155,G156,G157,G158,G159,G160)</f>
        <v>0</v>
      </c>
      <c r="H161" s="59" t="str">
        <f>IF(SUM(E139,E140,E141,E142,E143,E144,E145,E146,E147,E148,E149,E150,E152,E153,E154,E155,E156,E157,E158,E159,E160)=0,"",SUM(E139,E140,E141,E142,E143,E144,E145,E146,E147,E148,E149,E150,E152,E153,E154,E155,E156,E157,E158,E159,E160)-SUM(D139,D140,D141,D142,D143,D144,D145,D146,D147,D148,D149,D150,D152,D153,D154,D155,D156,D157,D158,D159,D160))</f>
        <v/>
      </c>
      <c r="I161" s="60">
        <f>SUM(I139,I140,I141,I142,I143,I144,I145,I146,I147,I148,I149,I150,I152,I153,I154,I155,I156,I157,I158,I159,I160)</f>
        <v>0</v>
      </c>
      <c r="J161" s="60">
        <f>SUM(J139,J140,J141,J142,J143,J144,J145,J146,J147,J148,J149,J150,J152,J153,J154,J155,J156,J157,J158,J159,J160)</f>
        <v>0</v>
      </c>
      <c r="K161" s="60" t="str">
        <f>IF(SUM(I139,I140,I141,I142,I143,I144,I145,I146,I147,I148,I149,I150,I152,I153,I154,I155,I156,I157,I158,I159,I160)=0,"",SUM(I139,I140,I141,I142,I143,I144,I145,I146,I147,I148,I149,I150,I152,I153,I154,I155,I156,I157,I158,I159,I160)-SUM(D139,D140,D141,D142,D143,D144,D145,D146,D147,D148,D149,D150,D152,D153,D154,D155,D156,D157,D158,D159,D160))</f>
        <v/>
      </c>
    </row>
    <row r="162" spans="2:11" ht="19.5" customHeight="1" x14ac:dyDescent="0.25">
      <c r="B162" s="19" t="s">
        <v>405</v>
      </c>
      <c r="C162" s="20"/>
      <c r="D162" s="20"/>
      <c r="E162" s="20"/>
      <c r="F162" s="20"/>
      <c r="G162" s="20"/>
      <c r="H162" s="20"/>
      <c r="I162" s="20"/>
      <c r="J162" s="20"/>
      <c r="K162" s="20"/>
    </row>
    <row r="163" spans="2:11" ht="15.75" customHeight="1" x14ac:dyDescent="0.25">
      <c r="B163" s="22" t="s">
        <v>406</v>
      </c>
      <c r="C163" s="23" t="s">
        <v>407</v>
      </c>
      <c r="D163" s="24"/>
      <c r="E163" s="25"/>
      <c r="F163" s="25"/>
      <c r="G163" s="25"/>
      <c r="H163" s="25" t="str">
        <f t="shared" ref="H163:H169" si="36">IF(AND(ISNUMBER(D163),ISNUMBER(E163)),E163-D163,"")</f>
        <v/>
      </c>
      <c r="I163" s="26"/>
      <c r="J163" s="27"/>
      <c r="K163" s="27" t="str">
        <f t="shared" ref="K163:K169" si="37">IF(AND(ISNUMBER(D163),ISNUMBER(I163)),I163-D163,"")</f>
        <v/>
      </c>
    </row>
    <row r="164" spans="2:11" ht="15.75" customHeight="1" x14ac:dyDescent="0.25">
      <c r="B164" s="22" t="s">
        <v>408</v>
      </c>
      <c r="C164" s="23" t="s">
        <v>409</v>
      </c>
      <c r="D164" s="24"/>
      <c r="E164" s="25"/>
      <c r="F164" s="25"/>
      <c r="G164" s="25"/>
      <c r="H164" s="25" t="str">
        <f t="shared" si="36"/>
        <v/>
      </c>
      <c r="I164" s="26"/>
      <c r="J164" s="27"/>
      <c r="K164" s="27" t="str">
        <f t="shared" si="37"/>
        <v/>
      </c>
    </row>
    <row r="165" spans="2:11" ht="15.75" customHeight="1" x14ac:dyDescent="0.25">
      <c r="B165" s="22" t="s">
        <v>410</v>
      </c>
      <c r="C165" s="23" t="s">
        <v>411</v>
      </c>
      <c r="D165" s="24"/>
      <c r="E165" s="25"/>
      <c r="F165" s="25"/>
      <c r="G165" s="25"/>
      <c r="H165" s="25" t="str">
        <f t="shared" si="36"/>
        <v/>
      </c>
      <c r="I165" s="26"/>
      <c r="J165" s="27"/>
      <c r="K165" s="27" t="str">
        <f t="shared" si="37"/>
        <v/>
      </c>
    </row>
    <row r="166" spans="2:11" ht="15.75" customHeight="1" x14ac:dyDescent="0.25">
      <c r="B166" s="22" t="s">
        <v>412</v>
      </c>
      <c r="C166" s="23" t="s">
        <v>413</v>
      </c>
      <c r="D166" s="24"/>
      <c r="E166" s="25"/>
      <c r="F166" s="25"/>
      <c r="G166" s="25"/>
      <c r="H166" s="25" t="str">
        <f t="shared" si="36"/>
        <v/>
      </c>
      <c r="I166" s="26"/>
      <c r="J166" s="27"/>
      <c r="K166" s="27" t="str">
        <f t="shared" si="37"/>
        <v/>
      </c>
    </row>
    <row r="167" spans="2:11" ht="15.75" customHeight="1" x14ac:dyDescent="0.25">
      <c r="B167" s="22" t="s">
        <v>414</v>
      </c>
      <c r="C167" s="23" t="s">
        <v>415</v>
      </c>
      <c r="D167" s="24"/>
      <c r="E167" s="25"/>
      <c r="F167" s="25"/>
      <c r="G167" s="25"/>
      <c r="H167" s="25" t="str">
        <f t="shared" si="36"/>
        <v/>
      </c>
      <c r="I167" s="26"/>
      <c r="J167" s="27"/>
      <c r="K167" s="27" t="str">
        <f t="shared" si="37"/>
        <v/>
      </c>
    </row>
    <row r="168" spans="2:11" ht="15.75" customHeight="1" x14ac:dyDescent="0.25">
      <c r="B168" s="22" t="s">
        <v>416</v>
      </c>
      <c r="C168" s="23" t="s">
        <v>417</v>
      </c>
      <c r="D168" s="24"/>
      <c r="E168" s="25"/>
      <c r="F168" s="25"/>
      <c r="G168" s="25"/>
      <c r="H168" s="25" t="str">
        <f t="shared" si="36"/>
        <v/>
      </c>
      <c r="I168" s="26"/>
      <c r="J168" s="27"/>
      <c r="K168" s="27" t="str">
        <f t="shared" si="37"/>
        <v/>
      </c>
    </row>
    <row r="169" spans="2:11" ht="15.75" customHeight="1" x14ac:dyDescent="0.25">
      <c r="B169" s="22" t="s">
        <v>418</v>
      </c>
      <c r="C169" s="23" t="s">
        <v>419</v>
      </c>
      <c r="D169" s="24"/>
      <c r="E169" s="25"/>
      <c r="F169" s="25"/>
      <c r="G169" s="25"/>
      <c r="H169" s="25" t="str">
        <f t="shared" si="36"/>
        <v/>
      </c>
      <c r="I169" s="26"/>
      <c r="J169" s="27"/>
      <c r="K169" s="27" t="str">
        <f t="shared" si="37"/>
        <v/>
      </c>
    </row>
    <row r="170" spans="2:11" ht="19.5" customHeight="1" x14ac:dyDescent="0.25">
      <c r="B170" s="57" t="s">
        <v>420</v>
      </c>
      <c r="C170" s="58"/>
      <c r="D170" s="59">
        <f>SUM(D163,D164,D165,D166,D167,D168,D169)</f>
        <v>0</v>
      </c>
      <c r="E170" s="59">
        <f>SUM(E163,E164,E165,E166,E167,E168,E169)</f>
        <v>0</v>
      </c>
      <c r="F170" s="59">
        <f>SUM(F163,F164,F165,F166,F167,F168,F169)</f>
        <v>0</v>
      </c>
      <c r="G170" s="59">
        <f>SUM(G163,G164,G165,G166,G167,G168,G169)</f>
        <v>0</v>
      </c>
      <c r="H170" s="59" t="str">
        <f>IF(SUM(E163,E164,E165,E166,E167,E168,E169)=0,"",SUM(E163,E164,E165,E166,E167,E168,E169)-SUM(D163,D164,D165,D166,D167,D168,D169))</f>
        <v/>
      </c>
      <c r="I170" s="60">
        <f>SUM(I163,I164,I165,I166,I167,I168,I169)</f>
        <v>0</v>
      </c>
      <c r="J170" s="60">
        <f>SUM(J163,J164,J165,J166,J167,J168,J169)</f>
        <v>0</v>
      </c>
      <c r="K170" s="60" t="str">
        <f>IF(SUM(I163,I164,I165,I166,I167,I168,I169)=0,"",SUM(I163,I164,I165,I166,I167,I168,I169)-SUM(D163,D164,D165,D166,D167,D168,D169))</f>
        <v/>
      </c>
    </row>
    <row r="171" spans="2:11" ht="24" customHeight="1" x14ac:dyDescent="0.25">
      <c r="B171" s="61" t="s">
        <v>421</v>
      </c>
      <c r="C171" s="62"/>
      <c r="D171" s="63">
        <f>D136+D161+D170</f>
        <v>0</v>
      </c>
      <c r="E171" s="63">
        <f>E136+E161+E170</f>
        <v>0</v>
      </c>
      <c r="F171" s="63">
        <f>F136+F161+F170</f>
        <v>0</v>
      </c>
      <c r="G171" s="63">
        <f>G136+G161+G170</f>
        <v>0</v>
      </c>
      <c r="H171" s="63" t="str">
        <f>IF(E171=0,"",E171-D171)</f>
        <v/>
      </c>
      <c r="I171" s="64">
        <f>I136+I161+I170</f>
        <v>0</v>
      </c>
      <c r="J171" s="64">
        <f>J136+J161+J170</f>
        <v>0</v>
      </c>
      <c r="K171" s="64" t="str">
        <f>IF(I171=0,"",I171-D171)</f>
        <v/>
      </c>
    </row>
    <row r="173" spans="2:11" ht="18" customHeight="1" x14ac:dyDescent="0.25">
      <c r="B173" s="65" t="s">
        <v>422</v>
      </c>
      <c r="C173" s="66"/>
      <c r="D173" s="66"/>
      <c r="E173" s="66"/>
      <c r="F173" s="66"/>
      <c r="G173" s="66"/>
      <c r="H173" s="66"/>
      <c r="I173" s="66"/>
      <c r="J173" s="66"/>
      <c r="K173" s="66"/>
    </row>
    <row r="174" spans="2:11" ht="15" customHeight="1" x14ac:dyDescent="0.25">
      <c r="B174" s="67" t="s">
        <v>423</v>
      </c>
      <c r="C174" s="68"/>
      <c r="D174" s="37">
        <f>D171</f>
        <v>0</v>
      </c>
      <c r="E174" s="37">
        <f>E171</f>
        <v>0</v>
      </c>
      <c r="F174" s="37">
        <f>F171</f>
        <v>0</v>
      </c>
      <c r="G174" s="37">
        <f>G171</f>
        <v>0</v>
      </c>
      <c r="H174" s="68"/>
      <c r="I174" s="68"/>
      <c r="J174" s="68"/>
      <c r="K174" s="68"/>
    </row>
    <row r="175" spans="2:11" ht="15" customHeight="1" x14ac:dyDescent="0.25">
      <c r="B175" s="67" t="s">
        <v>424</v>
      </c>
      <c r="C175" s="68"/>
      <c r="D175" s="37">
        <f>D136</f>
        <v>0</v>
      </c>
      <c r="E175" s="37">
        <f>E136</f>
        <v>0</v>
      </c>
      <c r="F175" s="37">
        <f>F136</f>
        <v>0</v>
      </c>
      <c r="G175" s="37">
        <f>G136</f>
        <v>0</v>
      </c>
      <c r="H175" s="68"/>
      <c r="I175" s="68"/>
      <c r="J175" s="68"/>
      <c r="K175" s="68"/>
    </row>
    <row r="176" spans="2:11" ht="15" customHeight="1" x14ac:dyDescent="0.25">
      <c r="B176" s="67" t="s">
        <v>425</v>
      </c>
      <c r="C176" s="68"/>
      <c r="D176" s="37">
        <f>D161</f>
        <v>0</v>
      </c>
      <c r="E176" s="37">
        <f>E161</f>
        <v>0</v>
      </c>
      <c r="F176" s="37">
        <f>F161</f>
        <v>0</v>
      </c>
      <c r="G176" s="37">
        <f>G161</f>
        <v>0</v>
      </c>
      <c r="H176" s="68"/>
      <c r="I176" s="68"/>
      <c r="J176" s="68"/>
      <c r="K176" s="68"/>
    </row>
    <row r="177" spans="2:11" ht="15" customHeight="1" x14ac:dyDescent="0.25">
      <c r="B177" s="67" t="s">
        <v>426</v>
      </c>
      <c r="C177" s="68"/>
      <c r="D177" s="69" t="str">
        <f>IF(D136=0,"-",D161/D136)</f>
        <v>-</v>
      </c>
      <c r="E177" s="69" t="str">
        <f>IF(E136=0,"-",E161/E136)</f>
        <v>-</v>
      </c>
      <c r="F177" s="69" t="str">
        <f>IF(F136=0,"-",F161/F136)</f>
        <v>-</v>
      </c>
      <c r="G177" s="69" t="str">
        <f>IF(G136=0,"-",G161/G136)</f>
        <v>-</v>
      </c>
      <c r="H177" s="68"/>
      <c r="I177" s="68"/>
      <c r="J177" s="68"/>
      <c r="K177" s="68"/>
    </row>
    <row r="178" spans="2:11" ht="15" customHeight="1" x14ac:dyDescent="0.25">
      <c r="B178" s="67" t="s">
        <v>427</v>
      </c>
      <c r="C178" s="68"/>
      <c r="D178" s="37" t="s">
        <v>428</v>
      </c>
      <c r="E178" s="37" t="s">
        <v>428</v>
      </c>
      <c r="F178" s="37" t="s">
        <v>428</v>
      </c>
      <c r="G178" s="37">
        <f>I171</f>
        <v>0</v>
      </c>
      <c r="H178" s="68"/>
      <c r="I178" s="68"/>
      <c r="J178" s="68"/>
      <c r="K178" s="68"/>
    </row>
    <row r="179" spans="2:11" ht="15" customHeight="1" x14ac:dyDescent="0.25">
      <c r="B179" s="67" t="s">
        <v>429</v>
      </c>
      <c r="C179" s="68"/>
      <c r="D179" s="37" t="s">
        <v>428</v>
      </c>
      <c r="E179" s="37" t="s">
        <v>428</v>
      </c>
      <c r="F179" s="37" t="s">
        <v>428</v>
      </c>
      <c r="G179" s="37">
        <f>J171</f>
        <v>0</v>
      </c>
      <c r="H179" s="68"/>
      <c r="I179" s="68"/>
      <c r="J179" s="68"/>
      <c r="K179" s="68"/>
    </row>
    <row r="180" spans="2:11" ht="15" customHeight="1" x14ac:dyDescent="0.25">
      <c r="B180" s="67" t="s">
        <v>430</v>
      </c>
      <c r="C180" s="68"/>
      <c r="D180" s="37" t="str">
        <f>IF(I171=0,"-",I171-D171)</f>
        <v>-</v>
      </c>
      <c r="E180" s="37" t="s">
        <v>428</v>
      </c>
      <c r="F180" s="37" t="s">
        <v>428</v>
      </c>
      <c r="G180" s="37" t="s">
        <v>428</v>
      </c>
      <c r="H180" s="68"/>
      <c r="I180" s="68"/>
      <c r="J180" s="68"/>
      <c r="K180" s="68"/>
    </row>
    <row r="182" spans="2:11" ht="13.5" customHeight="1" x14ac:dyDescent="0.25">
      <c r="B182" s="70" t="s">
        <v>431</v>
      </c>
    </row>
  </sheetData>
  <mergeCells count="1">
    <mergeCell ref="B1:E1"/>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
  <sheetViews>
    <sheetView showGridLines="0" zoomScaleNormal="100" workbookViewId="0"/>
  </sheetViews>
  <sheetFormatPr defaultColWidth="8.7109375" defaultRowHeight="15" x14ac:dyDescent="0.25"/>
  <cols>
    <col min="1" max="1" width="3" customWidth="1"/>
    <col min="2" max="2" width="30" customWidth="1"/>
    <col min="3" max="3" width="12" customWidth="1"/>
    <col min="4" max="5" width="14" customWidth="1"/>
    <col min="6" max="8" width="12" customWidth="1"/>
    <col min="9" max="9" width="28" customWidth="1"/>
    <col min="10" max="10" width="20" customWidth="1"/>
  </cols>
  <sheetData>
    <row r="1" spans="2:10" ht="37.5" customHeight="1" x14ac:dyDescent="0.25">
      <c r="B1" s="131" t="s">
        <v>432</v>
      </c>
      <c r="C1" s="131"/>
      <c r="D1" s="131"/>
      <c r="E1" s="131"/>
      <c r="F1" s="131"/>
      <c r="G1" s="131"/>
      <c r="H1" s="131"/>
      <c r="I1" s="131"/>
      <c r="J1" s="131"/>
    </row>
    <row r="2" spans="2:10" ht="19.5" customHeight="1" x14ac:dyDescent="0.25">
      <c r="B2" s="132" t="s">
        <v>433</v>
      </c>
      <c r="C2" s="132"/>
      <c r="D2" s="132"/>
      <c r="E2" s="132"/>
      <c r="F2" s="132"/>
      <c r="G2" s="132"/>
      <c r="H2" s="132"/>
      <c r="I2" s="132"/>
      <c r="J2" s="132"/>
    </row>
    <row r="4" spans="2:10" ht="24" customHeight="1" x14ac:dyDescent="0.25">
      <c r="B4" s="71" t="s">
        <v>434</v>
      </c>
      <c r="C4" s="71" t="s">
        <v>435</v>
      </c>
      <c r="D4" s="72" t="s">
        <v>436</v>
      </c>
      <c r="E4" s="73" t="s">
        <v>437</v>
      </c>
      <c r="F4" s="71" t="s">
        <v>438</v>
      </c>
      <c r="G4" s="71" t="s">
        <v>439</v>
      </c>
      <c r="H4" s="71" t="s">
        <v>440</v>
      </c>
      <c r="I4" s="74" t="s">
        <v>441</v>
      </c>
      <c r="J4" s="74" t="s">
        <v>442</v>
      </c>
    </row>
    <row r="5" spans="2:10" ht="36" customHeight="1" x14ac:dyDescent="0.25">
      <c r="B5" s="75" t="s">
        <v>443</v>
      </c>
      <c r="C5" s="75" t="s">
        <v>444</v>
      </c>
      <c r="D5" s="76">
        <v>347000</v>
      </c>
      <c r="E5" s="77">
        <v>420000</v>
      </c>
      <c r="F5" s="28" t="s">
        <v>445</v>
      </c>
      <c r="G5" s="78" t="s">
        <v>446</v>
      </c>
      <c r="H5" s="79" t="s">
        <v>447</v>
      </c>
      <c r="I5" s="80" t="s">
        <v>448</v>
      </c>
      <c r="J5" s="75" t="s">
        <v>449</v>
      </c>
    </row>
    <row r="6" spans="2:10" ht="36" customHeight="1" x14ac:dyDescent="0.25">
      <c r="B6" s="81" t="s">
        <v>450</v>
      </c>
      <c r="C6" s="81" t="s">
        <v>444</v>
      </c>
      <c r="D6" s="76">
        <v>310000</v>
      </c>
      <c r="E6" s="77">
        <v>365000</v>
      </c>
      <c r="F6" s="28" t="s">
        <v>451</v>
      </c>
      <c r="G6" s="78" t="s">
        <v>452</v>
      </c>
      <c r="H6" s="82" t="s">
        <v>453</v>
      </c>
      <c r="I6" s="80" t="s">
        <v>454</v>
      </c>
      <c r="J6" s="75" t="s">
        <v>455</v>
      </c>
    </row>
    <row r="7" spans="2:10" ht="18" customHeight="1" x14ac:dyDescent="0.25">
      <c r="B7" s="75" t="s">
        <v>456</v>
      </c>
      <c r="C7" s="75"/>
      <c r="D7" s="83"/>
      <c r="E7" s="84"/>
      <c r="F7" s="28"/>
      <c r="G7" s="78"/>
      <c r="H7" s="81" t="s">
        <v>457</v>
      </c>
      <c r="I7" s="80"/>
      <c r="J7" s="75"/>
    </row>
  </sheetData>
  <mergeCells count="2">
    <mergeCell ref="B1:J1"/>
    <mergeCell ref="B2:J2"/>
  </mergeCells>
  <dataValidations count="2">
    <dataValidation type="list" sqref="H5:H7" xr:uid="{00000000-0002-0000-0200-000000000000}">
      <formula1>"On Track,Watch,Escalated,Approved,Closed"</formula1>
      <formula2>0</formula2>
    </dataValidation>
    <dataValidation type="list" sqref="C5:C6" xr:uid="{00000000-0002-0000-0200-000001000000}">
      <formula1>"Gate 0,Gate 1,Gate 2,Gate 3,Gate 4"</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9"/>
  <sheetViews>
    <sheetView showGridLines="0" zoomScaleNormal="100" workbookViewId="0">
      <selection activeCell="G14" sqref="G14"/>
    </sheetView>
  </sheetViews>
  <sheetFormatPr defaultColWidth="8.7109375" defaultRowHeight="15" x14ac:dyDescent="0.25"/>
  <cols>
    <col min="1" max="1" width="3" customWidth="1"/>
    <col min="2" max="2" width="8" customWidth="1"/>
    <col min="3" max="3" width="35.7109375" customWidth="1"/>
    <col min="4" max="7" width="14" customWidth="1"/>
    <col min="8" max="9" width="12" customWidth="1"/>
    <col min="10" max="10" width="28" customWidth="1"/>
    <col min="11" max="11" width="41.7109375" customWidth="1"/>
  </cols>
  <sheetData>
    <row r="1" spans="2:11" ht="37.5" customHeight="1" x14ac:dyDescent="0.25">
      <c r="B1" s="131" t="s">
        <v>458</v>
      </c>
      <c r="C1" s="131"/>
      <c r="D1" s="131"/>
      <c r="E1" s="131"/>
      <c r="F1" s="131"/>
      <c r="G1" s="131"/>
      <c r="H1" s="131"/>
      <c r="I1" s="131"/>
      <c r="J1" s="131"/>
    </row>
    <row r="2" spans="2:11" ht="19.5" customHeight="1" x14ac:dyDescent="0.25">
      <c r="B2" s="132" t="s">
        <v>459</v>
      </c>
      <c r="C2" s="132"/>
      <c r="D2" s="132"/>
      <c r="E2" s="132"/>
      <c r="F2" s="132"/>
      <c r="G2" s="132"/>
      <c r="H2" s="132"/>
      <c r="I2" s="132"/>
      <c r="J2" s="132"/>
    </row>
    <row r="4" spans="2:11" ht="35.1" customHeight="1" x14ac:dyDescent="0.25">
      <c r="B4" s="71" t="s">
        <v>460</v>
      </c>
      <c r="C4" s="71" t="s">
        <v>461</v>
      </c>
      <c r="D4" s="71" t="s">
        <v>462</v>
      </c>
      <c r="E4" s="85" t="s">
        <v>463</v>
      </c>
      <c r="F4" s="85" t="s">
        <v>464</v>
      </c>
      <c r="G4" s="71" t="s">
        <v>465</v>
      </c>
      <c r="H4" s="71" t="s">
        <v>466</v>
      </c>
      <c r="I4" s="71" t="s">
        <v>440</v>
      </c>
      <c r="J4" s="71" t="s">
        <v>467</v>
      </c>
      <c r="K4" s="74" t="s">
        <v>468</v>
      </c>
    </row>
    <row r="5" spans="2:11" ht="39.950000000000003" customHeight="1" x14ac:dyDescent="0.25">
      <c r="B5" s="86" t="s">
        <v>469</v>
      </c>
      <c r="C5" s="90" t="s">
        <v>470</v>
      </c>
      <c r="D5" s="86" t="s">
        <v>471</v>
      </c>
      <c r="E5" s="87">
        <v>73000</v>
      </c>
      <c r="F5" s="87">
        <v>0</v>
      </c>
      <c r="G5" s="88">
        <v>73000</v>
      </c>
      <c r="H5" s="89" t="s">
        <v>472</v>
      </c>
      <c r="I5" s="89" t="s">
        <v>447</v>
      </c>
      <c r="J5" s="86" t="s">
        <v>473</v>
      </c>
      <c r="K5" s="90" t="s">
        <v>474</v>
      </c>
    </row>
    <row r="6" spans="2:11" ht="39.950000000000003" customHeight="1" x14ac:dyDescent="0.25">
      <c r="B6" s="91" t="s">
        <v>475</v>
      </c>
      <c r="C6" s="93" t="s">
        <v>476</v>
      </c>
      <c r="D6" s="91" t="s">
        <v>477</v>
      </c>
      <c r="E6" s="87">
        <v>55000</v>
      </c>
      <c r="F6" s="87">
        <v>0</v>
      </c>
      <c r="G6" s="28">
        <v>128000</v>
      </c>
      <c r="H6" s="92" t="s">
        <v>478</v>
      </c>
      <c r="I6" s="92" t="s">
        <v>479</v>
      </c>
      <c r="J6" s="91" t="s">
        <v>480</v>
      </c>
      <c r="K6" s="93" t="s">
        <v>481</v>
      </c>
    </row>
    <row r="7" spans="2:11" ht="39.950000000000003" customHeight="1" x14ac:dyDescent="0.25">
      <c r="B7" s="86" t="s">
        <v>482</v>
      </c>
      <c r="C7" s="86"/>
      <c r="D7" s="86"/>
      <c r="E7" s="94"/>
      <c r="F7" s="94"/>
      <c r="G7" s="95"/>
      <c r="H7" s="89"/>
      <c r="I7" s="89" t="s">
        <v>479</v>
      </c>
      <c r="J7" s="86"/>
      <c r="K7" s="90"/>
    </row>
    <row r="9" spans="2:11" ht="15" customHeight="1" x14ac:dyDescent="0.25">
      <c r="B9" s="133" t="s">
        <v>483</v>
      </c>
      <c r="C9" s="133"/>
      <c r="D9" s="133"/>
      <c r="E9" s="96">
        <f>SUM(F5:F7)</f>
        <v>0</v>
      </c>
    </row>
  </sheetData>
  <mergeCells count="3">
    <mergeCell ref="B1:J1"/>
    <mergeCell ref="B2:J2"/>
    <mergeCell ref="B9:D9"/>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1"/>
  <sheetViews>
    <sheetView showGridLines="0" zoomScaleNormal="100" workbookViewId="0"/>
  </sheetViews>
  <sheetFormatPr defaultColWidth="8.7109375" defaultRowHeight="15" x14ac:dyDescent="0.25"/>
  <cols>
    <col min="1" max="1" width="3" customWidth="1"/>
    <col min="2" max="2" width="44.7109375" customWidth="1"/>
    <col min="3" max="11" width="14" customWidth="1"/>
  </cols>
  <sheetData>
    <row r="1" spans="2:11" ht="37.5" customHeight="1" x14ac:dyDescent="0.25">
      <c r="B1" s="134" t="s">
        <v>484</v>
      </c>
      <c r="C1" s="134"/>
      <c r="D1" s="134"/>
      <c r="E1" s="134"/>
      <c r="F1" s="134"/>
      <c r="G1" s="134"/>
      <c r="H1" s="134"/>
      <c r="I1" s="134"/>
      <c r="J1" s="134"/>
      <c r="K1" s="134"/>
    </row>
    <row r="2" spans="2:11" ht="19.5" customHeight="1" x14ac:dyDescent="0.25">
      <c r="B2" s="135" t="s">
        <v>485</v>
      </c>
      <c r="C2" s="135"/>
      <c r="D2" s="135"/>
      <c r="E2" s="135"/>
      <c r="F2" s="135"/>
      <c r="G2" s="135"/>
      <c r="H2" s="135"/>
      <c r="I2" s="135"/>
      <c r="J2" s="135"/>
      <c r="K2" s="135"/>
    </row>
    <row r="4" spans="2:11" ht="27.75" customHeight="1" x14ac:dyDescent="0.25">
      <c r="B4" s="97" t="s">
        <v>486</v>
      </c>
      <c r="C4" s="71" t="s">
        <v>487</v>
      </c>
      <c r="D4" s="71" t="s">
        <v>488</v>
      </c>
      <c r="E4" s="71" t="s">
        <v>489</v>
      </c>
      <c r="F4" s="71" t="s">
        <v>490</v>
      </c>
      <c r="G4" s="71" t="s">
        <v>491</v>
      </c>
      <c r="H4" s="71" t="s">
        <v>492</v>
      </c>
      <c r="I4" s="71" t="s">
        <v>493</v>
      </c>
      <c r="J4" s="71" t="s">
        <v>494</v>
      </c>
      <c r="K4" s="71" t="s">
        <v>495</v>
      </c>
    </row>
    <row r="5" spans="2:11" ht="18" customHeight="1" x14ac:dyDescent="0.25">
      <c r="B5" s="98" t="s">
        <v>496</v>
      </c>
      <c r="C5" s="99">
        <v>2500000</v>
      </c>
      <c r="D5" s="100"/>
      <c r="E5" s="100"/>
      <c r="F5" s="100"/>
      <c r="G5" s="100"/>
      <c r="H5" s="100"/>
      <c r="I5" s="99">
        <f t="shared" ref="I5:I10" si="0">SUM(D5:H5)</f>
        <v>0</v>
      </c>
      <c r="J5" s="99">
        <f t="shared" ref="J5:J10" si="1">C5-I5</f>
        <v>2500000</v>
      </c>
      <c r="K5" s="101">
        <f t="shared" ref="K5:K10" si="2">IFERROR(I5/C5,0)</f>
        <v>0</v>
      </c>
    </row>
    <row r="6" spans="2:11" ht="18" customHeight="1" x14ac:dyDescent="0.25">
      <c r="B6" s="98" t="s">
        <v>497</v>
      </c>
      <c r="C6" s="102">
        <v>3500000</v>
      </c>
      <c r="D6" s="100"/>
      <c r="E6" s="100"/>
      <c r="F6" s="100"/>
      <c r="G6" s="100"/>
      <c r="H6" s="100"/>
      <c r="I6" s="102">
        <f t="shared" si="0"/>
        <v>0</v>
      </c>
      <c r="J6" s="102">
        <f t="shared" si="1"/>
        <v>3500000</v>
      </c>
      <c r="K6" s="103">
        <f t="shared" si="2"/>
        <v>0</v>
      </c>
    </row>
    <row r="7" spans="2:11" ht="18" customHeight="1" x14ac:dyDescent="0.25">
      <c r="B7" s="98" t="s">
        <v>498</v>
      </c>
      <c r="C7" s="99">
        <v>750000</v>
      </c>
      <c r="D7" s="100"/>
      <c r="E7" s="100"/>
      <c r="F7" s="100"/>
      <c r="G7" s="100"/>
      <c r="H7" s="100"/>
      <c r="I7" s="99">
        <f t="shared" si="0"/>
        <v>0</v>
      </c>
      <c r="J7" s="99">
        <f t="shared" si="1"/>
        <v>750000</v>
      </c>
      <c r="K7" s="101">
        <f t="shared" si="2"/>
        <v>0</v>
      </c>
    </row>
    <row r="8" spans="2:11" ht="18" customHeight="1" x14ac:dyDescent="0.25">
      <c r="B8" s="98" t="s">
        <v>499</v>
      </c>
      <c r="C8" s="102">
        <v>500000</v>
      </c>
      <c r="D8" s="100"/>
      <c r="E8" s="100"/>
      <c r="F8" s="100"/>
      <c r="G8" s="100"/>
      <c r="H8" s="100"/>
      <c r="I8" s="102">
        <f t="shared" si="0"/>
        <v>0</v>
      </c>
      <c r="J8" s="102">
        <f t="shared" si="1"/>
        <v>500000</v>
      </c>
      <c r="K8" s="103">
        <f t="shared" si="2"/>
        <v>0</v>
      </c>
    </row>
    <row r="9" spans="2:11" ht="18" customHeight="1" x14ac:dyDescent="0.25">
      <c r="B9" s="98" t="s">
        <v>500</v>
      </c>
      <c r="C9" s="99">
        <v>750000</v>
      </c>
      <c r="D9" s="100"/>
      <c r="E9" s="100"/>
      <c r="F9" s="100"/>
      <c r="G9" s="100"/>
      <c r="H9" s="100"/>
      <c r="I9" s="99">
        <f t="shared" si="0"/>
        <v>0</v>
      </c>
      <c r="J9" s="99">
        <f t="shared" si="1"/>
        <v>750000</v>
      </c>
      <c r="K9" s="101">
        <f t="shared" si="2"/>
        <v>0</v>
      </c>
    </row>
    <row r="10" spans="2:11" ht="18" customHeight="1" x14ac:dyDescent="0.25">
      <c r="B10" s="98" t="s">
        <v>501</v>
      </c>
      <c r="C10" s="102">
        <v>300000</v>
      </c>
      <c r="D10" s="100"/>
      <c r="E10" s="100"/>
      <c r="F10" s="100"/>
      <c r="G10" s="100"/>
      <c r="H10" s="100"/>
      <c r="I10" s="102">
        <f t="shared" si="0"/>
        <v>0</v>
      </c>
      <c r="J10" s="102">
        <f t="shared" si="1"/>
        <v>300000</v>
      </c>
      <c r="K10" s="103">
        <f t="shared" si="2"/>
        <v>0</v>
      </c>
    </row>
    <row r="11" spans="2:11" ht="15" customHeight="1" x14ac:dyDescent="0.25">
      <c r="B11" s="104" t="s">
        <v>502</v>
      </c>
      <c r="C11" s="43">
        <f t="shared" ref="C11:K11" si="3">SUM(C5:C10)</f>
        <v>8300000</v>
      </c>
      <c r="D11" s="43">
        <f t="shared" si="3"/>
        <v>0</v>
      </c>
      <c r="E11" s="43">
        <f t="shared" si="3"/>
        <v>0</v>
      </c>
      <c r="F11" s="43">
        <f t="shared" si="3"/>
        <v>0</v>
      </c>
      <c r="G11" s="43">
        <f t="shared" si="3"/>
        <v>0</v>
      </c>
      <c r="H11" s="43">
        <f t="shared" si="3"/>
        <v>0</v>
      </c>
      <c r="I11" s="43">
        <f t="shared" si="3"/>
        <v>0</v>
      </c>
      <c r="J11" s="43">
        <f t="shared" si="3"/>
        <v>8300000</v>
      </c>
      <c r="K11" s="44">
        <f t="shared" si="3"/>
        <v>0</v>
      </c>
    </row>
  </sheetData>
  <mergeCells count="2">
    <mergeCell ref="B1:K1"/>
    <mergeCell ref="B2:K2"/>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23"/>
  <sheetViews>
    <sheetView showGridLines="0" zoomScaleNormal="100" workbookViewId="0">
      <selection activeCell="H8" sqref="H8"/>
    </sheetView>
  </sheetViews>
  <sheetFormatPr defaultColWidth="8.7109375" defaultRowHeight="15" x14ac:dyDescent="0.25"/>
  <cols>
    <col min="1" max="1" width="3" customWidth="1"/>
    <col min="2" max="2" width="28" customWidth="1"/>
    <col min="3" max="4" width="16" customWidth="1"/>
    <col min="5" max="6" width="14" customWidth="1"/>
    <col min="7" max="7" width="28" customWidth="1"/>
    <col min="8" max="8" width="33.7109375" customWidth="1"/>
  </cols>
  <sheetData>
    <row r="1" spans="2:7" ht="37.5" customHeight="1" x14ac:dyDescent="0.25">
      <c r="B1" s="136" t="s">
        <v>503</v>
      </c>
      <c r="C1" s="136"/>
      <c r="D1" s="136"/>
      <c r="E1" s="136"/>
      <c r="F1" s="136"/>
      <c r="G1" s="136"/>
    </row>
    <row r="2" spans="2:7" ht="19.5" customHeight="1" x14ac:dyDescent="0.25">
      <c r="B2" s="132" t="s">
        <v>504</v>
      </c>
      <c r="C2" s="132"/>
      <c r="D2" s="132"/>
      <c r="E2" s="132"/>
      <c r="F2" s="132"/>
      <c r="G2" s="132"/>
    </row>
    <row r="4" spans="2:7" ht="18" customHeight="1" x14ac:dyDescent="0.25">
      <c r="B4" s="105" t="s">
        <v>505</v>
      </c>
      <c r="C4" s="137">
        <f>COVER!C4</f>
        <v>0</v>
      </c>
      <c r="D4" s="137"/>
      <c r="E4" s="137"/>
    </row>
    <row r="5" spans="2:7" ht="18" customHeight="1" x14ac:dyDescent="0.25">
      <c r="B5" s="105" t="s">
        <v>506</v>
      </c>
      <c r="C5" s="137">
        <f>COVER!C6</f>
        <v>0</v>
      </c>
      <c r="D5" s="137"/>
      <c r="E5" s="137"/>
    </row>
    <row r="6" spans="2:7" ht="18" customHeight="1" x14ac:dyDescent="0.25">
      <c r="B6" s="105" t="s">
        <v>507</v>
      </c>
      <c r="C6" s="137">
        <f>COVER!C7</f>
        <v>0</v>
      </c>
      <c r="D6" s="137"/>
      <c r="E6" s="137"/>
    </row>
    <row r="7" spans="2:7" ht="18" customHeight="1" x14ac:dyDescent="0.25">
      <c r="B7" s="105" t="s">
        <v>508</v>
      </c>
      <c r="C7" s="137">
        <f>COVER!C8</f>
        <v>0</v>
      </c>
      <c r="D7" s="137"/>
      <c r="E7" s="137"/>
    </row>
    <row r="8" spans="2:7" ht="18" customHeight="1" x14ac:dyDescent="0.25">
      <c r="B8" s="105" t="s">
        <v>509</v>
      </c>
      <c r="C8" s="137">
        <f>COVER!C9</f>
        <v>0</v>
      </c>
      <c r="D8" s="137"/>
      <c r="E8" s="137"/>
    </row>
    <row r="9" spans="2:7" ht="18" customHeight="1" x14ac:dyDescent="0.25">
      <c r="B9" s="105" t="s">
        <v>510</v>
      </c>
      <c r="C9" s="137">
        <f>COVER!C10</f>
        <v>0</v>
      </c>
      <c r="D9" s="137"/>
      <c r="E9" s="137"/>
    </row>
    <row r="10" spans="2:7" ht="21.75" customHeight="1" x14ac:dyDescent="0.25">
      <c r="B10" s="106" t="s">
        <v>511</v>
      </c>
      <c r="C10" s="138">
        <f>'BUDGET TRACKER'!D80</f>
        <v>0</v>
      </c>
      <c r="D10" s="138"/>
      <c r="E10" s="138"/>
    </row>
    <row r="11" spans="2:7" ht="21.75" customHeight="1" x14ac:dyDescent="0.25">
      <c r="B11" s="107" t="s">
        <v>512</v>
      </c>
      <c r="C11" s="139">
        <f>'BUDGET TRACKER'!E80</f>
        <v>0</v>
      </c>
      <c r="D11" s="139"/>
      <c r="E11" s="139"/>
    </row>
    <row r="12" spans="2:7" ht="21.75" customHeight="1" x14ac:dyDescent="0.25">
      <c r="B12" s="105" t="s">
        <v>513</v>
      </c>
      <c r="C12" s="140">
        <f>'BUDGET TRACKER'!F80</f>
        <v>0</v>
      </c>
      <c r="D12" s="140"/>
      <c r="E12" s="140"/>
    </row>
    <row r="13" spans="2:7" ht="21.75" customHeight="1" x14ac:dyDescent="0.25">
      <c r="B13" s="108" t="s">
        <v>514</v>
      </c>
      <c r="C13" s="141">
        <f>'BUDGET TRACKER'!G80</f>
        <v>0</v>
      </c>
      <c r="D13" s="141"/>
      <c r="E13" s="141"/>
    </row>
    <row r="14" spans="2:7" ht="21.75" customHeight="1" x14ac:dyDescent="0.25">
      <c r="B14" s="67" t="s">
        <v>515</v>
      </c>
      <c r="C14" s="142">
        <f>'BUDGET TRACKER'!I171</f>
        <v>0</v>
      </c>
      <c r="D14" s="142"/>
      <c r="E14" s="142"/>
    </row>
    <row r="15" spans="2:7" ht="21.75" customHeight="1" x14ac:dyDescent="0.25">
      <c r="B15" s="67" t="s">
        <v>516</v>
      </c>
      <c r="C15" s="142">
        <f>'BUDGET TRACKER'!J171</f>
        <v>0</v>
      </c>
      <c r="D15" s="142"/>
      <c r="E15" s="142"/>
    </row>
    <row r="16" spans="2:7" x14ac:dyDescent="0.25">
      <c r="B16" s="67" t="s">
        <v>430</v>
      </c>
      <c r="C16" s="27" t="str">
        <f>'BUDGET TRACKER'!K171</f>
        <v/>
      </c>
    </row>
    <row r="17" spans="2:8" ht="19.5" customHeight="1" x14ac:dyDescent="0.25">
      <c r="B17" s="130" t="s">
        <v>517</v>
      </c>
      <c r="C17" s="130"/>
      <c r="D17" s="130"/>
      <c r="E17" s="130"/>
      <c r="F17" s="130"/>
      <c r="G17" s="130"/>
    </row>
    <row r="18" spans="2:8" ht="30" customHeight="1" x14ac:dyDescent="0.25">
      <c r="B18" s="73" t="s">
        <v>435</v>
      </c>
      <c r="C18" s="73" t="s">
        <v>518</v>
      </c>
      <c r="D18" s="73" t="s">
        <v>519</v>
      </c>
      <c r="E18" s="73" t="s">
        <v>520</v>
      </c>
      <c r="F18" s="73" t="s">
        <v>440</v>
      </c>
      <c r="G18" s="73" t="s">
        <v>521</v>
      </c>
      <c r="H18" s="73" t="s">
        <v>522</v>
      </c>
    </row>
    <row r="19" spans="2:8" ht="39.950000000000003" customHeight="1" x14ac:dyDescent="0.25">
      <c r="B19" s="109" t="s">
        <v>523</v>
      </c>
      <c r="C19" s="110" t="s">
        <v>524</v>
      </c>
      <c r="D19" s="111"/>
      <c r="E19" s="111"/>
      <c r="F19" s="111" t="s">
        <v>525</v>
      </c>
      <c r="G19" s="111" t="s">
        <v>526</v>
      </c>
      <c r="H19" s="112" t="s">
        <v>527</v>
      </c>
    </row>
    <row r="20" spans="2:8" ht="39.950000000000003" customHeight="1" x14ac:dyDescent="0.25">
      <c r="B20" s="109" t="s">
        <v>528</v>
      </c>
      <c r="C20" s="91" t="s">
        <v>529</v>
      </c>
      <c r="D20" s="92"/>
      <c r="E20" s="92"/>
      <c r="F20" s="92" t="s">
        <v>479</v>
      </c>
      <c r="G20" s="92" t="s">
        <v>530</v>
      </c>
      <c r="H20" s="93" t="s">
        <v>531</v>
      </c>
    </row>
    <row r="21" spans="2:8" ht="39.950000000000003" customHeight="1" x14ac:dyDescent="0.25">
      <c r="B21" s="109" t="s">
        <v>444</v>
      </c>
      <c r="C21" s="86" t="s">
        <v>532</v>
      </c>
      <c r="D21" s="89"/>
      <c r="E21" s="89"/>
      <c r="F21" s="89" t="s">
        <v>479</v>
      </c>
      <c r="G21" s="89" t="s">
        <v>533</v>
      </c>
      <c r="H21" s="90" t="s">
        <v>534</v>
      </c>
    </row>
    <row r="22" spans="2:8" ht="39.950000000000003" customHeight="1" x14ac:dyDescent="0.25">
      <c r="B22" s="109" t="s">
        <v>535</v>
      </c>
      <c r="C22" s="91" t="s">
        <v>536</v>
      </c>
      <c r="D22" s="92"/>
      <c r="E22" s="92"/>
      <c r="F22" s="92" t="s">
        <v>479</v>
      </c>
      <c r="G22" s="92" t="s">
        <v>537</v>
      </c>
      <c r="H22" s="93" t="s">
        <v>538</v>
      </c>
    </row>
    <row r="23" spans="2:8" ht="39.950000000000003" customHeight="1" x14ac:dyDescent="0.25">
      <c r="B23" s="109" t="s">
        <v>539</v>
      </c>
      <c r="C23" s="86" t="s">
        <v>540</v>
      </c>
      <c r="D23" s="89"/>
      <c r="E23" s="89"/>
      <c r="F23" s="89" t="s">
        <v>479</v>
      </c>
      <c r="G23" s="89" t="s">
        <v>541</v>
      </c>
      <c r="H23" s="90" t="s">
        <v>542</v>
      </c>
    </row>
  </sheetData>
  <mergeCells count="15">
    <mergeCell ref="C12:E12"/>
    <mergeCell ref="C13:E13"/>
    <mergeCell ref="C14:E14"/>
    <mergeCell ref="C15:E15"/>
    <mergeCell ref="B17:G17"/>
    <mergeCell ref="C7:E7"/>
    <mergeCell ref="C8:E8"/>
    <mergeCell ref="C9:E9"/>
    <mergeCell ref="C10:E10"/>
    <mergeCell ref="C11:E11"/>
    <mergeCell ref="B1:G1"/>
    <mergeCell ref="B2:G2"/>
    <mergeCell ref="C4:E4"/>
    <mergeCell ref="C5:E5"/>
    <mergeCell ref="C6:E6"/>
  </mergeCells>
  <dataValidations count="1">
    <dataValidation type="list" sqref="F19:F23" xr:uid="{00000000-0002-0000-0500-000000000000}">
      <formula1>"Not Started,In Progress,Pending,Complete,On Hold"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34"/>
  <sheetViews>
    <sheetView showGridLines="0" zoomScaleNormal="100" workbookViewId="0">
      <selection activeCell="D4" sqref="D4"/>
    </sheetView>
  </sheetViews>
  <sheetFormatPr defaultColWidth="8.7109375" defaultRowHeight="15" x14ac:dyDescent="0.25"/>
  <cols>
    <col min="1" max="1" width="3" customWidth="1"/>
    <col min="2" max="2" width="119.42578125" customWidth="1"/>
    <col min="3" max="3" width="3" customWidth="1"/>
  </cols>
  <sheetData>
    <row r="1" spans="2:2" ht="37.5" customHeight="1" x14ac:dyDescent="0.25">
      <c r="B1" s="8" t="s">
        <v>543</v>
      </c>
    </row>
    <row r="2" spans="2:2" ht="7.5" customHeight="1" x14ac:dyDescent="0.25"/>
    <row r="3" spans="2:2" ht="24" customHeight="1" x14ac:dyDescent="0.25">
      <c r="B3" s="113" t="s">
        <v>544</v>
      </c>
    </row>
    <row r="4" spans="2:2" ht="60" customHeight="1" x14ac:dyDescent="0.25">
      <c r="B4" s="114" t="s">
        <v>545</v>
      </c>
    </row>
    <row r="5" spans="2:2" ht="7.5" customHeight="1" x14ac:dyDescent="0.25"/>
    <row r="6" spans="2:2" ht="24" customHeight="1" x14ac:dyDescent="0.25">
      <c r="B6" s="113" t="s">
        <v>546</v>
      </c>
    </row>
    <row r="7" spans="2:2" ht="60" customHeight="1" x14ac:dyDescent="0.25">
      <c r="B7" s="114" t="s">
        <v>547</v>
      </c>
    </row>
    <row r="8" spans="2:2" ht="60" customHeight="1" x14ac:dyDescent="0.25">
      <c r="B8" s="114" t="s">
        <v>548</v>
      </c>
    </row>
    <row r="9" spans="2:2" ht="7.5" customHeight="1" x14ac:dyDescent="0.25"/>
    <row r="10" spans="2:2" ht="24" customHeight="1" x14ac:dyDescent="0.25">
      <c r="B10" s="113" t="s">
        <v>549</v>
      </c>
    </row>
    <row r="11" spans="2:2" ht="60" customHeight="1" x14ac:dyDescent="0.25">
      <c r="B11" s="114" t="s">
        <v>550</v>
      </c>
    </row>
    <row r="12" spans="2:2" ht="51.75" customHeight="1" x14ac:dyDescent="0.25">
      <c r="B12" s="115" t="s">
        <v>551</v>
      </c>
    </row>
    <row r="13" spans="2:2" ht="81.75" customHeight="1" x14ac:dyDescent="0.25">
      <c r="B13" s="115" t="s">
        <v>552</v>
      </c>
    </row>
    <row r="14" spans="2:2" ht="64.5" customHeight="1" x14ac:dyDescent="0.25">
      <c r="B14" s="115" t="s">
        <v>553</v>
      </c>
    </row>
    <row r="15" spans="2:2" ht="66.75" customHeight="1" x14ac:dyDescent="0.25">
      <c r="B15" s="115" t="s">
        <v>554</v>
      </c>
    </row>
    <row r="16" spans="2:2" ht="7.5" customHeight="1" x14ac:dyDescent="0.25"/>
    <row r="17" spans="2:2" ht="24" customHeight="1" x14ac:dyDescent="0.25">
      <c r="B17" s="113" t="s">
        <v>555</v>
      </c>
    </row>
    <row r="18" spans="2:2" ht="60" customHeight="1" x14ac:dyDescent="0.25">
      <c r="B18" s="116" t="s">
        <v>556</v>
      </c>
    </row>
    <row r="19" spans="2:2" ht="60" customHeight="1" x14ac:dyDescent="0.25">
      <c r="B19" s="114" t="s">
        <v>557</v>
      </c>
    </row>
    <row r="20" spans="2:2" ht="7.5" customHeight="1" x14ac:dyDescent="0.25"/>
    <row r="21" spans="2:2" ht="24" customHeight="1" x14ac:dyDescent="0.25">
      <c r="B21" s="113" t="s">
        <v>558</v>
      </c>
    </row>
    <row r="22" spans="2:2" ht="60" customHeight="1" x14ac:dyDescent="0.25">
      <c r="B22" s="116" t="s">
        <v>559</v>
      </c>
    </row>
    <row r="23" spans="2:2" ht="60" customHeight="1" x14ac:dyDescent="0.25">
      <c r="B23" s="114" t="s">
        <v>560</v>
      </c>
    </row>
    <row r="24" spans="2:2" ht="7.5" customHeight="1" x14ac:dyDescent="0.25"/>
    <row r="25" spans="2:2" ht="24" customHeight="1" x14ac:dyDescent="0.25">
      <c r="B25" s="113" t="s">
        <v>561</v>
      </c>
    </row>
    <row r="26" spans="2:2" ht="60" customHeight="1" x14ac:dyDescent="0.25">
      <c r="B26" s="116" t="s">
        <v>562</v>
      </c>
    </row>
    <row r="27" spans="2:2" ht="60" customHeight="1" x14ac:dyDescent="0.25">
      <c r="B27" s="114" t="s">
        <v>563</v>
      </c>
    </row>
    <row r="28" spans="2:2" ht="60" customHeight="1" x14ac:dyDescent="0.25">
      <c r="B28" s="114" t="s">
        <v>564</v>
      </c>
    </row>
    <row r="29" spans="2:2" ht="7.5" customHeight="1" x14ac:dyDescent="0.25"/>
    <row r="30" spans="2:2" ht="24" customHeight="1" x14ac:dyDescent="0.25">
      <c r="B30" s="113" t="s">
        <v>565</v>
      </c>
    </row>
    <row r="31" spans="2:2" ht="60" customHeight="1" x14ac:dyDescent="0.25">
      <c r="B31" s="114" t="s">
        <v>566</v>
      </c>
    </row>
    <row r="32" spans="2:2" ht="60" customHeight="1" x14ac:dyDescent="0.25">
      <c r="B32" s="114" t="s">
        <v>567</v>
      </c>
    </row>
    <row r="34" spans="2:2" ht="48" customHeight="1" x14ac:dyDescent="0.25">
      <c r="B34" s="117" t="s">
        <v>568</v>
      </c>
    </row>
  </sheetData>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BUDGET TRACKER</vt:lpstr>
      <vt:lpstr>VARIANCE LOG</vt:lpstr>
      <vt:lpstr>CHANGE ORDER LOG</vt:lpstr>
      <vt:lpstr>DRAW SCHEDULE</vt:lpstr>
      <vt:lpstr>GATE DASHBOARD</vt:lpstr>
      <vt:lpstr>STRATEGY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Ainsworth</cp:lastModifiedBy>
  <cp:revision>0</cp:revision>
  <dcterms:created xsi:type="dcterms:W3CDTF">2026-03-15T00:17:10Z</dcterms:created>
  <dcterms:modified xsi:type="dcterms:W3CDTF">2026-07-23T18:06:23Z</dcterms:modified>
  <dc:language>en-US</dc:language>
</cp:coreProperties>
</file>