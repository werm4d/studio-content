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_Local\werm4d\m4di\"/>
    </mc:Choice>
  </mc:AlternateContent>
  <xr:revisionPtr revIDLastSave="0" documentId="8_{22A09878-907A-4AC1-8CAE-4E26F4FF8F0E}" xr6:coauthVersionLast="47" xr6:coauthVersionMax="47" xr10:uidLastSave="{00000000-0000-0000-0000-000000000000}"/>
  <bookViews>
    <workbookView xWindow="-28620" yWindow="975" windowWidth="26490" windowHeight="14760" tabRatio="500" xr2:uid="{00000000-000D-0000-FFFF-FFFF00000000}"/>
  </bookViews>
  <sheets>
    <sheet name="COVER" sheetId="1" r:id="rId1"/>
    <sheet name="SUMMARY" sheetId="2" r:id="rId2"/>
    <sheet name="DETAIL" sheetId="3" r:id="rId3"/>
  </sheets>
  <definedNames>
    <definedName name="_xlnm.Print_Area" localSheetId="0">COVER!$A$1:$U$32</definedName>
    <definedName name="_xlnm.Print_Area" localSheetId="2">DETAIL!$A$1:$H$89</definedName>
    <definedName name="_xlnm.Print_Area" localSheetId="1">SUMMARY!$A$1:$U$37</definedName>
    <definedName name="_xlnm.Print_Titles" localSheetId="2">DETAIL!$3:$4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7" i="3" l="1"/>
  <c r="G76" i="3"/>
  <c r="G75" i="3"/>
  <c r="G74" i="3"/>
  <c r="G73" i="3"/>
  <c r="G72" i="3"/>
  <c r="G78" i="3" s="1"/>
  <c r="G69" i="3"/>
  <c r="G68" i="3"/>
  <c r="G70" i="3" s="1"/>
  <c r="G67" i="3"/>
  <c r="G66" i="3"/>
  <c r="G65" i="3"/>
  <c r="G62" i="3"/>
  <c r="G61" i="3"/>
  <c r="G60" i="3"/>
  <c r="G59" i="3"/>
  <c r="G58" i="3"/>
  <c r="G63" i="3" s="1"/>
  <c r="G55" i="3"/>
  <c r="G56" i="3" s="1"/>
  <c r="G54" i="3"/>
  <c r="G53" i="3"/>
  <c r="G52" i="3"/>
  <c r="G51" i="3"/>
  <c r="G46" i="3"/>
  <c r="G45" i="3"/>
  <c r="G44" i="3"/>
  <c r="G43" i="3"/>
  <c r="G42" i="3"/>
  <c r="G40" i="3"/>
  <c r="G39" i="3"/>
  <c r="G38" i="3"/>
  <c r="G37" i="3"/>
  <c r="G36" i="3"/>
  <c r="G33" i="3"/>
  <c r="G32" i="3"/>
  <c r="G31" i="3"/>
  <c r="G30" i="3"/>
  <c r="G29" i="3"/>
  <c r="G28" i="3"/>
  <c r="G34" i="3" s="1"/>
  <c r="G27" i="3"/>
  <c r="G26" i="3"/>
  <c r="G25" i="3"/>
  <c r="G22" i="3"/>
  <c r="G21" i="3"/>
  <c r="G20" i="3"/>
  <c r="G19" i="3"/>
  <c r="G23" i="3" s="1"/>
  <c r="G16" i="3"/>
  <c r="G15" i="3"/>
  <c r="G14" i="3"/>
  <c r="G13" i="3"/>
  <c r="G12" i="3"/>
  <c r="G11" i="3"/>
  <c r="G8" i="3"/>
  <c r="G7" i="3"/>
  <c r="G6" i="3"/>
  <c r="G9" i="3" s="1"/>
  <c r="B14" i="2"/>
  <c r="L21" i="2" l="1"/>
  <c r="L18" i="2"/>
  <c r="L25" i="2"/>
  <c r="L26" i="2"/>
  <c r="L27" i="2"/>
  <c r="L20" i="2"/>
  <c r="L24" i="2"/>
  <c r="G17" i="3"/>
  <c r="G47" i="3"/>
  <c r="L22" i="2"/>
  <c r="L23" i="2" l="1"/>
  <c r="L19" i="2"/>
  <c r="G79" i="3"/>
  <c r="H27" i="3" l="1"/>
  <c r="H14" i="3"/>
  <c r="H74" i="3"/>
  <c r="H46" i="3"/>
  <c r="H33" i="3"/>
  <c r="L28" i="2"/>
  <c r="H39" i="3"/>
  <c r="H61" i="3"/>
  <c r="P6" i="2"/>
  <c r="P5" i="2"/>
  <c r="H54" i="3"/>
  <c r="G14" i="2"/>
  <c r="H76" i="3"/>
  <c r="H67" i="3"/>
  <c r="H60" i="3"/>
  <c r="H31" i="3"/>
  <c r="H11" i="3"/>
  <c r="H12" i="3"/>
  <c r="H13" i="3"/>
  <c r="Q26" i="2"/>
  <c r="H30" i="3"/>
  <c r="H42" i="3"/>
  <c r="H43" i="3"/>
  <c r="Q27" i="2"/>
  <c r="Q20" i="2"/>
  <c r="H51" i="3"/>
  <c r="H8" i="3"/>
  <c r="H21" i="3"/>
  <c r="H28" i="3"/>
  <c r="H15" i="3"/>
  <c r="H16" i="3"/>
  <c r="H19" i="3"/>
  <c r="H72" i="3"/>
  <c r="H32" i="3"/>
  <c r="Q25" i="2"/>
  <c r="H68" i="3"/>
  <c r="H25" i="3"/>
  <c r="H36" i="3"/>
  <c r="H66" i="3"/>
  <c r="H53" i="3"/>
  <c r="H37" i="3"/>
  <c r="H38" i="3"/>
  <c r="Q21" i="2"/>
  <c r="H69" i="3"/>
  <c r="Q18" i="2"/>
  <c r="H44" i="3"/>
  <c r="H22" i="3"/>
  <c r="H7" i="3"/>
  <c r="H45" i="3"/>
  <c r="H77" i="3"/>
  <c r="Q22" i="2"/>
  <c r="H58" i="3"/>
  <c r="H73" i="3"/>
  <c r="H6" i="3"/>
  <c r="H29" i="3"/>
  <c r="H59" i="3"/>
  <c r="H62" i="3"/>
  <c r="H52" i="3"/>
  <c r="H20" i="3"/>
  <c r="H26" i="3"/>
  <c r="H55" i="3"/>
  <c r="H65" i="3"/>
  <c r="H75" i="3"/>
  <c r="Q24" i="2"/>
  <c r="Q23" i="2"/>
  <c r="Q19" i="2"/>
  <c r="P7" i="2" l="1"/>
  <c r="P8" i="2" s="1"/>
  <c r="P9" i="2" l="1"/>
  <c r="P10" i="2" s="1"/>
  <c r="L14" i="2"/>
  <c r="B8" i="1" l="1"/>
  <c r="Q14" i="2"/>
  <c r="O8" i="1"/>
  <c r="B9" i="1"/>
</calcChain>
</file>

<file path=xl/sharedStrings.xml><?xml version="1.0" encoding="utf-8"?>
<sst xmlns="http://schemas.openxmlformats.org/spreadsheetml/2006/main" count="294" uniqueCount="222">
  <si>
    <t>Construction Cost Estimate</t>
  </si>
  <si>
    <t>607 Concord Avenue  ·  Wilmington, Delaware 19802</t>
  </si>
  <si>
    <t>ROUGH ORDER OF MAGNITUDE  ·  FULL GUT REHABILITATION WITH COMPLETE MEP REPLACEMENT</t>
  </si>
  <si>
    <t>TOTAL PROJECT COST — ORDER OF MAGNITUDE</t>
  </si>
  <si>
    <t>Project information</t>
  </si>
  <si>
    <t>Prepared by</t>
  </si>
  <si>
    <t>PROJECT</t>
  </si>
  <si>
    <t>607 Concord Avenue</t>
  </si>
  <si>
    <t>FIRM</t>
  </si>
  <si>
    <t>Merge 4 Design LLC</t>
  </si>
  <si>
    <t>LOCATION</t>
  </si>
  <si>
    <t>Wilmington, DE 19802</t>
  </si>
  <si>
    <t>ADDRESS</t>
  </si>
  <si>
    <t>500 Delaware Ave, Suite 1 #1551</t>
  </si>
  <si>
    <t>PARCEL</t>
  </si>
  <si>
    <t>2601530162</t>
  </si>
  <si>
    <t>Wilmington, DE 19899</t>
  </si>
  <si>
    <t>JURISDICTION</t>
  </si>
  <si>
    <t>New Castle County</t>
  </si>
  <si>
    <t>PROJECT NO.</t>
  </si>
  <si>
    <t>M2-2026-016</t>
  </si>
  <si>
    <t>BUILDING</t>
  </si>
  <si>
    <t>Rowhouse — end unit, corner</t>
  </si>
  <si>
    <t>ESTIMATE DATE</t>
  </si>
  <si>
    <t>23 July 2026</t>
  </si>
  <si>
    <t>CONFIGURATION</t>
  </si>
  <si>
    <t>2 story + basement + attic</t>
  </si>
  <si>
    <t>DRAWING BASIS</t>
  </si>
  <si>
    <t>AD-01 / A-101 / AD-03</t>
  </si>
  <si>
    <t>GROSS AREA</t>
  </si>
  <si>
    <t>1,300 SF above grade</t>
  </si>
  <si>
    <t>DRAWING DATE</t>
  </si>
  <si>
    <t>28 June 2026</t>
  </si>
  <si>
    <t>SCOPE</t>
  </si>
  <si>
    <t>Full gut rehabilitation</t>
  </si>
  <si>
    <t>ACCURACY</t>
  </si>
  <si>
    <t>± 20%  ·  AACE Class 4</t>
  </si>
  <si>
    <t>Project cost control stage</t>
  </si>
  <si>
    <t>ROM estimate</t>
  </si>
  <si>
    <t>Feasibility</t>
  </si>
  <si>
    <t>Design development</t>
  </si>
  <si>
    <t>GMP / contract</t>
  </si>
  <si>
    <t>Closeout</t>
  </si>
  <si>
    <t>COMPLETE</t>
  </si>
  <si>
    <t>PENDING</t>
  </si>
  <si>
    <t>Basis of estimate</t>
  </si>
  <si>
    <t>This estimate is a rough order of magnitude prepared from the architectural drawing set referenced above. Quantities are derived from plan takeoff and field-verifiable dimensions. Unit rates reflect current Wilmington-area subcontractor pricing for residential rehabilitation of comparable scale and complexity.</t>
  </si>
  <si>
    <t>All mechanical, electrical and plumbing systems are carried as complete replacement, including a 200-amp electrical service upgrade, new gas-fired forced-air heating with cooling, new supply and drain-waste-vent piping, and a new gas water heater.</t>
  </si>
  <si>
    <t>Exterior scope reflects observed existing conditions including roof replacement to the rafters, porch reconstruction, selective masonry repointing, and re-cladding of the rear wing.</t>
  </si>
  <si>
    <t>The estimate carries an 8% design and construction contingency and a 10% general contractor overhead and profit allowance. Architecture and engineering fees are shown separately at 6% of construction cost.</t>
  </si>
  <si>
    <t>Prepared for budgeting, financing and feasibility purposes. This is not a bid, a guaranteed maximum price, or an offer to perform work. Competitive contractor pricing should be obtained prior to any funding commitment or construction contract.</t>
  </si>
  <si>
    <t>Merge 4 Design LLC  ·  M4Di Construction ROM  ·  Project M2-2026-016  ·  Issued 23 July 2026  ·  Page 1 of 4</t>
  </si>
  <si>
    <t>Cost summary</t>
  </si>
  <si>
    <t>Direct construction cost</t>
  </si>
  <si>
    <t>52 line items · 10 divisions</t>
  </si>
  <si>
    <t>Design &amp; construction contingency</t>
  </si>
  <si>
    <t>8% of direct cost</t>
  </si>
  <si>
    <t>General contractor overhead &amp; profit</t>
  </si>
  <si>
    <t>10%</t>
  </si>
  <si>
    <t>Total construction cost</t>
  </si>
  <si>
    <t>Hard cost</t>
  </si>
  <si>
    <t>Architecture &amp; engineering fees</t>
  </si>
  <si>
    <t>6% of construction</t>
  </si>
  <si>
    <t>TOTAL PROJECT COST</t>
  </si>
  <si>
    <t>Order of magnitude</t>
  </si>
  <si>
    <t>Cost metrics</t>
  </si>
  <si>
    <t>GROSS FLOOR AREA</t>
  </si>
  <si>
    <t>DIRECT COST / SF</t>
  </si>
  <si>
    <t>CONSTRUCTION / SF</t>
  </si>
  <si>
    <t>TOTAL PROJECT / SF</t>
  </si>
  <si>
    <t>Cost distribution by division</t>
  </si>
  <si>
    <t>Division</t>
  </si>
  <si>
    <t>Subtotal</t>
  </si>
  <si>
    <t>Share of direct</t>
  </si>
  <si>
    <t>01  GENERAL CONDITIONS</t>
  </si>
  <si>
    <t>02  DEMOLITION</t>
  </si>
  <si>
    <t>03  FOUNDATIONS &amp; STRUCTURE</t>
  </si>
  <si>
    <t>04  EXTERIOR ENVELOPE</t>
  </si>
  <si>
    <t>05  INTERIOR CONSTRUCTION</t>
  </si>
  <si>
    <t>06  FINISHES</t>
  </si>
  <si>
    <t>07  KITCHEN &amp; BATHS</t>
  </si>
  <si>
    <t>08  PLUMBING</t>
  </si>
  <si>
    <t>09  HVAC</t>
  </si>
  <si>
    <t>10  ELECTRICAL</t>
  </si>
  <si>
    <t>Existing condition observations</t>
  </si>
  <si>
    <t>FRONT ELEVATION</t>
  </si>
  <si>
    <t>Two-story brick rowhouse with attic dormer. Arched masonry window surrounds intact. Full-width covered porch. Entry door boarded in current imagery — structure vacant and secured.</t>
  </si>
  <si>
    <t>CORNER / SIDE</t>
  </si>
  <si>
    <t>End-unit condition exposes the full side elevation. Stone foundation shows moisture staining and efflorescence at grade. Basement openings boarded.</t>
  </si>
  <si>
    <t>REAR WING</t>
  </si>
  <si>
    <t>Addition clad in vinyl siding, weathered and deteriorated. Re-clad carried in Division 04.</t>
  </si>
  <si>
    <t>ROOF</t>
  </si>
  <si>
    <t>Existing roof aged beyond serviceable life. Full strip to rafters carried in Division 02.</t>
  </si>
  <si>
    <t>HAZARDOUS MATERIALS</t>
  </si>
  <si>
    <t>Structure predates 1978. Lead paint and asbestos presumed present. Survey and abatement excluded — see Exclusions, page 4.</t>
  </si>
  <si>
    <t>Merge 4 Design LLC  ·  M4Di Construction ROM  ·  Project M2-2026-016  ·  Issued 23 July 2026  ·  Page 2 of 4</t>
  </si>
  <si>
    <t>Construction cost detail — full quantity and rate buildup</t>
  </si>
  <si>
    <t>Scope item</t>
  </si>
  <si>
    <t>CSI ref</t>
  </si>
  <si>
    <t>Qty</t>
  </si>
  <si>
    <t>Unit</t>
  </si>
  <si>
    <t>Unit cost</t>
  </si>
  <si>
    <t>Line total</t>
  </si>
  <si>
    <t>% of dir.</t>
  </si>
  <si>
    <t>Temporary protection, site safety, dumpsters, cleanup</t>
  </si>
  <si>
    <t>DIV 01-TF</t>
  </si>
  <si>
    <t>LS</t>
  </si>
  <si>
    <t>Permits &amp; inspections — New Castle County</t>
  </si>
  <si>
    <t>DIV 01-PM</t>
  </si>
  <si>
    <t>Final clean</t>
  </si>
  <si>
    <t>DIV 01-FC</t>
  </si>
  <si>
    <t>Division subtotal</t>
  </si>
  <si>
    <t>Selective demo — windows, exterior doors, sidelights</t>
  </si>
  <si>
    <t>DIV 02-DI</t>
  </si>
  <si>
    <t>Remove exterior brick wall to roof level</t>
  </si>
  <si>
    <t>DIV 02-DE</t>
  </si>
  <si>
    <t>Remove load-bearing structural wall (interior)</t>
  </si>
  <si>
    <t>DIV 02-DS</t>
  </si>
  <si>
    <t>Roof demolition — strip to rafters</t>
  </si>
  <si>
    <t>DIV 02-DR</t>
  </si>
  <si>
    <t>SF</t>
  </si>
  <si>
    <t>Floor sheathing removal / porch decking demo</t>
  </si>
  <si>
    <t>DIV 02-DF</t>
  </si>
  <si>
    <t>MEP demolition — remove systems back to mains</t>
  </si>
  <si>
    <t>DIV 02-DM</t>
  </si>
  <si>
    <t>Repair &amp; parge foundation — front and side elevations</t>
  </si>
  <si>
    <t>DIV 03-CR</t>
  </si>
  <si>
    <t>Repair basement slab — patch / limited pour</t>
  </si>
  <si>
    <t>DIV 03-CS</t>
  </si>
  <si>
    <t>New LVL beam &amp; posts at each end</t>
  </si>
  <si>
    <t>DIV 06-SF</t>
  </si>
  <si>
    <t>New 2x10 floor joists</t>
  </si>
  <si>
    <t>DIV 06-FJ</t>
  </si>
  <si>
    <t>EA</t>
  </si>
  <si>
    <t>Asphalt shingle roof — main pitched areas</t>
  </si>
  <si>
    <t>DIV 07-RS</t>
  </si>
  <si>
    <t>Low-slope rubber membrane roof — porch / flat area</t>
  </si>
  <si>
    <t>DIV 07-RM</t>
  </si>
  <si>
    <t>Porch rebuild — decking, vinyl railings, steps</t>
  </si>
  <si>
    <t>DIV 06-PR</t>
  </si>
  <si>
    <t>Exterior entry door with sidelights — front</t>
  </si>
  <si>
    <t>DIV 08-DE</t>
  </si>
  <si>
    <t>Exterior rear door</t>
  </si>
  <si>
    <t>DIV 08-DR</t>
  </si>
  <si>
    <t>Replacement windows — match existing profile</t>
  </si>
  <si>
    <t>DIV 08-WD</t>
  </si>
  <si>
    <t>Masonry infill at basement window openings</t>
  </si>
  <si>
    <t>DIV 04-MI</t>
  </si>
  <si>
    <t>Rear wing re-clad — fiber cement siding</t>
  </si>
  <si>
    <t>DIV 07-SD</t>
  </si>
  <si>
    <t>Brick repointing — spot tuckpointing</t>
  </si>
  <si>
    <t>DIV 04-RP</t>
  </si>
  <si>
    <t>Gypsum board — walls and ceilings, all levels</t>
  </si>
  <si>
    <t>DIV 09-GB</t>
  </si>
  <si>
    <t>Interior doors per schedule</t>
  </si>
  <si>
    <t>DIV 08-DI</t>
  </si>
  <si>
    <t>Closet shelving / linen storage</t>
  </si>
  <si>
    <t>DIV 06-MW</t>
  </si>
  <si>
    <t>Stair repair and refinish</t>
  </si>
  <si>
    <t>DIV 06-ST</t>
  </si>
  <si>
    <t>Vinyl plank flooring on T&amp;G plywood underlayment</t>
  </si>
  <si>
    <t>DIV 09-FV</t>
  </si>
  <si>
    <t>Carpet — bedrooms</t>
  </si>
  <si>
    <t>DIV 09-FC</t>
  </si>
  <si>
    <t>Ceramic tile — bathrooms and kitchen</t>
  </si>
  <si>
    <t>DIV 09-FT</t>
  </si>
  <si>
    <t>Paint — walls, ceilings, trim</t>
  </si>
  <si>
    <t>DIV 09-PT</t>
  </si>
  <si>
    <t>Trim and millwork — base, casing</t>
  </si>
  <si>
    <t>DIV 06-TM</t>
  </si>
  <si>
    <t>Merge 4 Design LLC  ·  M4Di Construction ROM  ·  Project M2-2026-016  ·  Issued 23 July 2026  ·  Page 3 of 4</t>
  </si>
  <si>
    <t>Kitchen — cabinets, countertops, sink</t>
  </si>
  <si>
    <t>DIV 12-KC</t>
  </si>
  <si>
    <t>Range and hood</t>
  </si>
  <si>
    <t>DIV 11-AP</t>
  </si>
  <si>
    <t>Full bath — vanity, toilet, tub, tile</t>
  </si>
  <si>
    <t>DIV 12-BF</t>
  </si>
  <si>
    <t>Powder room — vanity and toilet</t>
  </si>
  <si>
    <t>DIV 12-BP</t>
  </si>
  <si>
    <t>Master bath — vanity, toilet, tub/shower, tile</t>
  </si>
  <si>
    <t>DIV 12-BM</t>
  </si>
  <si>
    <t>Gas hot water heater</t>
  </si>
  <si>
    <t>DIV 22-WH</t>
  </si>
  <si>
    <t>PEX supply piping — full distribution</t>
  </si>
  <si>
    <t>DIV 22-SP</t>
  </si>
  <si>
    <t>PVC drain, waste and vent system</t>
  </si>
  <si>
    <t>DIV 22-DV</t>
  </si>
  <si>
    <t>Fixture rough-in</t>
  </si>
  <si>
    <t>DIV 22-RI</t>
  </si>
  <si>
    <t>Sump pump — replace and reconnect</t>
  </si>
  <si>
    <t>DIV 22-SU</t>
  </si>
  <si>
    <t>Gas furnace — forced air</t>
  </si>
  <si>
    <t>DIV 23-FA</t>
  </si>
  <si>
    <t>Condenser and evaporator coil</t>
  </si>
  <si>
    <t>DIV 23-AC</t>
  </si>
  <si>
    <t>Ductwork — supply and return, all floors</t>
  </si>
  <si>
    <t>DIV 23-DW</t>
  </si>
  <si>
    <t>Registers, grilles, programmable thermostat</t>
  </si>
  <si>
    <t>DIV 23-TR</t>
  </si>
  <si>
    <t>Bathroom exhaust fans</t>
  </si>
  <si>
    <t>DIV 23-EF</t>
  </si>
  <si>
    <t>200A panel — service upgrade</t>
  </si>
  <si>
    <t>DIV 26-SV</t>
  </si>
  <si>
    <t>Branch wiring — circuits throughout</t>
  </si>
  <si>
    <t>DIV 26-BW</t>
  </si>
  <si>
    <t>Outlets, switches, devices</t>
  </si>
  <si>
    <t>DIV 26-DV</t>
  </si>
  <si>
    <t>Lighting fixtures — allowance</t>
  </si>
  <si>
    <t>DIV 26-LT</t>
  </si>
  <si>
    <t>Smoke and CO detectors per code</t>
  </si>
  <si>
    <t>DIV 26-SD</t>
  </si>
  <si>
    <t>Kitchen appliance circuits</t>
  </si>
  <si>
    <t>DIV 26-AC</t>
  </si>
  <si>
    <t>TOTAL DIRECT CONSTRUCTION COST</t>
  </si>
  <si>
    <t>Exclusions</t>
  </si>
  <si>
    <t>—  Hazardous materials survey, abatement or disposal (lead, asbestos) — structure predates 1978</t>
  </si>
  <si>
    <t>—  Structural engineering design and stamped calculations</t>
  </si>
  <si>
    <t>—  Site work, landscaping, driveway, fencing and utility service laterals</t>
  </si>
  <si>
    <t>—  Appliances beyond range and hood; window treatments; furnishings</t>
  </si>
  <si>
    <t>—  Owner-directed upgrades above stated allowances</t>
  </si>
  <si>
    <t>—  Escalation beyond estimate date; permit expediting; financing and carrying costs</t>
  </si>
  <si>
    <t>Merge 4 Design LLC  ·  M4Di Construction ROM  ·  Project M2-2026-016  ·  Issued 23 July 2026  ·  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</si>
</sst>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\$#,##0&quot; / SF&quot;"/>
    <numFmt numFmtId="166" formatCode="#,##0&quot; SF&quot;"/>
    <numFmt numFmtId="167" formatCode="\$#,##0.00"/>
    <numFmt numFmtId="168" formatCode="0.0%"/>
    <numFmt numFmtId="169" formatCode="#,##0.##"/>
  </numFmts>
  <fonts count="39">
    <font>
      <sz val="11"/>
      <color theme="1"/>
      <name val="Calibri"/>
      <family val="2"/>
      <charset val="1"/>
    </font>
    <font>
      <b/>
      <sz val="21"/>
      <color rgb="FF0A2342"/>
      <name val="Syne"/>
      <charset val="1"/>
    </font>
    <font>
      <sz val="10"/>
      <color rgb="FF2C2C30"/>
      <name val="DM Sans"/>
      <charset val="1"/>
    </font>
    <font>
      <b/>
      <sz val="7"/>
      <color rgb="FF6B6B72"/>
      <name val="DM Mono"/>
      <charset val="1"/>
    </font>
    <font>
      <b/>
      <sz val="7.5"/>
      <color rgb="FFC89C2A"/>
      <name val="DM Mono"/>
      <charset val="1"/>
    </font>
    <font>
      <b/>
      <sz val="32"/>
      <color rgb="FFFFFFFF"/>
      <name val="Syne"/>
      <charset val="1"/>
    </font>
    <font>
      <b/>
      <sz val="14"/>
      <color rgb="FFC89C2A"/>
      <name val="Syne"/>
      <charset val="1"/>
    </font>
    <font>
      <sz val="7"/>
      <color rgb="FFC89C2A"/>
      <name val="DM Mono"/>
      <charset val="1"/>
    </font>
    <font>
      <b/>
      <sz val="9"/>
      <color rgb="FFFFFFFF"/>
      <name val="Syne"/>
      <charset val="1"/>
    </font>
    <font>
      <b/>
      <sz val="6.5"/>
      <color rgb="FF6B6B72"/>
      <name val="DM Mono"/>
      <charset val="1"/>
    </font>
    <font>
      <sz val="8"/>
      <color rgb="FF0F0F10"/>
      <name val="DM Sans"/>
      <charset val="1"/>
    </font>
    <font>
      <b/>
      <sz val="7.5"/>
      <color rgb="FFFFFFFF"/>
      <name val="Syne"/>
      <charset val="1"/>
    </font>
    <font>
      <b/>
      <sz val="7.5"/>
      <color rgb="FF2C2C30"/>
      <name val="Syne"/>
      <charset val="1"/>
    </font>
    <font>
      <b/>
      <sz val="6.5"/>
      <color rgb="FFD8EDD0"/>
      <name val="DM Mono"/>
      <charset val="1"/>
    </font>
    <font>
      <sz val="7.5"/>
      <color rgb="FF2C2C30"/>
      <name val="DM Sans"/>
      <charset val="1"/>
    </font>
    <font>
      <sz val="6.5"/>
      <color rgb="FF6B6B72"/>
      <name val="DM Mono"/>
      <charset val="1"/>
    </font>
    <font>
      <sz val="9"/>
      <color rgb="FF0F0F10"/>
      <name val="DM Sans"/>
      <charset val="1"/>
    </font>
    <font>
      <sz val="7"/>
      <color rgb="FF6B6B72"/>
      <name val="DM Mono"/>
      <charset val="1"/>
    </font>
    <font>
      <sz val="10"/>
      <color rgb="FF0F0F10"/>
      <name val="Syne"/>
      <charset val="1"/>
    </font>
    <font>
      <b/>
      <sz val="9"/>
      <color rgb="FF0F0F10"/>
      <name val="DM Sans"/>
      <charset val="1"/>
    </font>
    <font>
      <b/>
      <sz val="10"/>
      <color rgb="FF0F0F10"/>
      <name val="Syne"/>
      <charset val="1"/>
    </font>
    <font>
      <b/>
      <sz val="11"/>
      <color rgb="FFFFFFFF"/>
      <name val="Syne"/>
      <charset val="1"/>
    </font>
    <font>
      <b/>
      <sz val="13"/>
      <color rgb="FFC89C2A"/>
      <name val="Syne"/>
      <charset val="1"/>
    </font>
    <font>
      <b/>
      <sz val="15"/>
      <color rgb="FF0A2342"/>
      <name val="Syne"/>
      <charset val="1"/>
    </font>
    <font>
      <b/>
      <sz val="7.5"/>
      <color rgb="FFFFFFFF"/>
      <name val="DM Mono"/>
      <charset val="1"/>
    </font>
    <font>
      <sz val="8"/>
      <color rgb="FF2C2C30"/>
      <name val="DM Sans"/>
      <charset val="1"/>
    </font>
    <font>
      <b/>
      <sz val="8"/>
      <color rgb="FF0F0F10"/>
      <name val="DM Sans"/>
      <charset val="1"/>
    </font>
    <font>
      <sz val="8"/>
      <color rgb="FF0F4B18"/>
      <name val="DM Sans"/>
      <charset val="1"/>
    </font>
    <font>
      <b/>
      <sz val="8.5"/>
      <color rgb="FFFFFFFF"/>
      <name val="DM Sans"/>
      <charset val="1"/>
    </font>
    <font>
      <b/>
      <sz val="9.5"/>
      <color rgb="FFC89C2A"/>
      <name val="Syne"/>
      <charset val="1"/>
    </font>
    <font>
      <b/>
      <sz val="8"/>
      <color rgb="FFC89C2A"/>
      <name val="DM Sans"/>
      <charset val="1"/>
    </font>
    <font>
      <b/>
      <sz val="6.5"/>
      <color rgb="FF0F4B18"/>
      <name val="DM Mono"/>
      <charset val="1"/>
    </font>
    <font>
      <b/>
      <sz val="8"/>
      <color rgb="FF0F4B18"/>
      <name val="Syne"/>
      <charset val="1"/>
    </font>
    <font>
      <sz val="8"/>
      <color rgb="FF1A3D6B"/>
      <name val="DM Sans"/>
      <charset val="1"/>
    </font>
    <font>
      <sz val="7.5"/>
      <color rgb="FF6B6B72"/>
      <name val="DM Sans"/>
      <charset val="1"/>
    </font>
    <font>
      <b/>
      <sz val="8"/>
      <color rgb="FF0F4B18"/>
      <name val="DM Sans"/>
      <charset val="1"/>
    </font>
    <font>
      <b/>
      <sz val="10"/>
      <color rgb="FFFFFFFF"/>
      <name val="Syne"/>
      <charset val="1"/>
    </font>
    <font>
      <b/>
      <sz val="10"/>
      <color rgb="FFC89C2A"/>
      <name val="Syne"/>
      <charset val="1"/>
    </font>
    <font>
      <b/>
      <sz val="9"/>
      <color rgb="FF3A2C05"/>
      <name val="Syne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7F6F2"/>
      </patternFill>
    </fill>
    <fill>
      <patternFill patternType="solid">
        <fgColor rgb="FF0A2342"/>
        <bgColor rgb="FF2C2C30"/>
      </patternFill>
    </fill>
    <fill>
      <patternFill patternType="solid">
        <fgColor rgb="FFF7F6F2"/>
        <bgColor rgb="FFEDF4E1"/>
      </patternFill>
    </fill>
    <fill>
      <patternFill patternType="solid">
        <fgColor rgb="FF196B23"/>
        <bgColor rgb="FF0F4B18"/>
      </patternFill>
    </fill>
    <fill>
      <patternFill patternType="solid">
        <fgColor rgb="FF0F4B18"/>
        <bgColor rgb="FF196B23"/>
      </patternFill>
    </fill>
    <fill>
      <patternFill patternType="solid">
        <fgColor rgb="FF1A3D6B"/>
        <bgColor rgb="FF333399"/>
      </patternFill>
    </fill>
    <fill>
      <patternFill patternType="solid">
        <fgColor rgb="FFEDF4E1"/>
        <bgColor rgb="FFF7F6F2"/>
      </patternFill>
    </fill>
    <fill>
      <patternFill patternType="solid">
        <fgColor rgb="FFD8EDD0"/>
        <bgColor rgb="FFEDF4E1"/>
      </patternFill>
    </fill>
    <fill>
      <patternFill patternType="solid">
        <fgColor rgb="FFC89C2A"/>
        <bgColor rgb="FF969696"/>
      </patternFill>
    </fill>
  </fills>
  <borders count="4">
    <border>
      <left/>
      <right/>
      <top/>
      <bottom/>
      <diagonal/>
    </border>
    <border>
      <left style="thin">
        <color rgb="FFDDDBD3"/>
      </left>
      <right style="thin">
        <color rgb="FFDDDBD3"/>
      </right>
      <top style="thin">
        <color rgb="FFDDDBD3"/>
      </top>
      <bottom style="thin">
        <color rgb="FFDDDBD3"/>
      </bottom>
      <diagonal/>
    </border>
    <border>
      <left/>
      <right/>
      <top/>
      <bottom style="thin">
        <color rgb="FFDDDBD3"/>
      </bottom>
      <diagonal/>
    </border>
    <border>
      <left style="medium">
        <color rgb="FF0A2342"/>
      </left>
      <right style="medium">
        <color rgb="FF0A2342"/>
      </right>
      <top style="medium">
        <color rgb="FF0A2342"/>
      </top>
      <bottom style="medium">
        <color rgb="FF0A2342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165" fontId="6" fillId="3" borderId="0" xfId="0" applyNumberFormat="1" applyFont="1" applyFill="1" applyAlignment="1">
      <alignment horizontal="right" vertical="center" indent="1"/>
    </xf>
    <xf numFmtId="164" fontId="5" fillId="3" borderId="0" xfId="0" applyNumberFormat="1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24" fillId="7" borderId="1" xfId="0" applyFont="1" applyFill="1" applyBorder="1" applyAlignment="1">
      <alignment horizontal="left" vertical="center" indent="1"/>
    </xf>
    <xf numFmtId="0" fontId="24" fillId="7" borderId="1" xfId="0" applyFont="1" applyFill="1" applyBorder="1" applyAlignment="1">
      <alignment horizontal="right" vertical="center"/>
    </xf>
    <xf numFmtId="0" fontId="24" fillId="7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left" vertical="center" indent="1"/>
    </xf>
    <xf numFmtId="0" fontId="0" fillId="8" borderId="1" xfId="0" applyFill="1" applyBorder="1"/>
    <xf numFmtId="0" fontId="25" fillId="0" borderId="1" xfId="0" applyFont="1" applyBorder="1" applyAlignment="1">
      <alignment horizontal="left" vertical="center" indent="2"/>
    </xf>
    <xf numFmtId="0" fontId="17" fillId="0" borderId="1" xfId="0" applyFont="1" applyBorder="1" applyAlignment="1">
      <alignment horizontal="center" vertical="center"/>
    </xf>
    <xf numFmtId="169" fontId="33" fillId="0" borderId="1" xfId="0" applyNumberFormat="1" applyFont="1" applyBorder="1" applyAlignment="1">
      <alignment horizontal="center" vertical="center"/>
    </xf>
    <xf numFmtId="167" fontId="33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8" fontId="34" fillId="0" borderId="1" xfId="0" applyNumberFormat="1" applyFont="1" applyBorder="1" applyAlignment="1">
      <alignment horizontal="right" vertical="center"/>
    </xf>
    <xf numFmtId="0" fontId="35" fillId="9" borderId="1" xfId="0" applyFont="1" applyFill="1" applyBorder="1" applyAlignment="1">
      <alignment horizontal="left" vertical="center" indent="2"/>
    </xf>
    <xf numFmtId="0" fontId="0" fillId="9" borderId="1" xfId="0" applyFill="1" applyBorder="1"/>
    <xf numFmtId="164" fontId="35" fillId="9" borderId="1" xfId="0" applyNumberFormat="1" applyFont="1" applyFill="1" applyBorder="1" applyAlignment="1">
      <alignment horizontal="right" vertical="center"/>
    </xf>
    <xf numFmtId="164" fontId="37" fillId="3" borderId="3" xfId="0" applyNumberFormat="1" applyFont="1" applyFill="1" applyBorder="1" applyAlignment="1">
      <alignment horizontal="right" vertical="center"/>
    </xf>
    <xf numFmtId="0" fontId="0" fillId="3" borderId="3" xfId="0" applyFill="1" applyBorder="1"/>
    <xf numFmtId="0" fontId="14" fillId="0" borderId="2" xfId="0" applyFont="1" applyBorder="1" applyAlignment="1">
      <alignment horizontal="left" vertical="top" wrapText="1" indent="1"/>
    </xf>
    <xf numFmtId="0" fontId="15" fillId="0" borderId="0" xfId="0" applyFont="1" applyAlignment="1">
      <alignment horizontal="left" vertical="center" indent="1"/>
    </xf>
    <xf numFmtId="0" fontId="16" fillId="2" borderId="1" xfId="0" applyFont="1" applyFill="1" applyBorder="1" applyAlignment="1">
      <alignment horizontal="left" vertical="center" indent="1"/>
    </xf>
    <xf numFmtId="0" fontId="17" fillId="2" borderId="1" xfId="0" applyFont="1" applyFill="1" applyBorder="1" applyAlignment="1">
      <alignment horizontal="left" vertical="center"/>
    </xf>
    <xf numFmtId="164" fontId="18" fillId="2" borderId="1" xfId="0" applyNumberFormat="1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left" vertical="center" indent="1"/>
    </xf>
    <xf numFmtId="0" fontId="17" fillId="4" borderId="1" xfId="0" applyFont="1" applyFill="1" applyBorder="1" applyAlignment="1">
      <alignment horizontal="left" vertical="center"/>
    </xf>
    <xf numFmtId="164" fontId="20" fillId="4" borderId="1" xfId="0" applyNumberFormat="1" applyFont="1" applyFill="1" applyBorder="1" applyAlignment="1">
      <alignment horizontal="right" vertical="center"/>
    </xf>
    <xf numFmtId="0" fontId="21" fillId="3" borderId="1" xfId="0" applyFont="1" applyFill="1" applyBorder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/>
    </xf>
    <xf numFmtId="164" fontId="22" fillId="3" borderId="1" xfId="0" applyNumberFormat="1" applyFont="1" applyFill="1" applyBorder="1" applyAlignment="1">
      <alignment horizontal="right" vertical="center"/>
    </xf>
    <xf numFmtId="166" fontId="23" fillId="4" borderId="1" xfId="0" applyNumberFormat="1" applyFont="1" applyFill="1" applyBorder="1" applyAlignment="1">
      <alignment horizontal="left" vertical="center" indent="1"/>
    </xf>
    <xf numFmtId="167" fontId="23" fillId="4" borderId="1" xfId="0" applyNumberFormat="1" applyFont="1" applyFill="1" applyBorder="1" applyAlignment="1">
      <alignment horizontal="left" vertical="center" indent="1"/>
    </xf>
    <xf numFmtId="0" fontId="24" fillId="7" borderId="1" xfId="0" applyFont="1" applyFill="1" applyBorder="1" applyAlignment="1">
      <alignment horizontal="left" vertical="center" indent="1"/>
    </xf>
    <xf numFmtId="0" fontId="24" fillId="7" borderId="1" xfId="0" applyFont="1" applyFill="1" applyBorder="1" applyAlignment="1">
      <alignment horizontal="right" vertical="center"/>
    </xf>
    <xf numFmtId="0" fontId="25" fillId="0" borderId="1" xfId="0" applyFont="1" applyBorder="1" applyAlignment="1">
      <alignment horizontal="left" vertical="center" indent="1"/>
    </xf>
    <xf numFmtId="164" fontId="26" fillId="0" borderId="1" xfId="0" applyNumberFormat="1" applyFont="1" applyBorder="1" applyAlignment="1">
      <alignment horizontal="right" vertical="center"/>
    </xf>
    <xf numFmtId="168" fontId="27" fillId="0" borderId="1" xfId="0" applyNumberFormat="1" applyFont="1" applyBorder="1" applyAlignment="1">
      <alignment horizontal="right" vertical="center"/>
    </xf>
    <xf numFmtId="0" fontId="28" fillId="3" borderId="1" xfId="0" applyFont="1" applyFill="1" applyBorder="1" applyAlignment="1">
      <alignment horizontal="left" vertical="center" indent="1"/>
    </xf>
    <xf numFmtId="164" fontId="29" fillId="3" borderId="1" xfId="0" applyNumberFormat="1" applyFont="1" applyFill="1" applyBorder="1" applyAlignment="1">
      <alignment horizontal="right" vertical="center"/>
    </xf>
    <xf numFmtId="168" fontId="30" fillId="3" borderId="1" xfId="0" applyNumberFormat="1" applyFont="1" applyFill="1" applyBorder="1" applyAlignment="1">
      <alignment horizontal="right" vertical="center"/>
    </xf>
    <xf numFmtId="0" fontId="8" fillId="5" borderId="0" xfId="0" applyFont="1" applyFill="1" applyAlignment="1">
      <alignment horizontal="left" vertical="center" indent="1"/>
    </xf>
    <xf numFmtId="0" fontId="31" fillId="8" borderId="1" xfId="0" applyFont="1" applyFill="1" applyBorder="1" applyAlignment="1">
      <alignment horizontal="left" vertical="top" indent="1"/>
    </xf>
    <xf numFmtId="0" fontId="14" fillId="0" borderId="1" xfId="0" applyFont="1" applyBorder="1" applyAlignment="1">
      <alignment horizontal="left" vertical="top" wrapText="1" indent="1"/>
    </xf>
    <xf numFmtId="0" fontId="36" fillId="3" borderId="3" xfId="0" applyFont="1" applyFill="1" applyBorder="1" applyAlignment="1">
      <alignment horizontal="left" vertical="center" indent="1"/>
    </xf>
    <xf numFmtId="0" fontId="38" fillId="10" borderId="0" xfId="0" applyFont="1" applyFill="1" applyAlignment="1">
      <alignment horizontal="left" vertical="center" indent="1"/>
    </xf>
    <xf numFmtId="0" fontId="3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3"/>
      <rgbColor rgb="FF0A2342"/>
      <rgbColor rgb="FF808000"/>
      <rgbColor rgb="FF800080"/>
      <rgbColor rgb="FF008080"/>
      <rgbColor rgb="FFC0C0C0"/>
      <rgbColor rgb="FF808080"/>
      <rgbColor rgb="FF9999FF"/>
      <rgbColor rgb="FF993366"/>
      <rgbColor rgb="FFEDF4E1"/>
      <rgbColor rgb="FFF7F6F2"/>
      <rgbColor rgb="FF660066"/>
      <rgbColor rgb="FFFF8080"/>
      <rgbColor rgb="FF0066CC"/>
      <rgbColor rgb="FFDDDBD3"/>
      <rgbColor rgb="FF0F0F1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D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C2A"/>
      <rgbColor rgb="FFFF6600"/>
      <rgbColor rgb="FF6B6B72"/>
      <rgbColor rgb="FF969696"/>
      <rgbColor rgb="FF1A3D6B"/>
      <rgbColor rgb="FF339966"/>
      <rgbColor rgb="FF0F4B18"/>
      <rgbColor rgb="FF3A2C05"/>
      <rgbColor rgb="FF993300"/>
      <rgbColor rgb="FF993366"/>
      <rgbColor rgb="FF333399"/>
      <rgbColor rgb="FF2C2C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77040</xdr:colOff>
      <xdr:row>0</xdr:row>
      <xdr:rowOff>603360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857640" cy="603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77040</xdr:colOff>
      <xdr:row>0</xdr:row>
      <xdr:rowOff>603360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857640" cy="603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6480</xdr:colOff>
      <xdr:row>0</xdr:row>
      <xdr:rowOff>603360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6857640" cy="603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2"/>
  <sheetViews>
    <sheetView showGridLines="0" tabSelected="1" zoomScaleNormal="100" workbookViewId="0"/>
  </sheetViews>
  <sheetFormatPr defaultColWidth="8.7109375" defaultRowHeight="15"/>
  <cols>
    <col min="1" max="1" width="1.140625" customWidth="1"/>
    <col min="2" max="21" width="5" customWidth="1"/>
  </cols>
  <sheetData>
    <row r="1" spans="1:21" ht="49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3" spans="1:21" ht="31.5" customHeight="1">
      <c r="B3" s="14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 ht="16.5" customHeight="1"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ht="12.75" customHeight="1">
      <c r="B5" s="12" t="s">
        <v>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7" spans="1:21" ht="15" customHeight="1">
      <c r="B7" s="11" t="s">
        <v>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48" customHeight="1">
      <c r="B8" s="10">
        <f>SUMMARY!P10</f>
        <v>292744.82159999997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>
        <f>SUMMARY!P10/1300</f>
        <v>225.18832430769228</v>
      </c>
      <c r="P8" s="9"/>
      <c r="Q8" s="9"/>
      <c r="R8" s="9"/>
      <c r="S8" s="9"/>
      <c r="T8" s="9"/>
      <c r="U8" s="9"/>
    </row>
    <row r="9" spans="1:21" ht="15" customHeight="1">
      <c r="B9" s="8" t="str">
        <f>"CONSTRUCTION  "&amp;TEXT(SUMMARY!P8,"$#,##0")&amp;"        A/E FEES  "&amp;TEXT(SUMMARY!P9,"$#,##0")&amp;"        GROSS AREA  "&amp;TEXT(1300,"#,##0")&amp;" SF"</f>
        <v>CONSTRUCTION  $276,174        A/E FEES  $16,570        GROSS AREA  1,300 SF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1" spans="1:21" ht="16.5" customHeight="1">
      <c r="B11" s="7" t="s">
        <v>4</v>
      </c>
      <c r="C11" s="7"/>
      <c r="D11" s="7"/>
      <c r="E11" s="7"/>
      <c r="F11" s="7"/>
      <c r="G11" s="7"/>
      <c r="H11" s="7"/>
      <c r="I11" s="7"/>
      <c r="J11" s="7"/>
      <c r="K11" s="7"/>
      <c r="L11" s="7" t="s">
        <v>5</v>
      </c>
      <c r="M11" s="7"/>
      <c r="N11" s="7"/>
      <c r="O11" s="7"/>
      <c r="P11" s="7"/>
      <c r="Q11" s="7"/>
      <c r="R11" s="7"/>
      <c r="S11" s="7"/>
      <c r="T11" s="7"/>
      <c r="U11" s="7"/>
    </row>
    <row r="12" spans="1:21" ht="13.5" customHeight="1">
      <c r="B12" s="6" t="s">
        <v>6</v>
      </c>
      <c r="C12" s="6"/>
      <c r="D12" s="6"/>
      <c r="E12" s="6"/>
      <c r="F12" s="5" t="s">
        <v>7</v>
      </c>
      <c r="G12" s="5"/>
      <c r="H12" s="5"/>
      <c r="I12" s="5"/>
      <c r="J12" s="5"/>
      <c r="K12" s="5"/>
      <c r="L12" s="6" t="s">
        <v>8</v>
      </c>
      <c r="M12" s="6"/>
      <c r="N12" s="6"/>
      <c r="O12" s="6"/>
      <c r="P12" s="5" t="s">
        <v>9</v>
      </c>
      <c r="Q12" s="5"/>
      <c r="R12" s="5"/>
      <c r="S12" s="5"/>
      <c r="T12" s="5"/>
      <c r="U12" s="5"/>
    </row>
    <row r="13" spans="1:21" ht="13.5" customHeight="1">
      <c r="B13" s="6" t="s">
        <v>10</v>
      </c>
      <c r="C13" s="6"/>
      <c r="D13" s="6"/>
      <c r="E13" s="6"/>
      <c r="F13" s="5" t="s">
        <v>11</v>
      </c>
      <c r="G13" s="5"/>
      <c r="H13" s="5"/>
      <c r="I13" s="5"/>
      <c r="J13" s="5"/>
      <c r="K13" s="5"/>
      <c r="L13" s="6" t="s">
        <v>12</v>
      </c>
      <c r="M13" s="6"/>
      <c r="N13" s="6"/>
      <c r="O13" s="6"/>
      <c r="P13" s="5" t="s">
        <v>13</v>
      </c>
      <c r="Q13" s="5"/>
      <c r="R13" s="5"/>
      <c r="S13" s="5"/>
      <c r="T13" s="5"/>
      <c r="U13" s="5"/>
    </row>
    <row r="14" spans="1:21" ht="13.5" customHeight="1">
      <c r="B14" s="6" t="s">
        <v>14</v>
      </c>
      <c r="C14" s="6"/>
      <c r="D14" s="6"/>
      <c r="E14" s="6"/>
      <c r="F14" s="5" t="s">
        <v>15</v>
      </c>
      <c r="G14" s="5"/>
      <c r="H14" s="5"/>
      <c r="I14" s="5"/>
      <c r="J14" s="5"/>
      <c r="K14" s="5"/>
      <c r="L14" s="6"/>
      <c r="M14" s="6"/>
      <c r="N14" s="6"/>
      <c r="O14" s="6"/>
      <c r="P14" s="5" t="s">
        <v>16</v>
      </c>
      <c r="Q14" s="5"/>
      <c r="R14" s="5"/>
      <c r="S14" s="5"/>
      <c r="T14" s="5"/>
      <c r="U14" s="5"/>
    </row>
    <row r="15" spans="1:21" ht="13.5" customHeight="1">
      <c r="B15" s="6" t="s">
        <v>17</v>
      </c>
      <c r="C15" s="6"/>
      <c r="D15" s="6"/>
      <c r="E15" s="6"/>
      <c r="F15" s="5" t="s">
        <v>18</v>
      </c>
      <c r="G15" s="5"/>
      <c r="H15" s="5"/>
      <c r="I15" s="5"/>
      <c r="J15" s="5"/>
      <c r="K15" s="5"/>
      <c r="L15" s="6" t="s">
        <v>19</v>
      </c>
      <c r="M15" s="6"/>
      <c r="N15" s="6"/>
      <c r="O15" s="6"/>
      <c r="P15" s="5" t="s">
        <v>20</v>
      </c>
      <c r="Q15" s="5"/>
      <c r="R15" s="5"/>
      <c r="S15" s="5"/>
      <c r="T15" s="5"/>
      <c r="U15" s="5"/>
    </row>
    <row r="16" spans="1:21" ht="13.5" customHeight="1">
      <c r="B16" s="6" t="s">
        <v>21</v>
      </c>
      <c r="C16" s="6"/>
      <c r="D16" s="6"/>
      <c r="E16" s="6"/>
      <c r="F16" s="5" t="s">
        <v>22</v>
      </c>
      <c r="G16" s="5"/>
      <c r="H16" s="5"/>
      <c r="I16" s="5"/>
      <c r="J16" s="5"/>
      <c r="K16" s="5"/>
      <c r="L16" s="6" t="s">
        <v>23</v>
      </c>
      <c r="M16" s="6"/>
      <c r="N16" s="6"/>
      <c r="O16" s="6"/>
      <c r="P16" s="5" t="s">
        <v>24</v>
      </c>
      <c r="Q16" s="5"/>
      <c r="R16" s="5"/>
      <c r="S16" s="5"/>
      <c r="T16" s="5"/>
      <c r="U16" s="5"/>
    </row>
    <row r="17" spans="2:21" ht="13.5" customHeight="1">
      <c r="B17" s="6" t="s">
        <v>25</v>
      </c>
      <c r="C17" s="6"/>
      <c r="D17" s="6"/>
      <c r="E17" s="6"/>
      <c r="F17" s="5" t="s">
        <v>26</v>
      </c>
      <c r="G17" s="5"/>
      <c r="H17" s="5"/>
      <c r="I17" s="5"/>
      <c r="J17" s="5"/>
      <c r="K17" s="5"/>
      <c r="L17" s="6" t="s">
        <v>27</v>
      </c>
      <c r="M17" s="6"/>
      <c r="N17" s="6"/>
      <c r="O17" s="6"/>
      <c r="P17" s="5" t="s">
        <v>28</v>
      </c>
      <c r="Q17" s="5"/>
      <c r="R17" s="5"/>
      <c r="S17" s="5"/>
      <c r="T17" s="5"/>
      <c r="U17" s="5"/>
    </row>
    <row r="18" spans="2:21" ht="13.5" customHeight="1">
      <c r="B18" s="6" t="s">
        <v>29</v>
      </c>
      <c r="C18" s="6"/>
      <c r="D18" s="6"/>
      <c r="E18" s="6"/>
      <c r="F18" s="5" t="s">
        <v>30</v>
      </c>
      <c r="G18" s="5"/>
      <c r="H18" s="5"/>
      <c r="I18" s="5"/>
      <c r="J18" s="5"/>
      <c r="K18" s="5"/>
      <c r="L18" s="6" t="s">
        <v>31</v>
      </c>
      <c r="M18" s="6"/>
      <c r="N18" s="6"/>
      <c r="O18" s="6"/>
      <c r="P18" s="5" t="s">
        <v>32</v>
      </c>
      <c r="Q18" s="5"/>
      <c r="R18" s="5"/>
      <c r="S18" s="5"/>
      <c r="T18" s="5"/>
      <c r="U18" s="5"/>
    </row>
    <row r="19" spans="2:21" ht="13.5" customHeight="1">
      <c r="B19" s="6" t="s">
        <v>33</v>
      </c>
      <c r="C19" s="6"/>
      <c r="D19" s="6"/>
      <c r="E19" s="6"/>
      <c r="F19" s="5" t="s">
        <v>34</v>
      </c>
      <c r="G19" s="5"/>
      <c r="H19" s="5"/>
      <c r="I19" s="5"/>
      <c r="J19" s="5"/>
      <c r="K19" s="5"/>
      <c r="L19" s="6" t="s">
        <v>35</v>
      </c>
      <c r="M19" s="6"/>
      <c r="N19" s="6"/>
      <c r="O19" s="6"/>
      <c r="P19" s="5" t="s">
        <v>36</v>
      </c>
      <c r="Q19" s="5"/>
      <c r="R19" s="5"/>
      <c r="S19" s="5"/>
      <c r="T19" s="5"/>
      <c r="U19" s="5"/>
    </row>
    <row r="21" spans="2:21" ht="16.5" customHeight="1">
      <c r="B21" s="7" t="s">
        <v>37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2:21" ht="15.75" customHeight="1">
      <c r="B22" s="4" t="s">
        <v>38</v>
      </c>
      <c r="C22" s="4"/>
      <c r="D22" s="4"/>
      <c r="E22" s="4"/>
      <c r="F22" s="3" t="s">
        <v>39</v>
      </c>
      <c r="G22" s="3"/>
      <c r="H22" s="3"/>
      <c r="I22" s="3"/>
      <c r="J22" s="3" t="s">
        <v>40</v>
      </c>
      <c r="K22" s="3"/>
      <c r="L22" s="3"/>
      <c r="M22" s="3"/>
      <c r="N22" s="3" t="s">
        <v>41</v>
      </c>
      <c r="O22" s="3"/>
      <c r="P22" s="3"/>
      <c r="Q22" s="3"/>
      <c r="R22" s="3" t="s">
        <v>42</v>
      </c>
      <c r="S22" s="3"/>
      <c r="T22" s="3"/>
      <c r="U22" s="3"/>
    </row>
    <row r="23" spans="2:21" ht="12.75" customHeight="1">
      <c r="B23" s="2" t="s">
        <v>43</v>
      </c>
      <c r="C23" s="2"/>
      <c r="D23" s="2"/>
      <c r="E23" s="2"/>
      <c r="F23" s="1" t="s">
        <v>44</v>
      </c>
      <c r="G23" s="1"/>
      <c r="H23" s="1"/>
      <c r="I23" s="1"/>
      <c r="J23" s="1" t="s">
        <v>44</v>
      </c>
      <c r="K23" s="1"/>
      <c r="L23" s="1"/>
      <c r="M23" s="1"/>
      <c r="N23" s="1" t="s">
        <v>44</v>
      </c>
      <c r="O23" s="1"/>
      <c r="P23" s="1"/>
      <c r="Q23" s="1"/>
      <c r="R23" s="1" t="s">
        <v>44</v>
      </c>
      <c r="S23" s="1"/>
      <c r="T23" s="1"/>
      <c r="U23" s="1"/>
    </row>
    <row r="25" spans="2:21" ht="16.5" customHeight="1">
      <c r="B25" s="7" t="s">
        <v>45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21" ht="22.5" customHeight="1">
      <c r="B26" s="32" t="s">
        <v>46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 spans="2:21" ht="22.5" customHeight="1">
      <c r="B27" s="32" t="s">
        <v>47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spans="2:21" ht="22.5" customHeight="1">
      <c r="B28" s="32" t="s">
        <v>48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spans="2:21" ht="22.5" customHeight="1">
      <c r="B29" s="32" t="s">
        <v>49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2:21" ht="22.5" customHeight="1">
      <c r="B30" s="32" t="s">
        <v>50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2" spans="2:21" ht="13.5" customHeight="1">
      <c r="B32" s="33" t="s">
        <v>51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</row>
  </sheetData>
  <mergeCells count="59">
    <mergeCell ref="B30:U30"/>
    <mergeCell ref="B32:U32"/>
    <mergeCell ref="B25:U25"/>
    <mergeCell ref="B26:U26"/>
    <mergeCell ref="B27:U27"/>
    <mergeCell ref="B28:U28"/>
    <mergeCell ref="B29:U29"/>
    <mergeCell ref="B23:E23"/>
    <mergeCell ref="F23:I23"/>
    <mergeCell ref="J23:M23"/>
    <mergeCell ref="N23:Q23"/>
    <mergeCell ref="R23:U23"/>
    <mergeCell ref="B22:E22"/>
    <mergeCell ref="F22:I22"/>
    <mergeCell ref="J22:M22"/>
    <mergeCell ref="N22:Q22"/>
    <mergeCell ref="R22:U22"/>
    <mergeCell ref="B19:E19"/>
    <mergeCell ref="F19:K19"/>
    <mergeCell ref="L19:O19"/>
    <mergeCell ref="P19:U19"/>
    <mergeCell ref="B21:U21"/>
    <mergeCell ref="B17:E17"/>
    <mergeCell ref="F17:K17"/>
    <mergeCell ref="L17:O17"/>
    <mergeCell ref="P17:U17"/>
    <mergeCell ref="B18:E18"/>
    <mergeCell ref="F18:K18"/>
    <mergeCell ref="L18:O18"/>
    <mergeCell ref="P18:U18"/>
    <mergeCell ref="B15:E15"/>
    <mergeCell ref="F15:K15"/>
    <mergeCell ref="L15:O15"/>
    <mergeCell ref="P15:U15"/>
    <mergeCell ref="B16:E16"/>
    <mergeCell ref="F16:K16"/>
    <mergeCell ref="L16:O16"/>
    <mergeCell ref="P16:U16"/>
    <mergeCell ref="B13:E13"/>
    <mergeCell ref="F13:K13"/>
    <mergeCell ref="L13:O13"/>
    <mergeCell ref="P13:U13"/>
    <mergeCell ref="B14:E14"/>
    <mergeCell ref="F14:K14"/>
    <mergeCell ref="L14:O14"/>
    <mergeCell ref="P14:U14"/>
    <mergeCell ref="B9:U9"/>
    <mergeCell ref="B11:K11"/>
    <mergeCell ref="L11:U11"/>
    <mergeCell ref="B12:E12"/>
    <mergeCell ref="F12:K12"/>
    <mergeCell ref="L12:O12"/>
    <mergeCell ref="P12:U12"/>
    <mergeCell ref="B3:U3"/>
    <mergeCell ref="B4:U4"/>
    <mergeCell ref="B5:U5"/>
    <mergeCell ref="B7:U7"/>
    <mergeCell ref="B8:N8"/>
    <mergeCell ref="O8:U8"/>
  </mergeCells>
  <pageMargins left="0.4" right="0.4" top="0.4" bottom="0.4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7"/>
  <sheetViews>
    <sheetView showGridLines="0" zoomScaleNormal="100" workbookViewId="0"/>
  </sheetViews>
  <sheetFormatPr defaultColWidth="8.7109375" defaultRowHeight="15"/>
  <cols>
    <col min="1" max="1" width="1.140625" customWidth="1"/>
    <col min="2" max="21" width="5" customWidth="1"/>
  </cols>
  <sheetData>
    <row r="1" spans="1:21" ht="49.5" customHeight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3" spans="1:21" ht="16.5" customHeight="1">
      <c r="B3" s="7" t="s">
        <v>52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4.5" customHeight="1"/>
    <row r="5" spans="1:21" ht="15" customHeight="1">
      <c r="B5" s="34" t="s">
        <v>53</v>
      </c>
      <c r="C5" s="34"/>
      <c r="D5" s="34"/>
      <c r="E5" s="34"/>
      <c r="F5" s="34"/>
      <c r="G5" s="34"/>
      <c r="H5" s="34"/>
      <c r="I5" s="34"/>
      <c r="J5" s="34"/>
      <c r="K5" s="35" t="s">
        <v>54</v>
      </c>
      <c r="L5" s="35"/>
      <c r="M5" s="35"/>
      <c r="N5" s="35"/>
      <c r="O5" s="35"/>
      <c r="P5" s="36">
        <f>DETAIL!G79</f>
        <v>232470</v>
      </c>
      <c r="Q5" s="36"/>
      <c r="R5" s="36"/>
      <c r="S5" s="36"/>
      <c r="T5" s="36"/>
      <c r="U5" s="36"/>
    </row>
    <row r="6" spans="1:21" ht="15" customHeight="1">
      <c r="B6" s="34" t="s">
        <v>55</v>
      </c>
      <c r="C6" s="34"/>
      <c r="D6" s="34"/>
      <c r="E6" s="34"/>
      <c r="F6" s="34"/>
      <c r="G6" s="34"/>
      <c r="H6" s="34"/>
      <c r="I6" s="34"/>
      <c r="J6" s="34"/>
      <c r="K6" s="35" t="s">
        <v>56</v>
      </c>
      <c r="L6" s="35"/>
      <c r="M6" s="35"/>
      <c r="N6" s="35"/>
      <c r="O6" s="35"/>
      <c r="P6" s="36">
        <f>DETAIL!G79*0.08</f>
        <v>18597.600000000002</v>
      </c>
      <c r="Q6" s="36"/>
      <c r="R6" s="36"/>
      <c r="S6" s="36"/>
      <c r="T6" s="36"/>
      <c r="U6" s="36"/>
    </row>
    <row r="7" spans="1:21" ht="15" customHeight="1">
      <c r="B7" s="34" t="s">
        <v>57</v>
      </c>
      <c r="C7" s="34"/>
      <c r="D7" s="34"/>
      <c r="E7" s="34"/>
      <c r="F7" s="34"/>
      <c r="G7" s="34"/>
      <c r="H7" s="34"/>
      <c r="I7" s="34"/>
      <c r="J7" s="34"/>
      <c r="K7" s="35" t="s">
        <v>58</v>
      </c>
      <c r="L7" s="35"/>
      <c r="M7" s="35"/>
      <c r="N7" s="35"/>
      <c r="O7" s="35"/>
      <c r="P7" s="36">
        <f>(DETAIL!G79+P6)*0.1</f>
        <v>25106.760000000002</v>
      </c>
      <c r="Q7" s="36"/>
      <c r="R7" s="36"/>
      <c r="S7" s="36"/>
      <c r="T7" s="36"/>
      <c r="U7" s="36"/>
    </row>
    <row r="8" spans="1:21" ht="16.5" customHeight="1">
      <c r="B8" s="37" t="s">
        <v>59</v>
      </c>
      <c r="C8" s="37"/>
      <c r="D8" s="37"/>
      <c r="E8" s="37"/>
      <c r="F8" s="37"/>
      <c r="G8" s="37"/>
      <c r="H8" s="37"/>
      <c r="I8" s="37"/>
      <c r="J8" s="37"/>
      <c r="K8" s="38" t="s">
        <v>60</v>
      </c>
      <c r="L8" s="38"/>
      <c r="M8" s="38"/>
      <c r="N8" s="38"/>
      <c r="O8" s="38"/>
      <c r="P8" s="39">
        <f>DETAIL!G79+P6+P7</f>
        <v>276174.36</v>
      </c>
      <c r="Q8" s="39"/>
      <c r="R8" s="39"/>
      <c r="S8" s="39"/>
      <c r="T8" s="39"/>
      <c r="U8" s="39"/>
    </row>
    <row r="9" spans="1:21" ht="15" customHeight="1">
      <c r="B9" s="34" t="s">
        <v>61</v>
      </c>
      <c r="C9" s="34"/>
      <c r="D9" s="34"/>
      <c r="E9" s="34"/>
      <c r="F9" s="34"/>
      <c r="G9" s="34"/>
      <c r="H9" s="34"/>
      <c r="I9" s="34"/>
      <c r="J9" s="34"/>
      <c r="K9" s="35" t="s">
        <v>62</v>
      </c>
      <c r="L9" s="35"/>
      <c r="M9" s="35"/>
      <c r="N9" s="35"/>
      <c r="O9" s="35"/>
      <c r="P9" s="36">
        <f>P8*0.06</f>
        <v>16570.461599999999</v>
      </c>
      <c r="Q9" s="36"/>
      <c r="R9" s="36"/>
      <c r="S9" s="36"/>
      <c r="T9" s="36"/>
      <c r="U9" s="36"/>
    </row>
    <row r="10" spans="1:21" ht="22.5" customHeight="1">
      <c r="B10" s="40" t="s">
        <v>63</v>
      </c>
      <c r="C10" s="40"/>
      <c r="D10" s="40"/>
      <c r="E10" s="40"/>
      <c r="F10" s="40"/>
      <c r="G10" s="40"/>
      <c r="H10" s="40"/>
      <c r="I10" s="40"/>
      <c r="J10" s="40"/>
      <c r="K10" s="41" t="s">
        <v>64</v>
      </c>
      <c r="L10" s="41"/>
      <c r="M10" s="41"/>
      <c r="N10" s="41"/>
      <c r="O10" s="41"/>
      <c r="P10" s="42">
        <f>P8+P9</f>
        <v>292744.82159999997</v>
      </c>
      <c r="Q10" s="42"/>
      <c r="R10" s="42"/>
      <c r="S10" s="42"/>
      <c r="T10" s="42"/>
      <c r="U10" s="42"/>
    </row>
    <row r="12" spans="1:21" ht="16.5" customHeight="1">
      <c r="B12" s="7" t="s">
        <v>65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2.75" customHeight="1">
      <c r="B13" s="6" t="s">
        <v>66</v>
      </c>
      <c r="C13" s="6"/>
      <c r="D13" s="6"/>
      <c r="E13" s="6"/>
      <c r="F13" s="6"/>
      <c r="G13" s="6" t="s">
        <v>67</v>
      </c>
      <c r="H13" s="6"/>
      <c r="I13" s="6"/>
      <c r="J13" s="6"/>
      <c r="K13" s="6"/>
      <c r="L13" s="6" t="s">
        <v>68</v>
      </c>
      <c r="M13" s="6"/>
      <c r="N13" s="6"/>
      <c r="O13" s="6"/>
      <c r="P13" s="6"/>
      <c r="Q13" s="6" t="s">
        <v>69</v>
      </c>
      <c r="R13" s="6"/>
      <c r="S13" s="6"/>
      <c r="T13" s="6"/>
      <c r="U13" s="6"/>
    </row>
    <row r="14" spans="1:21" ht="25.5" customHeight="1">
      <c r="B14" s="43">
        <f>1300</f>
        <v>1300</v>
      </c>
      <c r="C14" s="43"/>
      <c r="D14" s="43"/>
      <c r="E14" s="43"/>
      <c r="F14" s="43"/>
      <c r="G14" s="44">
        <f>DETAIL!G79/1300</f>
        <v>178.82307692307691</v>
      </c>
      <c r="H14" s="44"/>
      <c r="I14" s="44"/>
      <c r="J14" s="44"/>
      <c r="K14" s="44"/>
      <c r="L14" s="44">
        <f>P8/1300</f>
        <v>212.44181538461538</v>
      </c>
      <c r="M14" s="44"/>
      <c r="N14" s="44"/>
      <c r="O14" s="44"/>
      <c r="P14" s="44"/>
      <c r="Q14" s="44">
        <f>P10/1300</f>
        <v>225.18832430769228</v>
      </c>
      <c r="R14" s="44"/>
      <c r="S14" s="44"/>
      <c r="T14" s="44"/>
      <c r="U14" s="44"/>
    </row>
    <row r="16" spans="1:21" ht="16.5" customHeight="1">
      <c r="B16" s="7" t="s">
        <v>70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2:21" ht="15.75" customHeight="1">
      <c r="B17" s="45" t="s">
        <v>71</v>
      </c>
      <c r="C17" s="45"/>
      <c r="D17" s="45"/>
      <c r="E17" s="45"/>
      <c r="F17" s="45"/>
      <c r="G17" s="45"/>
      <c r="H17" s="45"/>
      <c r="I17" s="45"/>
      <c r="J17" s="45"/>
      <c r="K17" s="45"/>
      <c r="L17" s="46" t="s">
        <v>72</v>
      </c>
      <c r="M17" s="46"/>
      <c r="N17" s="46"/>
      <c r="O17" s="46"/>
      <c r="P17" s="46"/>
      <c r="Q17" s="46" t="s">
        <v>73</v>
      </c>
      <c r="R17" s="46"/>
      <c r="S17" s="46"/>
      <c r="T17" s="46"/>
      <c r="U17" s="46"/>
    </row>
    <row r="18" spans="2:21" ht="13.5" customHeight="1">
      <c r="B18" s="47" t="s">
        <v>74</v>
      </c>
      <c r="C18" s="47"/>
      <c r="D18" s="47"/>
      <c r="E18" s="47"/>
      <c r="F18" s="47"/>
      <c r="G18" s="47"/>
      <c r="H18" s="47"/>
      <c r="I18" s="47"/>
      <c r="J18" s="47"/>
      <c r="K18" s="47"/>
      <c r="L18" s="48">
        <f>DETAIL!G9</f>
        <v>9200</v>
      </c>
      <c r="M18" s="48"/>
      <c r="N18" s="48"/>
      <c r="O18" s="48"/>
      <c r="P18" s="48"/>
      <c r="Q18" s="49">
        <f>DETAIL!G9/DETAIL!G79</f>
        <v>3.9574998924592424E-2</v>
      </c>
      <c r="R18" s="49"/>
      <c r="S18" s="49"/>
      <c r="T18" s="49"/>
      <c r="U18" s="49"/>
    </row>
    <row r="19" spans="2:21" ht="13.5" customHeight="1">
      <c r="B19" s="47" t="s">
        <v>75</v>
      </c>
      <c r="C19" s="47"/>
      <c r="D19" s="47"/>
      <c r="E19" s="47"/>
      <c r="F19" s="47"/>
      <c r="G19" s="47"/>
      <c r="H19" s="47"/>
      <c r="I19" s="47"/>
      <c r="J19" s="47"/>
      <c r="K19" s="47"/>
      <c r="L19" s="48">
        <f>DETAIL!G17</f>
        <v>20050</v>
      </c>
      <c r="M19" s="48"/>
      <c r="N19" s="48"/>
      <c r="O19" s="48"/>
      <c r="P19" s="48"/>
      <c r="Q19" s="49">
        <f>DETAIL!G17/DETAIL!G79</f>
        <v>8.624768787370414E-2</v>
      </c>
      <c r="R19" s="49"/>
      <c r="S19" s="49"/>
      <c r="T19" s="49"/>
      <c r="U19" s="49"/>
    </row>
    <row r="20" spans="2:21" ht="13.5" customHeight="1">
      <c r="B20" s="47" t="s">
        <v>76</v>
      </c>
      <c r="C20" s="47"/>
      <c r="D20" s="47"/>
      <c r="E20" s="47"/>
      <c r="F20" s="47"/>
      <c r="G20" s="47"/>
      <c r="H20" s="47"/>
      <c r="I20" s="47"/>
      <c r="J20" s="47"/>
      <c r="K20" s="47"/>
      <c r="L20" s="48">
        <f>DETAIL!G23</f>
        <v>14300</v>
      </c>
      <c r="M20" s="48"/>
      <c r="N20" s="48"/>
      <c r="O20" s="48"/>
      <c r="P20" s="48"/>
      <c r="Q20" s="49">
        <f>DETAIL!G23/DETAIL!G79</f>
        <v>6.1513313545833871E-2</v>
      </c>
      <c r="R20" s="49"/>
      <c r="S20" s="49"/>
      <c r="T20" s="49"/>
      <c r="U20" s="49"/>
    </row>
    <row r="21" spans="2:21" ht="13.5" customHeight="1">
      <c r="B21" s="47" t="s">
        <v>77</v>
      </c>
      <c r="C21" s="47"/>
      <c r="D21" s="47"/>
      <c r="E21" s="47"/>
      <c r="F21" s="47"/>
      <c r="G21" s="47"/>
      <c r="H21" s="47"/>
      <c r="I21" s="47"/>
      <c r="J21" s="47"/>
      <c r="K21" s="47"/>
      <c r="L21" s="48">
        <f>DETAIL!G34</f>
        <v>42450</v>
      </c>
      <c r="M21" s="48"/>
      <c r="N21" s="48"/>
      <c r="O21" s="48"/>
      <c r="P21" s="48"/>
      <c r="Q21" s="49">
        <f>DETAIL!G34/DETAIL!G79</f>
        <v>0.1826042069944509</v>
      </c>
      <c r="R21" s="49"/>
      <c r="S21" s="49"/>
      <c r="T21" s="49"/>
      <c r="U21" s="49"/>
    </row>
    <row r="22" spans="2:21" ht="13.5" customHeight="1">
      <c r="B22" s="47" t="s">
        <v>78</v>
      </c>
      <c r="C22" s="47"/>
      <c r="D22" s="47"/>
      <c r="E22" s="47"/>
      <c r="F22" s="47"/>
      <c r="G22" s="47"/>
      <c r="H22" s="47"/>
      <c r="I22" s="47"/>
      <c r="J22" s="47"/>
      <c r="K22" s="47"/>
      <c r="L22" s="48">
        <f>DETAIL!G40</f>
        <v>19520</v>
      </c>
      <c r="M22" s="48"/>
      <c r="N22" s="48"/>
      <c r="O22" s="48"/>
      <c r="P22" s="48"/>
      <c r="Q22" s="49">
        <f>DETAIL!G40/DETAIL!G79</f>
        <v>8.3967823805222178E-2</v>
      </c>
      <c r="R22" s="49"/>
      <c r="S22" s="49"/>
      <c r="T22" s="49"/>
      <c r="U22" s="49"/>
    </row>
    <row r="23" spans="2:21" ht="13.5" customHeight="1">
      <c r="B23" s="47" t="s">
        <v>79</v>
      </c>
      <c r="C23" s="47"/>
      <c r="D23" s="47"/>
      <c r="E23" s="47"/>
      <c r="F23" s="47"/>
      <c r="G23" s="47"/>
      <c r="H23" s="47"/>
      <c r="I23" s="47"/>
      <c r="J23" s="47"/>
      <c r="K23" s="47"/>
      <c r="L23" s="48">
        <f>DETAIL!G47</f>
        <v>21300</v>
      </c>
      <c r="M23" s="48"/>
      <c r="N23" s="48"/>
      <c r="O23" s="48"/>
      <c r="P23" s="48"/>
      <c r="Q23" s="49">
        <f>DETAIL!G47/DETAIL!G79</f>
        <v>9.1624725771067228E-2</v>
      </c>
      <c r="R23" s="49"/>
      <c r="S23" s="49"/>
      <c r="T23" s="49"/>
      <c r="U23" s="49"/>
    </row>
    <row r="24" spans="2:21" ht="13.5" customHeight="1">
      <c r="B24" s="47" t="s">
        <v>80</v>
      </c>
      <c r="C24" s="47"/>
      <c r="D24" s="47"/>
      <c r="E24" s="47"/>
      <c r="F24" s="47"/>
      <c r="G24" s="47"/>
      <c r="H24" s="47"/>
      <c r="I24" s="47"/>
      <c r="J24" s="47"/>
      <c r="K24" s="47"/>
      <c r="L24" s="48">
        <f>DETAIL!G56</f>
        <v>35600</v>
      </c>
      <c r="M24" s="48"/>
      <c r="N24" s="48"/>
      <c r="O24" s="48"/>
      <c r="P24" s="48"/>
      <c r="Q24" s="49">
        <f>DETAIL!G56/DETAIL!G79</f>
        <v>0.15313803931690109</v>
      </c>
      <c r="R24" s="49"/>
      <c r="S24" s="49"/>
      <c r="T24" s="49"/>
      <c r="U24" s="49"/>
    </row>
    <row r="25" spans="2:21" ht="13.5" customHeight="1">
      <c r="B25" s="47" t="s">
        <v>81</v>
      </c>
      <c r="C25" s="47"/>
      <c r="D25" s="47"/>
      <c r="E25" s="47"/>
      <c r="F25" s="47"/>
      <c r="G25" s="47"/>
      <c r="H25" s="47"/>
      <c r="I25" s="47"/>
      <c r="J25" s="47"/>
      <c r="K25" s="47"/>
      <c r="L25" s="48">
        <f>DETAIL!G63</f>
        <v>21200</v>
      </c>
      <c r="M25" s="48"/>
      <c r="N25" s="48"/>
      <c r="O25" s="48"/>
      <c r="P25" s="48"/>
      <c r="Q25" s="49">
        <f>DETAIL!G63/DETAIL!G79</f>
        <v>9.1194562739278187E-2</v>
      </c>
      <c r="R25" s="49"/>
      <c r="S25" s="49"/>
      <c r="T25" s="49"/>
      <c r="U25" s="49"/>
    </row>
    <row r="26" spans="2:21" ht="13.5" customHeight="1">
      <c r="B26" s="47" t="s">
        <v>82</v>
      </c>
      <c r="C26" s="47"/>
      <c r="D26" s="47"/>
      <c r="E26" s="47"/>
      <c r="F26" s="47"/>
      <c r="G26" s="47"/>
      <c r="H26" s="47"/>
      <c r="I26" s="47"/>
      <c r="J26" s="47"/>
      <c r="K26" s="47"/>
      <c r="L26" s="48">
        <f>DETAIL!G70</f>
        <v>22650</v>
      </c>
      <c r="M26" s="48"/>
      <c r="N26" s="48"/>
      <c r="O26" s="48"/>
      <c r="P26" s="48"/>
      <c r="Q26" s="49">
        <f>DETAIL!G70/DETAIL!G79</f>
        <v>9.7431926700219385E-2</v>
      </c>
      <c r="R26" s="49"/>
      <c r="S26" s="49"/>
      <c r="T26" s="49"/>
      <c r="U26" s="49"/>
    </row>
    <row r="27" spans="2:21" ht="13.5" customHeight="1">
      <c r="B27" s="47" t="s">
        <v>83</v>
      </c>
      <c r="C27" s="47"/>
      <c r="D27" s="47"/>
      <c r="E27" s="47"/>
      <c r="F27" s="47"/>
      <c r="G27" s="47"/>
      <c r="H27" s="47"/>
      <c r="I27" s="47"/>
      <c r="J27" s="47"/>
      <c r="K27" s="47"/>
      <c r="L27" s="48">
        <f>DETAIL!G78</f>
        <v>26200</v>
      </c>
      <c r="M27" s="48"/>
      <c r="N27" s="48"/>
      <c r="O27" s="48"/>
      <c r="P27" s="48"/>
      <c r="Q27" s="49">
        <f>DETAIL!G78/DETAIL!G79</f>
        <v>0.11270271432873059</v>
      </c>
      <c r="R27" s="49"/>
      <c r="S27" s="49"/>
      <c r="T27" s="49"/>
      <c r="U27" s="49"/>
    </row>
    <row r="28" spans="2:21" ht="16.5" customHeight="1">
      <c r="B28" s="50" t="s">
        <v>53</v>
      </c>
      <c r="C28" s="50"/>
      <c r="D28" s="50"/>
      <c r="E28" s="50"/>
      <c r="F28" s="50"/>
      <c r="G28" s="50"/>
      <c r="H28" s="50"/>
      <c r="I28" s="50"/>
      <c r="J28" s="50"/>
      <c r="K28" s="50"/>
      <c r="L28" s="51">
        <f>DETAIL!G79</f>
        <v>232470</v>
      </c>
      <c r="M28" s="51"/>
      <c r="N28" s="51"/>
      <c r="O28" s="51"/>
      <c r="P28" s="51"/>
      <c r="Q28" s="52">
        <v>1</v>
      </c>
      <c r="R28" s="52"/>
      <c r="S28" s="52"/>
      <c r="T28" s="52"/>
      <c r="U28" s="52"/>
    </row>
    <row r="30" spans="2:21" ht="16.5" customHeight="1">
      <c r="B30" s="53" t="s">
        <v>84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</row>
    <row r="31" spans="2:21" ht="21" customHeight="1">
      <c r="B31" s="54" t="s">
        <v>85</v>
      </c>
      <c r="C31" s="54"/>
      <c r="D31" s="54"/>
      <c r="E31" s="54"/>
      <c r="F31" s="55" t="s">
        <v>86</v>
      </c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</row>
    <row r="32" spans="2:21" ht="21" customHeight="1">
      <c r="B32" s="54" t="s">
        <v>87</v>
      </c>
      <c r="C32" s="54"/>
      <c r="D32" s="54"/>
      <c r="E32" s="54"/>
      <c r="F32" s="55" t="s">
        <v>88</v>
      </c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</row>
    <row r="33" spans="2:21" ht="21" customHeight="1">
      <c r="B33" s="54" t="s">
        <v>89</v>
      </c>
      <c r="C33" s="54"/>
      <c r="D33" s="54"/>
      <c r="E33" s="54"/>
      <c r="F33" s="55" t="s">
        <v>90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</row>
    <row r="34" spans="2:21" ht="21" customHeight="1">
      <c r="B34" s="54" t="s">
        <v>91</v>
      </c>
      <c r="C34" s="54"/>
      <c r="D34" s="54"/>
      <c r="E34" s="54"/>
      <c r="F34" s="55" t="s">
        <v>92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</row>
    <row r="35" spans="2:21" ht="21" customHeight="1">
      <c r="B35" s="54" t="s">
        <v>93</v>
      </c>
      <c r="C35" s="54"/>
      <c r="D35" s="54"/>
      <c r="E35" s="54"/>
      <c r="F35" s="55" t="s">
        <v>94</v>
      </c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</row>
    <row r="36" spans="2:21" ht="6" customHeight="1"/>
    <row r="37" spans="2:21" ht="13.5" customHeight="1">
      <c r="B37" s="33" t="s">
        <v>95</v>
      </c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</row>
  </sheetData>
  <mergeCells count="77">
    <mergeCell ref="B37:U37"/>
    <mergeCell ref="B33:E33"/>
    <mergeCell ref="F33:U33"/>
    <mergeCell ref="B34:E34"/>
    <mergeCell ref="F34:U34"/>
    <mergeCell ref="B35:E35"/>
    <mergeCell ref="F35:U35"/>
    <mergeCell ref="B30:U30"/>
    <mergeCell ref="B31:E31"/>
    <mergeCell ref="F31:U31"/>
    <mergeCell ref="B32:E32"/>
    <mergeCell ref="F32:U32"/>
    <mergeCell ref="B27:K27"/>
    <mergeCell ref="L27:P27"/>
    <mergeCell ref="Q27:U27"/>
    <mergeCell ref="B28:K28"/>
    <mergeCell ref="L28:P28"/>
    <mergeCell ref="Q28:U28"/>
    <mergeCell ref="B25:K25"/>
    <mergeCell ref="L25:P25"/>
    <mergeCell ref="Q25:U25"/>
    <mergeCell ref="B26:K26"/>
    <mergeCell ref="L26:P26"/>
    <mergeCell ref="Q26:U26"/>
    <mergeCell ref="B23:K23"/>
    <mergeCell ref="L23:P23"/>
    <mergeCell ref="Q23:U23"/>
    <mergeCell ref="B24:K24"/>
    <mergeCell ref="L24:P24"/>
    <mergeCell ref="Q24:U24"/>
    <mergeCell ref="B21:K21"/>
    <mergeCell ref="L21:P21"/>
    <mergeCell ref="Q21:U21"/>
    <mergeCell ref="B22:K22"/>
    <mergeCell ref="L22:P22"/>
    <mergeCell ref="Q22:U22"/>
    <mergeCell ref="B19:K19"/>
    <mergeCell ref="L19:P19"/>
    <mergeCell ref="Q19:U19"/>
    <mergeCell ref="B20:K20"/>
    <mergeCell ref="L20:P20"/>
    <mergeCell ref="Q20:U20"/>
    <mergeCell ref="B17:K17"/>
    <mergeCell ref="L17:P17"/>
    <mergeCell ref="Q17:U17"/>
    <mergeCell ref="B18:K18"/>
    <mergeCell ref="L18:P18"/>
    <mergeCell ref="Q18:U18"/>
    <mergeCell ref="B14:F14"/>
    <mergeCell ref="G14:K14"/>
    <mergeCell ref="L14:P14"/>
    <mergeCell ref="Q14:U14"/>
    <mergeCell ref="B16:U16"/>
    <mergeCell ref="B12:U12"/>
    <mergeCell ref="B13:F13"/>
    <mergeCell ref="G13:K13"/>
    <mergeCell ref="L13:P13"/>
    <mergeCell ref="Q13:U13"/>
    <mergeCell ref="B9:J9"/>
    <mergeCell ref="K9:O9"/>
    <mergeCell ref="P9:U9"/>
    <mergeCell ref="B10:J10"/>
    <mergeCell ref="K10:O10"/>
    <mergeCell ref="P10:U10"/>
    <mergeCell ref="B7:J7"/>
    <mergeCell ref="K7:O7"/>
    <mergeCell ref="P7:U7"/>
    <mergeCell ref="B8:J8"/>
    <mergeCell ref="K8:O8"/>
    <mergeCell ref="P8:U8"/>
    <mergeCell ref="B3:U3"/>
    <mergeCell ref="B5:J5"/>
    <mergeCell ref="K5:O5"/>
    <mergeCell ref="P5:U5"/>
    <mergeCell ref="B6:J6"/>
    <mergeCell ref="K6:O6"/>
    <mergeCell ref="P6:U6"/>
  </mergeCells>
  <pageMargins left="0.4" right="0.4" top="0.4" bottom="0.4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89"/>
  <sheetViews>
    <sheetView showGridLines="0" zoomScaleNormal="100" workbookViewId="0"/>
  </sheetViews>
  <sheetFormatPr defaultColWidth="8.7109375" defaultRowHeight="15"/>
  <cols>
    <col min="1" max="1" width="1.140625" customWidth="1"/>
    <col min="2" max="2" width="42" customWidth="1"/>
    <col min="3" max="3" width="10" customWidth="1"/>
    <col min="4" max="4" width="7" customWidth="1"/>
    <col min="5" max="5" width="6" customWidth="1"/>
    <col min="6" max="6" width="11" customWidth="1"/>
    <col min="7" max="7" width="12" customWidth="1"/>
    <col min="8" max="8" width="8" customWidth="1"/>
  </cols>
  <sheetData>
    <row r="1" spans="1:9" ht="49.5" customHeight="1">
      <c r="A1" s="15"/>
      <c r="B1" s="15"/>
      <c r="C1" s="15"/>
      <c r="D1" s="15"/>
      <c r="E1" s="15"/>
      <c r="F1" s="15"/>
      <c r="G1" s="15"/>
      <c r="H1" s="15"/>
      <c r="I1" s="15"/>
    </row>
    <row r="3" spans="1:9" ht="16.5" customHeight="1">
      <c r="B3" s="7" t="s">
        <v>96</v>
      </c>
      <c r="C3" s="7"/>
      <c r="D3" s="7"/>
      <c r="E3" s="7"/>
      <c r="F3" s="7"/>
      <c r="G3" s="7"/>
      <c r="H3" s="7"/>
    </row>
    <row r="4" spans="1:9" ht="19.5" customHeight="1">
      <c r="B4" s="16" t="s">
        <v>97</v>
      </c>
      <c r="C4" s="18" t="s">
        <v>98</v>
      </c>
      <c r="D4" s="18" t="s">
        <v>99</v>
      </c>
      <c r="E4" s="18" t="s">
        <v>100</v>
      </c>
      <c r="F4" s="17" t="s">
        <v>101</v>
      </c>
      <c r="G4" s="17" t="s">
        <v>102</v>
      </c>
      <c r="H4" s="17" t="s">
        <v>103</v>
      </c>
    </row>
    <row r="5" spans="1:9" ht="15" customHeight="1">
      <c r="B5" s="19" t="s">
        <v>74</v>
      </c>
      <c r="C5" s="20"/>
      <c r="D5" s="20"/>
      <c r="E5" s="20"/>
      <c r="F5" s="20"/>
      <c r="G5" s="20"/>
      <c r="H5" s="20"/>
    </row>
    <row r="6" spans="1:9" ht="12" customHeight="1">
      <c r="B6" s="21" t="s">
        <v>104</v>
      </c>
      <c r="C6" s="22" t="s">
        <v>105</v>
      </c>
      <c r="D6" s="23">
        <v>1</v>
      </c>
      <c r="E6" s="22" t="s">
        <v>106</v>
      </c>
      <c r="F6" s="24">
        <v>4500</v>
      </c>
      <c r="G6" s="25">
        <f>D6*F6</f>
        <v>4500</v>
      </c>
      <c r="H6" s="26">
        <f>G6/$G$79</f>
        <v>1.9357336430507164E-2</v>
      </c>
    </row>
    <row r="7" spans="1:9" ht="12" customHeight="1">
      <c r="B7" s="21" t="s">
        <v>107</v>
      </c>
      <c r="C7" s="22" t="s">
        <v>108</v>
      </c>
      <c r="D7" s="23">
        <v>1</v>
      </c>
      <c r="E7" s="22" t="s">
        <v>106</v>
      </c>
      <c r="F7" s="24">
        <v>3500</v>
      </c>
      <c r="G7" s="25">
        <f>D7*F7</f>
        <v>3500</v>
      </c>
      <c r="H7" s="26">
        <f>G7/$G$79</f>
        <v>1.5055706112616682E-2</v>
      </c>
    </row>
    <row r="8" spans="1:9" ht="12" customHeight="1">
      <c r="B8" s="21" t="s">
        <v>109</v>
      </c>
      <c r="C8" s="22" t="s">
        <v>110</v>
      </c>
      <c r="D8" s="23">
        <v>1</v>
      </c>
      <c r="E8" s="22" t="s">
        <v>106</v>
      </c>
      <c r="F8" s="24">
        <v>1200</v>
      </c>
      <c r="G8" s="25">
        <f>D8*F8</f>
        <v>1200</v>
      </c>
      <c r="H8" s="26">
        <f>G8/$G$79</f>
        <v>5.1619563814685769E-3</v>
      </c>
    </row>
    <row r="9" spans="1:9" ht="12.75" customHeight="1">
      <c r="B9" s="27" t="s">
        <v>111</v>
      </c>
      <c r="C9" s="28"/>
      <c r="D9" s="28"/>
      <c r="E9" s="28"/>
      <c r="F9" s="28"/>
      <c r="G9" s="29">
        <f>SUM(G6:G8)</f>
        <v>9200</v>
      </c>
      <c r="H9" s="28"/>
    </row>
    <row r="10" spans="1:9" ht="15" customHeight="1">
      <c r="B10" s="19" t="s">
        <v>75</v>
      </c>
      <c r="C10" s="20"/>
      <c r="D10" s="20"/>
      <c r="E10" s="20"/>
      <c r="F10" s="20"/>
      <c r="G10" s="20"/>
      <c r="H10" s="20"/>
    </row>
    <row r="11" spans="1:9" ht="12" customHeight="1">
      <c r="B11" s="21" t="s">
        <v>112</v>
      </c>
      <c r="C11" s="22" t="s">
        <v>113</v>
      </c>
      <c r="D11" s="23">
        <v>1</v>
      </c>
      <c r="E11" s="22" t="s">
        <v>106</v>
      </c>
      <c r="F11" s="24">
        <v>3500</v>
      </c>
      <c r="G11" s="25">
        <f t="shared" ref="G11:G16" si="0">D11*F11</f>
        <v>3500</v>
      </c>
      <c r="H11" s="26">
        <f t="shared" ref="H11:H16" si="1">G11/$G$79</f>
        <v>1.5055706112616682E-2</v>
      </c>
    </row>
    <row r="12" spans="1:9" ht="12" customHeight="1">
      <c r="B12" s="21" t="s">
        <v>114</v>
      </c>
      <c r="C12" s="22" t="s">
        <v>115</v>
      </c>
      <c r="D12" s="23">
        <v>1</v>
      </c>
      <c r="E12" s="22" t="s">
        <v>106</v>
      </c>
      <c r="F12" s="24">
        <v>4200</v>
      </c>
      <c r="G12" s="25">
        <f t="shared" si="0"/>
        <v>4200</v>
      </c>
      <c r="H12" s="26">
        <f t="shared" si="1"/>
        <v>1.8066847335140017E-2</v>
      </c>
    </row>
    <row r="13" spans="1:9" ht="12" customHeight="1">
      <c r="B13" s="21" t="s">
        <v>116</v>
      </c>
      <c r="C13" s="22" t="s">
        <v>117</v>
      </c>
      <c r="D13" s="23">
        <v>1</v>
      </c>
      <c r="E13" s="22" t="s">
        <v>106</v>
      </c>
      <c r="F13" s="24">
        <v>2800</v>
      </c>
      <c r="G13" s="25">
        <f t="shared" si="0"/>
        <v>2800</v>
      </c>
      <c r="H13" s="26">
        <f t="shared" si="1"/>
        <v>1.2044564890093345E-2</v>
      </c>
    </row>
    <row r="14" spans="1:9" ht="12" customHeight="1">
      <c r="B14" s="21" t="s">
        <v>118</v>
      </c>
      <c r="C14" s="22" t="s">
        <v>119</v>
      </c>
      <c r="D14" s="23">
        <v>1300</v>
      </c>
      <c r="E14" s="22" t="s">
        <v>120</v>
      </c>
      <c r="F14" s="24">
        <v>2.5</v>
      </c>
      <c r="G14" s="25">
        <f t="shared" si="0"/>
        <v>3250</v>
      </c>
      <c r="H14" s="26">
        <f t="shared" si="1"/>
        <v>1.3980298533144062E-2</v>
      </c>
    </row>
    <row r="15" spans="1:9" ht="12" customHeight="1">
      <c r="B15" s="21" t="s">
        <v>121</v>
      </c>
      <c r="C15" s="22" t="s">
        <v>122</v>
      </c>
      <c r="D15" s="23">
        <v>1</v>
      </c>
      <c r="E15" s="22" t="s">
        <v>106</v>
      </c>
      <c r="F15" s="24">
        <v>1800</v>
      </c>
      <c r="G15" s="25">
        <f t="shared" si="0"/>
        <v>1800</v>
      </c>
      <c r="H15" s="26">
        <f t="shared" si="1"/>
        <v>7.7429345722028649E-3</v>
      </c>
    </row>
    <row r="16" spans="1:9" ht="12" customHeight="1">
      <c r="B16" s="21" t="s">
        <v>123</v>
      </c>
      <c r="C16" s="22" t="s">
        <v>124</v>
      </c>
      <c r="D16" s="23">
        <v>1</v>
      </c>
      <c r="E16" s="22" t="s">
        <v>106</v>
      </c>
      <c r="F16" s="24">
        <v>4500</v>
      </c>
      <c r="G16" s="25">
        <f t="shared" si="0"/>
        <v>4500</v>
      </c>
      <c r="H16" s="26">
        <f t="shared" si="1"/>
        <v>1.9357336430507164E-2</v>
      </c>
    </row>
    <row r="17" spans="2:8" ht="12.75" customHeight="1">
      <c r="B17" s="27" t="s">
        <v>111</v>
      </c>
      <c r="C17" s="28"/>
      <c r="D17" s="28"/>
      <c r="E17" s="28"/>
      <c r="F17" s="28"/>
      <c r="G17" s="29">
        <f>SUM(G11:G16)</f>
        <v>20050</v>
      </c>
      <c r="H17" s="28"/>
    </row>
    <row r="18" spans="2:8" ht="15" customHeight="1">
      <c r="B18" s="19" t="s">
        <v>76</v>
      </c>
      <c r="C18" s="20"/>
      <c r="D18" s="20"/>
      <c r="E18" s="20"/>
      <c r="F18" s="20"/>
      <c r="G18" s="20"/>
      <c r="H18" s="20"/>
    </row>
    <row r="19" spans="2:8" ht="12" customHeight="1">
      <c r="B19" s="21" t="s">
        <v>125</v>
      </c>
      <c r="C19" s="22" t="s">
        <v>126</v>
      </c>
      <c r="D19" s="23">
        <v>1</v>
      </c>
      <c r="E19" s="22" t="s">
        <v>106</v>
      </c>
      <c r="F19" s="24">
        <v>2800</v>
      </c>
      <c r="G19" s="25">
        <f>D19*F19</f>
        <v>2800</v>
      </c>
      <c r="H19" s="26">
        <f>G19/$G$79</f>
        <v>1.2044564890093345E-2</v>
      </c>
    </row>
    <row r="20" spans="2:8" ht="12" customHeight="1">
      <c r="B20" s="21" t="s">
        <v>127</v>
      </c>
      <c r="C20" s="22" t="s">
        <v>128</v>
      </c>
      <c r="D20" s="23">
        <v>1</v>
      </c>
      <c r="E20" s="22" t="s">
        <v>106</v>
      </c>
      <c r="F20" s="24">
        <v>1800</v>
      </c>
      <c r="G20" s="25">
        <f>D20*F20</f>
        <v>1800</v>
      </c>
      <c r="H20" s="26">
        <f>G20/$G$79</f>
        <v>7.7429345722028649E-3</v>
      </c>
    </row>
    <row r="21" spans="2:8" ht="12" customHeight="1">
      <c r="B21" s="21" t="s">
        <v>129</v>
      </c>
      <c r="C21" s="22" t="s">
        <v>130</v>
      </c>
      <c r="D21" s="23">
        <v>1</v>
      </c>
      <c r="E21" s="22" t="s">
        <v>106</v>
      </c>
      <c r="F21" s="24">
        <v>6500</v>
      </c>
      <c r="G21" s="25">
        <f>D21*F21</f>
        <v>6500</v>
      </c>
      <c r="H21" s="26">
        <f>G21/$G$79</f>
        <v>2.7960597066288125E-2</v>
      </c>
    </row>
    <row r="22" spans="2:8" ht="12" customHeight="1">
      <c r="B22" s="21" t="s">
        <v>131</v>
      </c>
      <c r="C22" s="22" t="s">
        <v>132</v>
      </c>
      <c r="D22" s="23">
        <v>5</v>
      </c>
      <c r="E22" s="22" t="s">
        <v>133</v>
      </c>
      <c r="F22" s="24">
        <v>640</v>
      </c>
      <c r="G22" s="25">
        <f>D22*F22</f>
        <v>3200</v>
      </c>
      <c r="H22" s="26">
        <f>G22/$G$79</f>
        <v>1.3765217017249538E-2</v>
      </c>
    </row>
    <row r="23" spans="2:8" ht="12.75" customHeight="1">
      <c r="B23" s="27" t="s">
        <v>111</v>
      </c>
      <c r="C23" s="28"/>
      <c r="D23" s="28"/>
      <c r="E23" s="28"/>
      <c r="F23" s="28"/>
      <c r="G23" s="29">
        <f>SUM(G19:G22)</f>
        <v>14300</v>
      </c>
      <c r="H23" s="28"/>
    </row>
    <row r="24" spans="2:8" ht="15" customHeight="1">
      <c r="B24" s="19" t="s">
        <v>77</v>
      </c>
      <c r="C24" s="20"/>
      <c r="D24" s="20"/>
      <c r="E24" s="20"/>
      <c r="F24" s="20"/>
      <c r="G24" s="20"/>
      <c r="H24" s="20"/>
    </row>
    <row r="25" spans="2:8" ht="12" customHeight="1">
      <c r="B25" s="21" t="s">
        <v>134</v>
      </c>
      <c r="C25" s="22" t="s">
        <v>135</v>
      </c>
      <c r="D25" s="23">
        <v>1300</v>
      </c>
      <c r="E25" s="22" t="s">
        <v>120</v>
      </c>
      <c r="F25" s="24">
        <v>7.5</v>
      </c>
      <c r="G25" s="25">
        <f t="shared" ref="G25:G33" si="2">D25*F25</f>
        <v>9750</v>
      </c>
      <c r="H25" s="26">
        <f t="shared" ref="H25:H33" si="3">G25/$G$79</f>
        <v>4.1940895599432183E-2</v>
      </c>
    </row>
    <row r="26" spans="2:8" ht="12" customHeight="1">
      <c r="B26" s="21" t="s">
        <v>136</v>
      </c>
      <c r="C26" s="22" t="s">
        <v>137</v>
      </c>
      <c r="D26" s="23">
        <v>1</v>
      </c>
      <c r="E26" s="22" t="s">
        <v>106</v>
      </c>
      <c r="F26" s="24">
        <v>4800</v>
      </c>
      <c r="G26" s="25">
        <f t="shared" si="2"/>
        <v>4800</v>
      </c>
      <c r="H26" s="26">
        <f t="shared" si="3"/>
        <v>2.0647825525874308E-2</v>
      </c>
    </row>
    <row r="27" spans="2:8" ht="12" customHeight="1">
      <c r="B27" s="21" t="s">
        <v>138</v>
      </c>
      <c r="C27" s="22" t="s">
        <v>139</v>
      </c>
      <c r="D27" s="23">
        <v>1</v>
      </c>
      <c r="E27" s="22" t="s">
        <v>106</v>
      </c>
      <c r="F27" s="24">
        <v>5600</v>
      </c>
      <c r="G27" s="25">
        <f t="shared" si="2"/>
        <v>5600</v>
      </c>
      <c r="H27" s="26">
        <f t="shared" si="3"/>
        <v>2.408912978018669E-2</v>
      </c>
    </row>
    <row r="28" spans="2:8" ht="12" customHeight="1">
      <c r="B28" s="21" t="s">
        <v>140</v>
      </c>
      <c r="C28" s="22" t="s">
        <v>141</v>
      </c>
      <c r="D28" s="23">
        <v>1</v>
      </c>
      <c r="E28" s="22" t="s">
        <v>133</v>
      </c>
      <c r="F28" s="24">
        <v>2800</v>
      </c>
      <c r="G28" s="25">
        <f t="shared" si="2"/>
        <v>2800</v>
      </c>
      <c r="H28" s="26">
        <f t="shared" si="3"/>
        <v>1.2044564890093345E-2</v>
      </c>
    </row>
    <row r="29" spans="2:8" ht="12" customHeight="1">
      <c r="B29" s="21" t="s">
        <v>142</v>
      </c>
      <c r="C29" s="22" t="s">
        <v>143</v>
      </c>
      <c r="D29" s="23">
        <v>1</v>
      </c>
      <c r="E29" s="22" t="s">
        <v>133</v>
      </c>
      <c r="F29" s="24">
        <v>1800</v>
      </c>
      <c r="G29" s="25">
        <f t="shared" si="2"/>
        <v>1800</v>
      </c>
      <c r="H29" s="26">
        <f t="shared" si="3"/>
        <v>7.7429345722028649E-3</v>
      </c>
    </row>
    <row r="30" spans="2:8" ht="12" customHeight="1">
      <c r="B30" s="21" t="s">
        <v>144</v>
      </c>
      <c r="C30" s="22" t="s">
        <v>145</v>
      </c>
      <c r="D30" s="23">
        <v>8</v>
      </c>
      <c r="E30" s="22" t="s">
        <v>133</v>
      </c>
      <c r="F30" s="24">
        <v>950</v>
      </c>
      <c r="G30" s="25">
        <f t="shared" si="2"/>
        <v>7600</v>
      </c>
      <c r="H30" s="26">
        <f t="shared" si="3"/>
        <v>3.2692390415967651E-2</v>
      </c>
    </row>
    <row r="31" spans="2:8" ht="12" customHeight="1">
      <c r="B31" s="21" t="s">
        <v>146</v>
      </c>
      <c r="C31" s="22" t="s">
        <v>147</v>
      </c>
      <c r="D31" s="23">
        <v>3</v>
      </c>
      <c r="E31" s="22" t="s">
        <v>133</v>
      </c>
      <c r="F31" s="24">
        <v>800</v>
      </c>
      <c r="G31" s="25">
        <f t="shared" si="2"/>
        <v>2400</v>
      </c>
      <c r="H31" s="26">
        <f t="shared" si="3"/>
        <v>1.0323912762937154E-2</v>
      </c>
    </row>
    <row r="32" spans="2:8" ht="12" customHeight="1">
      <c r="B32" s="21" t="s">
        <v>148</v>
      </c>
      <c r="C32" s="22" t="s">
        <v>149</v>
      </c>
      <c r="D32" s="23">
        <v>1</v>
      </c>
      <c r="E32" s="22" t="s">
        <v>106</v>
      </c>
      <c r="F32" s="24">
        <v>4500</v>
      </c>
      <c r="G32" s="25">
        <f t="shared" si="2"/>
        <v>4500</v>
      </c>
      <c r="H32" s="26">
        <f t="shared" si="3"/>
        <v>1.9357336430507164E-2</v>
      </c>
    </row>
    <row r="33" spans="2:8" ht="12" customHeight="1">
      <c r="B33" s="21" t="s">
        <v>150</v>
      </c>
      <c r="C33" s="22" t="s">
        <v>151</v>
      </c>
      <c r="D33" s="23">
        <v>1</v>
      </c>
      <c r="E33" s="22" t="s">
        <v>106</v>
      </c>
      <c r="F33" s="24">
        <v>3200</v>
      </c>
      <c r="G33" s="25">
        <f t="shared" si="2"/>
        <v>3200</v>
      </c>
      <c r="H33" s="26">
        <f t="shared" si="3"/>
        <v>1.3765217017249538E-2</v>
      </c>
    </row>
    <row r="34" spans="2:8" ht="12.75" customHeight="1">
      <c r="B34" s="27" t="s">
        <v>111</v>
      </c>
      <c r="C34" s="28"/>
      <c r="D34" s="28"/>
      <c r="E34" s="28"/>
      <c r="F34" s="28"/>
      <c r="G34" s="29">
        <f>SUM(G25:G33)</f>
        <v>42450</v>
      </c>
      <c r="H34" s="28"/>
    </row>
    <row r="35" spans="2:8" ht="15" customHeight="1">
      <c r="B35" s="19" t="s">
        <v>78</v>
      </c>
      <c r="C35" s="20"/>
      <c r="D35" s="20"/>
      <c r="E35" s="20"/>
      <c r="F35" s="20"/>
      <c r="G35" s="20"/>
      <c r="H35" s="20"/>
    </row>
    <row r="36" spans="2:8" ht="12" customHeight="1">
      <c r="B36" s="21" t="s">
        <v>152</v>
      </c>
      <c r="C36" s="22" t="s">
        <v>153</v>
      </c>
      <c r="D36" s="23">
        <v>2600</v>
      </c>
      <c r="E36" s="22" t="s">
        <v>120</v>
      </c>
      <c r="F36" s="24">
        <v>4.2</v>
      </c>
      <c r="G36" s="25">
        <f>D36*F36</f>
        <v>10920</v>
      </c>
      <c r="H36" s="26">
        <f>G36/$G$79</f>
        <v>4.6973803071364048E-2</v>
      </c>
    </row>
    <row r="37" spans="2:8" ht="12" customHeight="1">
      <c r="B37" s="21" t="s">
        <v>154</v>
      </c>
      <c r="C37" s="22" t="s">
        <v>155</v>
      </c>
      <c r="D37" s="23">
        <v>8</v>
      </c>
      <c r="E37" s="22" t="s">
        <v>133</v>
      </c>
      <c r="F37" s="24">
        <v>550</v>
      </c>
      <c r="G37" s="25">
        <f>D37*F37</f>
        <v>4400</v>
      </c>
      <c r="H37" s="26">
        <f>G37/$G$79</f>
        <v>1.8927173398718113E-2</v>
      </c>
    </row>
    <row r="38" spans="2:8" ht="12" customHeight="1">
      <c r="B38" s="21" t="s">
        <v>156</v>
      </c>
      <c r="C38" s="22" t="s">
        <v>157</v>
      </c>
      <c r="D38" s="23">
        <v>1</v>
      </c>
      <c r="E38" s="22" t="s">
        <v>106</v>
      </c>
      <c r="F38" s="24">
        <v>1800</v>
      </c>
      <c r="G38" s="25">
        <f>D38*F38</f>
        <v>1800</v>
      </c>
      <c r="H38" s="26">
        <f>G38/$G$79</f>
        <v>7.7429345722028649E-3</v>
      </c>
    </row>
    <row r="39" spans="2:8" ht="12" customHeight="1">
      <c r="B39" s="21" t="s">
        <v>158</v>
      </c>
      <c r="C39" s="22" t="s">
        <v>159</v>
      </c>
      <c r="D39" s="23">
        <v>1</v>
      </c>
      <c r="E39" s="22" t="s">
        <v>106</v>
      </c>
      <c r="F39" s="24">
        <v>2400</v>
      </c>
      <c r="G39" s="25">
        <f>D39*F39</f>
        <v>2400</v>
      </c>
      <c r="H39" s="26">
        <f>G39/$G$79</f>
        <v>1.0323912762937154E-2</v>
      </c>
    </row>
    <row r="40" spans="2:8" ht="12.75" customHeight="1">
      <c r="B40" s="27" t="s">
        <v>111</v>
      </c>
      <c r="C40" s="28"/>
      <c r="D40" s="28"/>
      <c r="E40" s="28"/>
      <c r="F40" s="28"/>
      <c r="G40" s="29">
        <f>SUM(G36:G39)</f>
        <v>19520</v>
      </c>
      <c r="H40" s="28"/>
    </row>
    <row r="41" spans="2:8" ht="15" customHeight="1">
      <c r="B41" s="19" t="s">
        <v>79</v>
      </c>
      <c r="C41" s="20"/>
      <c r="D41" s="20"/>
      <c r="E41" s="20"/>
      <c r="F41" s="20"/>
      <c r="G41" s="20"/>
      <c r="H41" s="20"/>
    </row>
    <row r="42" spans="2:8" ht="12" customHeight="1">
      <c r="B42" s="21" t="s">
        <v>160</v>
      </c>
      <c r="C42" s="22" t="s">
        <v>161</v>
      </c>
      <c r="D42" s="23">
        <v>800</v>
      </c>
      <c r="E42" s="22" t="s">
        <v>120</v>
      </c>
      <c r="F42" s="24">
        <v>6.5</v>
      </c>
      <c r="G42" s="25">
        <f>D42*F42</f>
        <v>5200</v>
      </c>
      <c r="H42" s="26">
        <f>G42/$G$79</f>
        <v>2.2368477653030499E-2</v>
      </c>
    </row>
    <row r="43" spans="2:8" ht="12" customHeight="1">
      <c r="B43" s="21" t="s">
        <v>162</v>
      </c>
      <c r="C43" s="22" t="s">
        <v>163</v>
      </c>
      <c r="D43" s="23">
        <v>400</v>
      </c>
      <c r="E43" s="22" t="s">
        <v>120</v>
      </c>
      <c r="F43" s="24">
        <v>4</v>
      </c>
      <c r="G43" s="25">
        <f>D43*F43</f>
        <v>1600</v>
      </c>
      <c r="H43" s="26">
        <f>G43/$G$79</f>
        <v>6.8826085086247692E-3</v>
      </c>
    </row>
    <row r="44" spans="2:8" ht="12" customHeight="1">
      <c r="B44" s="21" t="s">
        <v>164</v>
      </c>
      <c r="C44" s="22" t="s">
        <v>165</v>
      </c>
      <c r="D44" s="23">
        <v>220</v>
      </c>
      <c r="E44" s="22" t="s">
        <v>120</v>
      </c>
      <c r="F44" s="24">
        <v>9</v>
      </c>
      <c r="G44" s="25">
        <f>D44*F44</f>
        <v>1980</v>
      </c>
      <c r="H44" s="26">
        <f>G44/$G$79</f>
        <v>8.5172280294231514E-3</v>
      </c>
    </row>
    <row r="45" spans="2:8" ht="12" customHeight="1">
      <c r="B45" s="21" t="s">
        <v>166</v>
      </c>
      <c r="C45" s="22" t="s">
        <v>167</v>
      </c>
      <c r="D45" s="23">
        <v>2600</v>
      </c>
      <c r="E45" s="22" t="s">
        <v>120</v>
      </c>
      <c r="F45" s="24">
        <v>3.2</v>
      </c>
      <c r="G45" s="25">
        <f>D45*F45</f>
        <v>8320</v>
      </c>
      <c r="H45" s="26">
        <f>G45/$G$79</f>
        <v>3.5789564244848797E-2</v>
      </c>
    </row>
    <row r="46" spans="2:8" ht="12" customHeight="1">
      <c r="B46" s="21" t="s">
        <v>168</v>
      </c>
      <c r="C46" s="22" t="s">
        <v>169</v>
      </c>
      <c r="D46" s="23">
        <v>1</v>
      </c>
      <c r="E46" s="22" t="s">
        <v>106</v>
      </c>
      <c r="F46" s="24">
        <v>4200</v>
      </c>
      <c r="G46" s="25">
        <f>D46*F46</f>
        <v>4200</v>
      </c>
      <c r="H46" s="26">
        <f>G46/$G$79</f>
        <v>1.8066847335140017E-2</v>
      </c>
    </row>
    <row r="47" spans="2:8" ht="12.75" customHeight="1">
      <c r="B47" s="27" t="s">
        <v>111</v>
      </c>
      <c r="C47" s="28"/>
      <c r="D47" s="28"/>
      <c r="E47" s="28"/>
      <c r="F47" s="28"/>
      <c r="G47" s="29">
        <f>SUM(G42:G46)</f>
        <v>21300</v>
      </c>
      <c r="H47" s="28"/>
    </row>
    <row r="48" spans="2:8" ht="6" customHeight="1"/>
    <row r="49" spans="2:8" ht="13.5" customHeight="1">
      <c r="B49" s="33" t="s">
        <v>170</v>
      </c>
      <c r="C49" s="33"/>
      <c r="D49" s="33"/>
      <c r="E49" s="33"/>
      <c r="F49" s="33"/>
      <c r="G49" s="33"/>
      <c r="H49" s="33"/>
    </row>
    <row r="50" spans="2:8" ht="15" customHeight="1">
      <c r="B50" s="19" t="s">
        <v>80</v>
      </c>
      <c r="C50" s="20"/>
      <c r="D50" s="20"/>
      <c r="E50" s="20"/>
      <c r="F50" s="20"/>
      <c r="G50" s="20"/>
      <c r="H50" s="20"/>
    </row>
    <row r="51" spans="2:8" ht="12" customHeight="1">
      <c r="B51" s="21" t="s">
        <v>171</v>
      </c>
      <c r="C51" s="22" t="s">
        <v>172</v>
      </c>
      <c r="D51" s="23">
        <v>1</v>
      </c>
      <c r="E51" s="22" t="s">
        <v>106</v>
      </c>
      <c r="F51" s="24">
        <v>12000</v>
      </c>
      <c r="G51" s="25">
        <f>D51*F51</f>
        <v>12000</v>
      </c>
      <c r="H51" s="26">
        <f>G51/$G$79</f>
        <v>5.1619563814685764E-2</v>
      </c>
    </row>
    <row r="52" spans="2:8" ht="12" customHeight="1">
      <c r="B52" s="21" t="s">
        <v>173</v>
      </c>
      <c r="C52" s="22" t="s">
        <v>174</v>
      </c>
      <c r="D52" s="23">
        <v>1</v>
      </c>
      <c r="E52" s="22" t="s">
        <v>133</v>
      </c>
      <c r="F52" s="24">
        <v>1800</v>
      </c>
      <c r="G52" s="25">
        <f>D52*F52</f>
        <v>1800</v>
      </c>
      <c r="H52" s="26">
        <f>G52/$G$79</f>
        <v>7.7429345722028649E-3</v>
      </c>
    </row>
    <row r="53" spans="2:8" ht="12" customHeight="1">
      <c r="B53" s="21" t="s">
        <v>175</v>
      </c>
      <c r="C53" s="22" t="s">
        <v>176</v>
      </c>
      <c r="D53" s="23">
        <v>1</v>
      </c>
      <c r="E53" s="22" t="s">
        <v>133</v>
      </c>
      <c r="F53" s="24">
        <v>8500</v>
      </c>
      <c r="G53" s="25">
        <f>D53*F53</f>
        <v>8500</v>
      </c>
      <c r="H53" s="26">
        <f>G53/$G$79</f>
        <v>3.6563857702069082E-2</v>
      </c>
    </row>
    <row r="54" spans="2:8" ht="12" customHeight="1">
      <c r="B54" s="21" t="s">
        <v>177</v>
      </c>
      <c r="C54" s="22" t="s">
        <v>178</v>
      </c>
      <c r="D54" s="23">
        <v>1</v>
      </c>
      <c r="E54" s="22" t="s">
        <v>133</v>
      </c>
      <c r="F54" s="24">
        <v>3800</v>
      </c>
      <c r="G54" s="25">
        <f>D54*F54</f>
        <v>3800</v>
      </c>
      <c r="H54" s="26">
        <f>G54/$G$79</f>
        <v>1.6346195207983825E-2</v>
      </c>
    </row>
    <row r="55" spans="2:8" ht="12" customHeight="1">
      <c r="B55" s="21" t="s">
        <v>179</v>
      </c>
      <c r="C55" s="22" t="s">
        <v>180</v>
      </c>
      <c r="D55" s="23">
        <v>1</v>
      </c>
      <c r="E55" s="22" t="s">
        <v>133</v>
      </c>
      <c r="F55" s="24">
        <v>9500</v>
      </c>
      <c r="G55" s="25">
        <f>D55*F55</f>
        <v>9500</v>
      </c>
      <c r="H55" s="26">
        <f>G55/$G$79</f>
        <v>4.0865488019959567E-2</v>
      </c>
    </row>
    <row r="56" spans="2:8" ht="12.75" customHeight="1">
      <c r="B56" s="27" t="s">
        <v>111</v>
      </c>
      <c r="C56" s="28"/>
      <c r="D56" s="28"/>
      <c r="E56" s="28"/>
      <c r="F56" s="28"/>
      <c r="G56" s="29">
        <f>SUM(G51:G55)</f>
        <v>35600</v>
      </c>
      <c r="H56" s="28"/>
    </row>
    <row r="57" spans="2:8" ht="15" customHeight="1">
      <c r="B57" s="19" t="s">
        <v>81</v>
      </c>
      <c r="C57" s="20"/>
      <c r="D57" s="20"/>
      <c r="E57" s="20"/>
      <c r="F57" s="20"/>
      <c r="G57" s="20"/>
      <c r="H57" s="20"/>
    </row>
    <row r="58" spans="2:8" ht="12" customHeight="1">
      <c r="B58" s="21" t="s">
        <v>181</v>
      </c>
      <c r="C58" s="22" t="s">
        <v>182</v>
      </c>
      <c r="D58" s="23">
        <v>1</v>
      </c>
      <c r="E58" s="22" t="s">
        <v>133</v>
      </c>
      <c r="F58" s="24">
        <v>2200</v>
      </c>
      <c r="G58" s="25">
        <f>D58*F58</f>
        <v>2200</v>
      </c>
      <c r="H58" s="26">
        <f>G58/$G$79</f>
        <v>9.4635866993590563E-3</v>
      </c>
    </row>
    <row r="59" spans="2:8" ht="12" customHeight="1">
      <c r="B59" s="21" t="s">
        <v>183</v>
      </c>
      <c r="C59" s="22" t="s">
        <v>184</v>
      </c>
      <c r="D59" s="23">
        <v>1</v>
      </c>
      <c r="E59" s="22" t="s">
        <v>106</v>
      </c>
      <c r="F59" s="24">
        <v>6500</v>
      </c>
      <c r="G59" s="25">
        <f>D59*F59</f>
        <v>6500</v>
      </c>
      <c r="H59" s="26">
        <f>G59/$G$79</f>
        <v>2.7960597066288125E-2</v>
      </c>
    </row>
    <row r="60" spans="2:8" ht="12" customHeight="1">
      <c r="B60" s="21" t="s">
        <v>185</v>
      </c>
      <c r="C60" s="22" t="s">
        <v>186</v>
      </c>
      <c r="D60" s="23">
        <v>1</v>
      </c>
      <c r="E60" s="22" t="s">
        <v>106</v>
      </c>
      <c r="F60" s="24">
        <v>8500</v>
      </c>
      <c r="G60" s="25">
        <f>D60*F60</f>
        <v>8500</v>
      </c>
      <c r="H60" s="26">
        <f>G60/$G$79</f>
        <v>3.6563857702069082E-2</v>
      </c>
    </row>
    <row r="61" spans="2:8" ht="12" customHeight="1">
      <c r="B61" s="21" t="s">
        <v>187</v>
      </c>
      <c r="C61" s="22" t="s">
        <v>188</v>
      </c>
      <c r="D61" s="23">
        <v>1</v>
      </c>
      <c r="E61" s="22" t="s">
        <v>106</v>
      </c>
      <c r="F61" s="24">
        <v>2800</v>
      </c>
      <c r="G61" s="25">
        <f>D61*F61</f>
        <v>2800</v>
      </c>
      <c r="H61" s="26">
        <f>G61/$G$79</f>
        <v>1.2044564890093345E-2</v>
      </c>
    </row>
    <row r="62" spans="2:8" ht="12" customHeight="1">
      <c r="B62" s="21" t="s">
        <v>189</v>
      </c>
      <c r="C62" s="22" t="s">
        <v>190</v>
      </c>
      <c r="D62" s="23">
        <v>1</v>
      </c>
      <c r="E62" s="22" t="s">
        <v>133</v>
      </c>
      <c r="F62" s="24">
        <v>1200</v>
      </c>
      <c r="G62" s="25">
        <f>D62*F62</f>
        <v>1200</v>
      </c>
      <c r="H62" s="26">
        <f>G62/$G$79</f>
        <v>5.1619563814685769E-3</v>
      </c>
    </row>
    <row r="63" spans="2:8" ht="12.75" customHeight="1">
      <c r="B63" s="27" t="s">
        <v>111</v>
      </c>
      <c r="C63" s="28"/>
      <c r="D63" s="28"/>
      <c r="E63" s="28"/>
      <c r="F63" s="28"/>
      <c r="G63" s="29">
        <f>SUM(G58:G62)</f>
        <v>21200</v>
      </c>
      <c r="H63" s="28"/>
    </row>
    <row r="64" spans="2:8" ht="15" customHeight="1">
      <c r="B64" s="19" t="s">
        <v>82</v>
      </c>
      <c r="C64" s="20"/>
      <c r="D64" s="20"/>
      <c r="E64" s="20"/>
      <c r="F64" s="20"/>
      <c r="G64" s="20"/>
      <c r="H64" s="20"/>
    </row>
    <row r="65" spans="2:8" ht="12" customHeight="1">
      <c r="B65" s="21" t="s">
        <v>191</v>
      </c>
      <c r="C65" s="22" t="s">
        <v>192</v>
      </c>
      <c r="D65" s="23">
        <v>1</v>
      </c>
      <c r="E65" s="22" t="s">
        <v>133</v>
      </c>
      <c r="F65" s="24">
        <v>5500</v>
      </c>
      <c r="G65" s="25">
        <f>D65*F65</f>
        <v>5500</v>
      </c>
      <c r="H65" s="26">
        <f>G65/$G$79</f>
        <v>2.3658966748397642E-2</v>
      </c>
    </row>
    <row r="66" spans="2:8" ht="12" customHeight="1">
      <c r="B66" s="21" t="s">
        <v>193</v>
      </c>
      <c r="C66" s="22" t="s">
        <v>194</v>
      </c>
      <c r="D66" s="23">
        <v>1</v>
      </c>
      <c r="E66" s="22" t="s">
        <v>133</v>
      </c>
      <c r="F66" s="24">
        <v>4800</v>
      </c>
      <c r="G66" s="25">
        <f>D66*F66</f>
        <v>4800</v>
      </c>
      <c r="H66" s="26">
        <f>G66/$G$79</f>
        <v>2.0647825525874308E-2</v>
      </c>
    </row>
    <row r="67" spans="2:8" ht="12" customHeight="1">
      <c r="B67" s="21" t="s">
        <v>195</v>
      </c>
      <c r="C67" s="22" t="s">
        <v>196</v>
      </c>
      <c r="D67" s="23">
        <v>1</v>
      </c>
      <c r="E67" s="22" t="s">
        <v>106</v>
      </c>
      <c r="F67" s="24">
        <v>9500</v>
      </c>
      <c r="G67" s="25">
        <f>D67*F67</f>
        <v>9500</v>
      </c>
      <c r="H67" s="26">
        <f>G67/$G$79</f>
        <v>4.0865488019959567E-2</v>
      </c>
    </row>
    <row r="68" spans="2:8" ht="12" customHeight="1">
      <c r="B68" s="21" t="s">
        <v>197</v>
      </c>
      <c r="C68" s="22" t="s">
        <v>198</v>
      </c>
      <c r="D68" s="23">
        <v>1</v>
      </c>
      <c r="E68" s="22" t="s">
        <v>106</v>
      </c>
      <c r="F68" s="24">
        <v>1800</v>
      </c>
      <c r="G68" s="25">
        <f>D68*F68</f>
        <v>1800</v>
      </c>
      <c r="H68" s="26">
        <f>G68/$G$79</f>
        <v>7.7429345722028649E-3</v>
      </c>
    </row>
    <row r="69" spans="2:8" ht="12" customHeight="1">
      <c r="B69" s="21" t="s">
        <v>199</v>
      </c>
      <c r="C69" s="22" t="s">
        <v>200</v>
      </c>
      <c r="D69" s="23">
        <v>3</v>
      </c>
      <c r="E69" s="22" t="s">
        <v>133</v>
      </c>
      <c r="F69" s="24">
        <v>350</v>
      </c>
      <c r="G69" s="25">
        <f>D69*F69</f>
        <v>1050</v>
      </c>
      <c r="H69" s="26">
        <f>G69/$G$79</f>
        <v>4.5167118337850042E-3</v>
      </c>
    </row>
    <row r="70" spans="2:8" ht="12.75" customHeight="1">
      <c r="B70" s="27" t="s">
        <v>111</v>
      </c>
      <c r="C70" s="28"/>
      <c r="D70" s="28"/>
      <c r="E70" s="28"/>
      <c r="F70" s="28"/>
      <c r="G70" s="29">
        <f>SUM(G65:G69)</f>
        <v>22650</v>
      </c>
      <c r="H70" s="28"/>
    </row>
    <row r="71" spans="2:8" ht="15" customHeight="1">
      <c r="B71" s="19" t="s">
        <v>83</v>
      </c>
      <c r="C71" s="20"/>
      <c r="D71" s="20"/>
      <c r="E71" s="20"/>
      <c r="F71" s="20"/>
      <c r="G71" s="20"/>
      <c r="H71" s="20"/>
    </row>
    <row r="72" spans="2:8" ht="12" customHeight="1">
      <c r="B72" s="21" t="s">
        <v>201</v>
      </c>
      <c r="C72" s="22" t="s">
        <v>202</v>
      </c>
      <c r="D72" s="23">
        <v>1</v>
      </c>
      <c r="E72" s="22" t="s">
        <v>133</v>
      </c>
      <c r="F72" s="24">
        <v>4500</v>
      </c>
      <c r="G72" s="25">
        <f t="shared" ref="G72:G77" si="4">D72*F72</f>
        <v>4500</v>
      </c>
      <c r="H72" s="26">
        <f t="shared" ref="H72:H77" si="5">G72/$G$79</f>
        <v>1.9357336430507164E-2</v>
      </c>
    </row>
    <row r="73" spans="2:8" ht="12" customHeight="1">
      <c r="B73" s="21" t="s">
        <v>203</v>
      </c>
      <c r="C73" s="22" t="s">
        <v>204</v>
      </c>
      <c r="D73" s="23">
        <v>1</v>
      </c>
      <c r="E73" s="22" t="s">
        <v>106</v>
      </c>
      <c r="F73" s="24">
        <v>12000</v>
      </c>
      <c r="G73" s="25">
        <f t="shared" si="4"/>
        <v>12000</v>
      </c>
      <c r="H73" s="26">
        <f t="shared" si="5"/>
        <v>5.1619563814685764E-2</v>
      </c>
    </row>
    <row r="74" spans="2:8" ht="12" customHeight="1">
      <c r="B74" s="21" t="s">
        <v>205</v>
      </c>
      <c r="C74" s="22" t="s">
        <v>206</v>
      </c>
      <c r="D74" s="23">
        <v>1</v>
      </c>
      <c r="E74" s="22" t="s">
        <v>106</v>
      </c>
      <c r="F74" s="24">
        <v>3200</v>
      </c>
      <c r="G74" s="25">
        <f t="shared" si="4"/>
        <v>3200</v>
      </c>
      <c r="H74" s="26">
        <f t="shared" si="5"/>
        <v>1.3765217017249538E-2</v>
      </c>
    </row>
    <row r="75" spans="2:8" ht="12" customHeight="1">
      <c r="B75" s="21" t="s">
        <v>207</v>
      </c>
      <c r="C75" s="22" t="s">
        <v>208</v>
      </c>
      <c r="D75" s="23">
        <v>1</v>
      </c>
      <c r="E75" s="22" t="s">
        <v>106</v>
      </c>
      <c r="F75" s="24">
        <v>4500</v>
      </c>
      <c r="G75" s="25">
        <f t="shared" si="4"/>
        <v>4500</v>
      </c>
      <c r="H75" s="26">
        <f t="shared" si="5"/>
        <v>1.9357336430507164E-2</v>
      </c>
    </row>
    <row r="76" spans="2:8" ht="12" customHeight="1">
      <c r="B76" s="21" t="s">
        <v>209</v>
      </c>
      <c r="C76" s="22" t="s">
        <v>210</v>
      </c>
      <c r="D76" s="23">
        <v>1</v>
      </c>
      <c r="E76" s="22" t="s">
        <v>106</v>
      </c>
      <c r="F76" s="24">
        <v>800</v>
      </c>
      <c r="G76" s="25">
        <f t="shared" si="4"/>
        <v>800</v>
      </c>
      <c r="H76" s="26">
        <f t="shared" si="5"/>
        <v>3.4413042543123846E-3</v>
      </c>
    </row>
    <row r="77" spans="2:8" ht="12" customHeight="1">
      <c r="B77" s="21" t="s">
        <v>211</v>
      </c>
      <c r="C77" s="22" t="s">
        <v>212</v>
      </c>
      <c r="D77" s="23">
        <v>1</v>
      </c>
      <c r="E77" s="22" t="s">
        <v>106</v>
      </c>
      <c r="F77" s="24">
        <v>1200</v>
      </c>
      <c r="G77" s="25">
        <f t="shared" si="4"/>
        <v>1200</v>
      </c>
      <c r="H77" s="26">
        <f t="shared" si="5"/>
        <v>5.1619563814685769E-3</v>
      </c>
    </row>
    <row r="78" spans="2:8" ht="12.75" customHeight="1">
      <c r="B78" s="27" t="s">
        <v>111</v>
      </c>
      <c r="C78" s="28"/>
      <c r="D78" s="28"/>
      <c r="E78" s="28"/>
      <c r="F78" s="28"/>
      <c r="G78" s="29">
        <f>SUM(G72:G77)</f>
        <v>26200</v>
      </c>
      <c r="H78" s="28"/>
    </row>
    <row r="79" spans="2:8" ht="19.5" customHeight="1">
      <c r="B79" s="56" t="s">
        <v>213</v>
      </c>
      <c r="C79" s="56"/>
      <c r="D79" s="56"/>
      <c r="E79" s="56"/>
      <c r="F79" s="56"/>
      <c r="G79" s="30">
        <f>G9+G17+G23+G34+G40+G47+G56+G63+G70+G78</f>
        <v>232470</v>
      </c>
      <c r="H79" s="31"/>
    </row>
    <row r="81" spans="2:8" ht="16.5" customHeight="1">
      <c r="B81" s="57" t="s">
        <v>214</v>
      </c>
      <c r="C81" s="57"/>
      <c r="D81" s="57"/>
      <c r="E81" s="57"/>
      <c r="F81" s="57"/>
      <c r="G81" s="57"/>
      <c r="H81" s="57"/>
    </row>
    <row r="82" spans="2:8" ht="12" customHeight="1">
      <c r="B82" s="58" t="s">
        <v>215</v>
      </c>
      <c r="C82" s="58"/>
      <c r="D82" s="58"/>
      <c r="E82" s="58"/>
      <c r="F82" s="58"/>
      <c r="G82" s="58"/>
      <c r="H82" s="58"/>
    </row>
    <row r="83" spans="2:8" ht="12" customHeight="1">
      <c r="B83" s="58" t="s">
        <v>216</v>
      </c>
      <c r="C83" s="58"/>
      <c r="D83" s="58"/>
      <c r="E83" s="58"/>
      <c r="F83" s="58"/>
      <c r="G83" s="58"/>
      <c r="H83" s="58"/>
    </row>
    <row r="84" spans="2:8" ht="12" customHeight="1">
      <c r="B84" s="58" t="s">
        <v>217</v>
      </c>
      <c r="C84" s="58"/>
      <c r="D84" s="58"/>
      <c r="E84" s="58"/>
      <c r="F84" s="58"/>
      <c r="G84" s="58"/>
      <c r="H84" s="58"/>
    </row>
    <row r="85" spans="2:8" ht="12" customHeight="1">
      <c r="B85" s="58" t="s">
        <v>218</v>
      </c>
      <c r="C85" s="58"/>
      <c r="D85" s="58"/>
      <c r="E85" s="58"/>
      <c r="F85" s="58"/>
      <c r="G85" s="58"/>
      <c r="H85" s="58"/>
    </row>
    <row r="86" spans="2:8" ht="12" customHeight="1">
      <c r="B86" s="58" t="s">
        <v>219</v>
      </c>
      <c r="C86" s="58"/>
      <c r="D86" s="58"/>
      <c r="E86" s="58"/>
      <c r="F86" s="58"/>
      <c r="G86" s="58"/>
      <c r="H86" s="58"/>
    </row>
    <row r="87" spans="2:8" ht="12" customHeight="1">
      <c r="B87" s="58" t="s">
        <v>220</v>
      </c>
      <c r="C87" s="58"/>
      <c r="D87" s="58"/>
      <c r="E87" s="58"/>
      <c r="F87" s="58"/>
      <c r="G87" s="58"/>
      <c r="H87" s="58"/>
    </row>
    <row r="88" spans="2:8" ht="6" customHeight="1"/>
    <row r="89" spans="2:8" ht="13.5" customHeight="1">
      <c r="B89" s="33" t="s">
        <v>221</v>
      </c>
      <c r="C89" s="33"/>
      <c r="D89" s="33"/>
      <c r="E89" s="33"/>
      <c r="F89" s="33"/>
      <c r="G89" s="33"/>
      <c r="H89" s="33"/>
    </row>
  </sheetData>
  <mergeCells count="11">
    <mergeCell ref="B89:H89"/>
    <mergeCell ref="B83:H83"/>
    <mergeCell ref="B84:H84"/>
    <mergeCell ref="B85:H85"/>
    <mergeCell ref="B86:H86"/>
    <mergeCell ref="B87:H87"/>
    <mergeCell ref="B3:H3"/>
    <mergeCell ref="B49:H49"/>
    <mergeCell ref="B79:F79"/>
    <mergeCell ref="B81:H81"/>
    <mergeCell ref="B82:H82"/>
  </mergeCells>
  <pageMargins left="0.4" right="0.4" top="0.4" bottom="0.4" header="0.511811023622047" footer="0.511811023622047"/>
  <pageSetup fitToHeight="0" orientation="portrait" horizontalDpi="300" verticalDpi="300"/>
  <rowBreaks count="1" manualBreakCount="1">
    <brk id="4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COVER</vt:lpstr>
      <vt:lpstr>SUMMARY</vt:lpstr>
      <vt:lpstr>DETAIL</vt:lpstr>
      <vt:lpstr>COVER!Print_Area</vt:lpstr>
      <vt:lpstr>DETAIL!Print_Area</vt:lpstr>
      <vt:lpstr>SUMMARY!Print_Area</vt:lpstr>
      <vt:lpstr>DETAIL!Print_Titles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Ainsworth</cp:lastModifiedBy>
  <cp:revision>0</cp:revision>
  <dcterms:created xsi:type="dcterms:W3CDTF">2026-07-23T18:21:22Z</dcterms:created>
  <dcterms:modified xsi:type="dcterms:W3CDTF">2026-07-23T18:27:11Z</dcterms:modified>
  <dc:language>en-US</dc:language>
</cp:coreProperties>
</file>